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0" windowWidth="28770" windowHeight="14835" activeTab="0"/>
  </bookViews>
  <sheets>
    <sheet name="A" sheetId="1" r:id="rId3"/>
    <sheet name="B" sheetId="2" r:id="rId4"/>
    <sheet name="C" sheetId="3" r:id="rId5"/>
    <sheet name="D" sheetId="4" r:id="rId6"/>
    <sheet name="E" sheetId="5" r:id="rId7"/>
  </sheets>
  <definedNames/>
  <calcPr calcMode="manual"/>
</workbook>
</file>

<file path=xl/calcChain.xml><?xml version="1.0" encoding="utf-8"?>
<calcChain xmlns="http://schemas.openxmlformats.org/spreadsheetml/2006/main">
  <c r="O910" i="1" l="1"/>
</calcChain>
</file>

<file path=xl/sharedStrings.xml><?xml version="1.0" encoding="utf-8"?>
<sst xmlns="http://schemas.openxmlformats.org/spreadsheetml/2006/main" count="16172" uniqueCount="2515">
  <si>
    <t xml:space="preserve"> </t>
  </si>
  <si>
    <t xml:space="preserve">  </t>
  </si>
  <si>
    <t>{Blank C:A1..A2000}{SelectBlock D:D10}{Return}</t>
  </si>
  <si>
    <t>{BlockCopy A:E2;A:E1}{SelectBlock D:A1}</t>
  </si>
  <si>
    <t>{BlockCopy D:A1;A:H1}{Recalc A:I2}{BlockValues A:I2;A:E2}</t>
  </si>
  <si>
    <t>{BlockValues B:BJ148;C:A229}</t>
  </si>
  <si>
    <t>{FileExtract Values;C:A1..A2000;"F:\hsc\SC\A35\A35637.txt"}</t>
  </si>
  <si>
    <t>{Let A:E1;+A:E1+8400:v}{Branch C(0)R(-5)}</t>
  </si>
  <si>
    <t>{Let C(0)R(1);+"{BlockValues B:BJ148;C:A"&amp;@string(D:F1;0)&amp;"}":v}</t>
  </si>
  <si>
    <t>{Let C(0)R(1);+"{FileExtract Values;C:A1..A2000;"""&amp;D:D2&amp;"""}":v}</t>
  </si>
  <si>
    <t>{Let D:A1;+D:A1+1:v}{Recalc D:E2}{If D:E2=D:F2}{Branch C(0)R(-3)}</t>
  </si>
  <si>
    <t>{Recalc A:E6..S910}{Recalc B:F1..G2}{Recalc B:F5..BJ5}</t>
  </si>
  <si>
    <t>{Recalc B:C6..BJ147}{Recalc B:BH148..BJ148}{Recalc D:B1..F1}</t>
  </si>
  <si>
    <t>{Recalc D:B1..D1}{Recalc D:D2}{If D:F1=2000}{Branch C(0)R(2)}</t>
  </si>
  <si>
    <t>{Return}</t>
  </si>
  <si>
    <t>0</t>
  </si>
  <si>
    <t>1</t>
  </si>
  <si>
    <t>2</t>
  </si>
  <si>
    <t>3</t>
  </si>
  <si>
    <t>4</t>
  </si>
  <si>
    <t>5</t>
  </si>
  <si>
    <t>6</t>
  </si>
  <si>
    <t>7</t>
  </si>
  <si>
    <t>Поиск симметрии</t>
  </si>
  <si>
    <t>для 16-ых цифр</t>
  </si>
  <si>
    <t>занял у нов</t>
  </si>
  <si>
    <t>7bde</t>
  </si>
  <si>
    <t>7bde;bde7;de7b;e7bd;7dbe;be7d;dbe7;e7db;7ebd;bd7e;d7eb;ebd7;7edb;b7ed;db7e;edb7</t>
  </si>
  <si>
    <t>7dbe</t>
  </si>
  <si>
    <t>7ebd</t>
  </si>
  <si>
    <t>7edb</t>
  </si>
  <si>
    <t>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fffdfffffffbfff7ffe</t>
  </si>
  <si>
    <t>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ffffffffffffffff7fffffffffffffffffffffffffffffffffffffffffefffffffffffffffffffffbffffffffffffffffffffdfffff</t>
  </si>
  <si>
    <t>8</t>
  </si>
  <si>
    <t>8d5ac5ac12d4225a35ae1015a658d52f4a95a542810f5aa5ad52b4215804af10f4ac10d50f4205a758d1871ae18012e0ab5874ac0851ae18852f48b50742f10d5ac4a002b4a85a658f08a5ae18d52d48b50750718f5ac52552f4ab52350e18e50852512e4a358358f08f4ae48152e4ab1225aa08f1a65011270a15a75ae08e5aa5a950f4095a71a21835aa58512f0a25a75af0835a65a152a4205251ac08c12a42d42d42b5075af18e4a452152e0034a35ad18742612d52d4aa52350e18e0265a55274a81a61a61865ae40500e4a35a758c08e10658142f48b5a75aa08b58e5a54244ab1275a71060ae48c50640a1a75af08c52e1a552f4ab1a65ab18f5ae1ad42f4a958752f00948e08c50948b4015ab18d5ac5ac52e0ab5a55ae00a5ae4a412940a1a71a408f5a05ad1254a85074a908c5aa4ad4210a24a25af18d5a60a852f4ab1a312d1855ae4ad00d40b5a752f10f5aa5ac52b4225875af18f42c5a91250290a75ab00d5aa4ad52f42b5275af18f5ae48c12f4a94a752e08f5821ac4274a30a14ab18f42e52552f40a5a752f1874064a842e0aa5a45af08a58e5295224a94854071</t>
  </si>
  <si>
    <t>8f5ae5ad52 f 4ab5a75af1</t>
  </si>
  <si>
    <t>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18f5ae5ad52f4ab5a75af1</t>
  </si>
  <si>
    <t>9</t>
  </si>
  <si>
    <t>a</t>
  </si>
  <si>
    <t>A35637_0229_800085251020a800240900548e4000234230800020875080200020805040000000200a052140108140d00000808102840a12000418400258152040202140200100008c02608000210400000012840202040110208210050440440a4020081004a00a140402802100e00002e00000040000312008c48010140d0010a010008018048440a0810045001801004284050a110648900350042000408340100100208000002902018418200050200050402002018700110812000c40302000010d00018100c4001805840021240080200a15000230074024014090801804210010000040200880050a200800002110200040000c00c0880240024004020a010448010442000a00400e00250040c40008848048100810000000408112002400340212402142918440008040a42540000248008400400400810800012010200040412c00000802200208600c40800c02240440c00500400810c00300218800410058110100048250c08008400102100002042110212c0200000235060a30821081a000008302410300102008440540100000808150440400040a02200d0804221004004200a04050</t>
  </si>
  <si>
    <t>A35637_0230_041080210010804205a01080a400400102000608410848000812e0204234050805000090204020a108200200a00052040010052010d0080280004810001000010201a000200000242800900042050540902400e00418000802808a12500010008c5800054030a000600108210002202010410400800200c00e00140000518a10400800842000208000508418100b0a80001a818100a1040040880020020820060a400b48000312c0024040041280830800860000040800080000014220024a810c00242008100b00a02400100200140500818100002410200300140800d0a04a002800000048010442e0800044804014820801800011050080001a210000010110502818150100048040000208100600018608242000040148500900640c40152100000002200a48c42812500110200c08140e5a00000a910050010100250400c02052400a10442010012800000500400300a12140a4a010002100a02a0040004800810010081800810004004240a118c4060801010020844080010a000800a4000a210008840008140a0090041010000840810014800060240810000240000a10804200</t>
  </si>
  <si>
    <t>A35637_0231_0200c0280030001a40a000018400d02300010340800110842000200200300500a02200800802112200800050618000202000250a00610402040908302010400c08242002200a1044a00004a04200090884260810045804005010a00044240081000a010000248002610400000902c00308000008018808840548110410100200200040442842042808108800c00100002450100012048052040012048100310410c0004205020870020824000014030220241080201080240a00860200845044010004014a600800212a4240230000a540908610400102102200048100208810000700808602a1000001004210015200200010800004044a818300018202008810040100010000408810542042000508110200000400c02012100408050640042408000010408c40e00802e00000048010002e00100c40202308a0081800044260a04810210810864050280ab0020210090a40014010081054a71090084084000a30240201001a41000030080200a008502210842202802000008340008400400352000408852400010148b00200e0860041040200000041a010d08010040308a0034001</t>
  </si>
  <si>
    <t>A35637_0232_0040200900800148040010010c10400242040040708740000c10808048040310610400440d0005040820000221a410100808102010018a4800234084200a008250408940102800000a0801a018100c0a140208018810012010e0210231041084020850080a000412000a02e1000000800261080811801000040004a018310110050000008848150300408c0ac0000280a202110c42808102008100000000902000402002940008400400000802102348000c08008202000200308210400218240912400250102010100802840402050008c08818202000000000110308400040810802812508a00112240000508300210000008000142400908012118018c0880014810245020020041290000000010821015244045000005804a810600048000a0820040041050000a10090000a150900048008000048158040d00000810840a00908010c0040040200250000020250000204091200824001a90884a440000e0030031201001081a140140918400210100040100a08010400000b0000840010080060a41021824000000024800091000001014220880000040011080284000001811080</t>
  </si>
  <si>
    <t>A35637_0233_8640000800a40002400000040008040100140118010e0061005244200000240004000010234005a340c08900c12c00200000008a0050800200250005205231885820014000a80a048010018800810c0000800040000021005000820a50a400200250d00348810400c00010050500d00b0010080001281214200a050308400540c00000002910002000812048c12c0aa5020020030004201010224060ac1085040001080010011090085240a410200800010600a10000c00000210240010102400142c08140242300a0205a05044020010821050a248040102010300000002600840d4030014000001820095204211000a000140818d0050034010801004a242440000010400218202408012002800010a08812210000008b08010a00508a4041000215010010000020a04010830800030010244000200005020040010004040244880a10a100100010042b40002000800200818040400000048200000202c00040202108808012600000b0020a11890881840850040a002200e10208040002e0020041820040284080000804065a008248048410308040110810e00000c0000010860000</t>
  </si>
  <si>
    <t>A35637_0234_000280040050210000030000aa18052302000002c00d0885800000a24221060800080854040020860010871001290024200020000001200010000084811220044805000080004200801000021010004001a042800800042102400000008a08200412100e0280010021880004044010880245200004000a04230081000201890200a012200000040200300640100400010240c00350200c42000000600408b00810040800340200808500a00c4000010020a00081244001204010021000020264a010e02048610d10c00000100440008000200010400050640058240100840000810300200012400148400802c08108400200308810010602200040310a0800800204204004061004040a012040808308200002218500000052140010202602c40040008002c00258600800000912110400b00008100040a0a100010c50010100248202458000402a0a500a00042102110400202c00000010400010412450502200000608110110050400042910440000518000800002910102a0024825280080000a44820810884040004a008202010100210410a02910010408e4045010000001020800</t>
  </si>
  <si>
    <t>A35637_0235_080860800010005020a80854080010280014a402a00400210010140808100410550000810848302008300000800010e00840700400040012402000a1041880021040094204020a70200011844200000200025050014801000020000240290830040000050001001261000024041080a102002208040452800800012410018100012012500042400a10610a02010448040602800800c0010010200045051010001045060805030810880a80000010a800408610800a1000024280014240800000a00044021040020041001011200220241840005080050000a20a052610040400000140102400210800412900000002540018842800402008108158008252400002800100140410040402c0000095045830000ac02050a00040040000902240442002a00152000808818800148850308a1830a40a050002910540600602850110002140108100110800c40500802218800e1a200800508140010910002200000348000048408150050400008b0004a000a4a04040090001250211074000245214000220a308000858400400348040000208442040008042040f00802c0080254010000020</t>
  </si>
  <si>
    <t>A35637_0236_004000084200230a440208510010000000008102410440400010208910210d00202400500000200418608c0084010204224801000010801050080020a34010034a000002002910210b0864040a14000200204200085801081010224824040004000200040004a10810090244890064801050841810a252000c40800000600e00800002040100700000840000010248808002200000408800440200102010102000142400a0250050880a002400800b42442200000040440800800312200d48600c52800200208010000c12810200000208200100000840300002110a00a00200000c0a84011800811a402042c00012008c0000285a800800000310400040010000048050002b00000010402140100200c08200000000008800102000902240d02308008400018300442110c4210245001044020050000a84a04a20040000a002600008500a00a00600000100010512900800048c4060820241800021860200080221210810014084204280804211a018c40000050c40800052000c4001010200810070000054080204040a210052200c12410800208240448100d4041801080011a500d0</t>
  </si>
  <si>
    <t>A35637_0237_0700000440000040600000002000100908050108400002048050108040018b10402240d02c0091800040800800084080200004040080204040000810041080800001a100a40048042208410402112000050012500400808900040800002b00152a40d02a00a08118908800012512100018450810010008010142000440200752042150000100302600210008c00200100402010c0281084090805000080800821a00000020031030881a20840220030000040034221084010024824010024001080004a01240a200400a18102440050442000840050100800800000000112440000c08910250400100402400802a52040010800040d40102300700410300808012200240000800b1264084210a850502a08600802800100100000400400800000440200200410a0200a010500a0814aa18010212c4000081260241004040081200804a20081080000281070000a20000040825004010884a102300410800900208800410700210c02000e00010200b08000400010400108040000502210000448108600200418002440942208100900018002442008008400010012608100000b5224a00</t>
  </si>
  <si>
    <t>A35637_0238_0800050012c00040508618200c00040508200202400940010802940902012200412408442d0805064081005000804010001240a00820844000280030004280820000000000a802440000410000840a08818000610302250110002018000000d0001a002402240140110c0260000094034000800040001880290021021040080020080204080040020011080010060000021221800060040004a000200808448208000100800610418d10400100900010008100b4aa0a040408000400e00118010002d40a10110a08312640002102002040400602042c12400000102008040610c10800300100908208048c42d4010001880014000000280000070a300052000102240800500010002412000308010140a10908048010000000000208018850400502008548408142042000100308500000102000000c42a1020880001a240042400010210608040240d40008208012000200610800f00050008308818040d02440110200c0080085a800400a00200e08000000000100800010b00102e10400640018402600908048100a00148010518400418052000a0800000020044004000200200090</t>
  </si>
  <si>
    <t>A35637_0239_0a00000140600800702800118050502002002008a00948008540040000248418a02000900b4000020a000058200440502240410810000202050300840642018412240000d0094800800890060000200a15261000890824011004200220a40001a400440f00208100700000008000200202010400008058000208840308018008010010400210410608a00012000a00242110908502008d4004004010a200a02210100802810500408000812840800808000500110002900408a0845020004880050230200821061014820005080811000200080004a80280a15800081000024080210094240880000220000050204001240000840a010042210210300908040410448140040808b12010100c0a150158400052640040142100600000d0800a900200002508e10048200012900042700010810818450400008202808200c0284220830204a008050c40050900008040610242000042042048008a10200418402808040040808500440112842108200500a4a20004080011000a008940a00010100318312810000408100108802100808048410110802010010200050450410400a0a04020</t>
  </si>
  <si>
    <t>A35637_0240_0810042002100002600800200200000102240040108000002000008010000000018002802348b40400110002010102102842248008000240042202818000300c10242010c02202010d0004021804040a30004000004020a840940000312200240002840100840202f00000402412748048208018000000042200000350010418000000940940440108400010100a0030020001081001004040004815a900812010140c02000048210050018402d00100000a00048040840808010300400800c00c0040080225a408200600002048a42200500140000802502a40210010440e00400240040148b08052808402142908000410c00042010300002608200c0000004050000000000001020001044800801a800810a00400442208612400010050410a00002000008340018942a00212008d00100a08c4024210000a310200412140000200218000608602112200048018010050212500048008008300000e0a042400010740b00200000840000000258000440048840000348000a10b08e00450508210100500a12048842940100150000400c08510a4020240860011221801280010040241</t>
  </si>
  <si>
    <t>A35637_0241_0600010010400048100000a42000450d4220000241060880000000881a102000010400c12400a00112308840000000c00100000e1020040850004831201810080a008500008810008600000a00800108240402000c02008d42040202442210000c0801034080000040854201280000a202100410002210050040142002108000008d40400200000610b4061001004280a21a400000440900140000048000440a50000c0010005080831000051200221220a018110c00440800850200800140e00000240248050d00700200100100800508000002800000e00210318200a00052912042000000010000408c10600212140300c00442900102902108510e02a4210040800204041800880051084030a418000d0000011020880241000010860800080201a410118350002800400140048000200210452108218448510b18800440802008000400002c02d00a00300308100400802012840340048000312818850a08200008700600600100102202010000000400910040002042a18000002112a48000100000050a1a000900142140408008000440200a0000860864201810060020030200</t>
  </si>
  <si>
    <t>A35637_0242_011020245004090201811040841080014201210001800040041030200230010004220200000a04a24010000201a41020804000000044845004010820200a20044a20085044805000080884a050800000302340010212a0054060010000240800880001020014045031004005010090014004201811001a000442808000800502450c0284ab0801a810000808802840000040900000010400240100100800910c00100b0220230810824a608802002800110000a02252002008012048008508a1000054000021800050020045004a118102200c0040800000800061010840040a440408800002410100008002040300410400a0020000054224000a800110040440200002300c0080a018000408240258500902400800202800040310400008c40108202000a18840a10000c00010618010112202800008140048100940042002c00100550000640002800000040012400800400c50002008540108842010012040310000000f0880810024004210021840080090034031220080060801054020a04041090885221a000002308210a0841840000000881010080810064884200220020a20</t>
  </si>
  <si>
    <t>A35637_0243_045060090000084a00a81000881204060000011211025840050004a048010400800842400000800440d10808810c4040820000820021841004004a240110a0824200a442a0081001090000a00845260031800281084201200074011035031004000000000aa4221200000a04010020020a002810008640000a0810a20011000840a450900018042200100400d02848040040008002812002700000500100010402010208058000300300018000002040050e0000041004010080a650100900200802000210010100952808800942048310200018640910000200402300a00000102602040448d00000a10400a08840000a18410000052140110002a00048048000048308450110248000540c0020000a00831081a00200004201a800810000040808208710000252402810140000208508040802100240150100008002a00400842302042100410010050c4200040840820a20200280025004080081204001200000030810824a018000208842410a00858040450042108248400800010100100858300618b0241080210084010210000aa00940240902200a0020804840004020010000</t>
  </si>
  <si>
    <t>A35637_0244_0650a10852800042040408c0000a000100110002c10010008402040012010200902840052008a08000800440412402208108550000548a4845020a108400c00000c0080024820264001800240084040030044810801a40045070830810070010004800040000240281800205091040091814080090a250d1220230844a000150800000302a02118900408252000400200008500600200800842000140718c1080280080080a208a10008450002c00840402900550408010102000008100112400100900040142218208600400400b08040600100448902100000410e1001a042000442102600300800a00010a4010211080020000000074004a010808800012000800810402a00108208002200242140110402a4001200004001001874024001050801230020870024040224880a000300700002800400200008c10248e18000302210142600518e08400000200140408108a42150100810440108a00008042040000210800c1201004010004800201880220a800c0001021a80040a008050d40852210910008400002408902440018008042000802000040b00d5840280010a84020031</t>
  </si>
  <si>
    <t>A35637_0245_8440048d0060804004020000205a00200294a14881000a400500900840110a10502200040600200010c0815080a000000050600100000610d40000808008808010010810048000008410400448040c02a08042410842812402040b02002a0800025804284a100502010018040102800a02200000400858900002200000108140a0045060004800840060800084010211011021805204801024280020010010220844044a112210000240002400048108100100400000400000040000200800a0200050800230210044844081014800001081060860a000a0210004060810000895094081241040040804001000220824001000a000842408102018100400240900140b1040800851a000d02d02800210600948048000c0001810000850041001040aa10210810a00440800042302500710508200000d00218658c0880a800012340202100200010012500200948442400100002042040100008200a4044841000080000881800020880004020000a81000004814200880020800000241001004030024030840021a042800312100800000a00000102012200408000240042402000210b1</t>
  </si>
  <si>
    <t>A35637_0246_0c40002900000042000900042a40000040000002000a1841a400348050202408000a02d50102a42402418108c0a04000021000010010201081004a212102000802400000c00000000018050008110340308108e00010050d1040020060840030240294004080200281021000004200000010091840a402140a00048552200800400010f0800810831841004000084004840051044800880080024a05221084a40a052000200502000100c10400102b1201201011080014030030024840050001200000020040860021080051080a00210ad1800021210004010810a800200400542808802102008a4024a102100008040300040000000f40048050000240000452a0200000051895044000004084224a000042018d1200020820860020244200204080201200010200804060a01025000811a210902b00a10300800010000002648042608818210000050008110340008050202100540a40010a00c00010900300042212008040400500300a0204000005085850060200000001011020090204001000801080800294280a008300000040608050400000100a10c1004850044a80041841</t>
  </si>
  <si>
    <t>A35637_0247_004864854204010a11000000081885044200840880011041040020000a352400802010002048902202d00542c00842140040418610800042400b40108542810002a00102c00012510800040040102100200400400008800c1000830000040801081200050894050000030204080020804804820020800001080000a008000200800c02000118040100640008010000a00000200810200c42c00040302c0000041204080820821030841200290000820204810000840800084090214090820040a410040000600700018012c02000348100400a4001804044880804201011281004220810020040050801840080221a050000002800940800042410000940e08900040000040008652600800400100200118040e02100400a0214220040000081020000004800880a40241084200001200850060084000824804210000a84080010a000400100000010040308900108310808a08040d0224800020004041091030211005050080a808110a08000200500210800100400300000218200000010c00802502000440002152840000148a10042010002848148010818840652110042040300a0</t>
  </si>
  <si>
    <t>A35637_0248_040860001230004805820800a80810200081024000001a042410708a0050200031a040840800a52440400010040010240808258100918240510002008008400140200500308100218418802040d0040011060a608008050800d0021a400110008040400100800100000440200400240052150200210e08812200000400500a00002d00902210648a10048c02850448200040900000610842002002400e00700600c02000800008200842808010042152600400202800440840000010110050048050100810410008040408000e02a48100100140000900100a08412800600000040148112400818c18642842308a50008118108000100c0001014a000012612012000040008800402840d02402800000a10000800400002008200108140242800008040102010c0080a50000880020031040841204000020210020024044a100a4a808018800d08010010a0000020281090200041080004a200d0880824084080000220840800841254200804050a20011005044240225a140400008c40c42208910140408602c50812800800300b00602818402408140058010502a1081050020034280</t>
  </si>
  <si>
    <t>A35637_0249_000001840080a21000041040a00800200024014a300050000110800102100800450c0214044000a400e08400002d0224030000800001804000210894800a800008410002042a00442000100c08040040b40018a1060a410110400008140400040040102248012052d00540410d00008302200c0080820a00090a00000220054280885094a000048e00540010802300840010210910010110408812240200940800140108040242208402400440500948208c00040250802100b4800000020004000020800044241004a040110002912048000008018000840050102110000a00c00300000102010c4820005054881231061000000090084000030810810ac1001000080a748200a1a400412402000140900d08a4090080811240061080040a01030811030000001804a800208b40158000000818400902002440818042008c0270031a210c08b1821000004224a040000042818800200100002d0840000054000a002108100a00840000e0800041021000064251200804220091810000050080201000011860000851084a00a410010802c0804000024800a800008402010208908442b0</t>
  </si>
  <si>
    <t>A35637_0250_000020800204090000a00025085010000000071040005020250060230044881000080080010001801041080a01800050a002102008208248110100012610000118000d0270000004800000044045020001050060045000810200014000a20890000000240a00800801800a210040040a00000410808000c4020220844220000ac58010000910410900b1200840004004024851841000011040880220010060020210004080001000884204001020000a200c10408000900740040602818300840000a0000860201800040280080001004011064084200000a000048400a40000050148000048800d00010502008052440200400648c5054020050020010a800840c00010002c00812600000008142000100808250410400000008800000410842402850010010450602100540248002200d4a840000d40800500400e00000900b0a05040250810001204200a01020a408200810800548a5a508800400800400500842208610210600100400110058008140048400600102100d18000008c4000201205080000a00a05004a15010830020a208800940048152818c1845010044024800200</t>
  </si>
  <si>
    <t>A35637_0251_850884a100c0810055031020084005080890240231080205204000010000080820a408440642000018d00b10840000a02010202408400018040242910100108810210000408000548008442800c0070010a00240820000211200020220040020220801200a840548400558800002000140040300848602100800802012910200000c0014800020a10041204801080880004200080060040010080844070010a040100940212208608100200040940210300100850210c00600000048100000000800102040042110c00010100800800000608c02c4005010080204aa00412002800c0094204000054000804040a800310000318e08410a0830000030800080015010a240602d0091045a010208a40400300c1280890020800005000021060010000080805070844220011044001a40241020040800024a800048818a0844884040810261a600300800102042840118110002c0000000000001800050000840004a910110000800c00000a4011000060060281a000002218000a00b40c0000240010801040080241000000220244000811201014240031814880830000010040004010a41</t>
  </si>
  <si>
    <t>A35637_0252_8040410010102102348200040000100000a4010001080065804010825010800081041251010000a000800010000500200912142200c10e00440202052202200310808900c02908200510012200402040000540400900c5000004a01225200004281084084010801840831020a512000018000800500408c50500948100800608410010008810102910208400100448242448c0884a000400100a0200280800000000250214224000001840a80000a01024070021000290250221000220020001241050000800a00081000844090000230aa0024260841024091a108d00a00240042448200318000010000000100048008d08248012412108100012800808210800000008402a00d40850012040840450a08000818040802048412208400842440842808410218910050140a08118708400110052400400118002810200008800140002052008200050140400800210400448040000002000242c08100000400848a50008600800448c02400842312c0004a01084030224020800041805000094000831021821260200044010000201015000080020004200010025a00201010204000201</t>
  </si>
  <si>
    <t>A35637_0253_0940002002402800008000402050002e0000851a000310c48802002800050608108250c00e0a000008000000210040100a40200010042402c02500050108518100850010002800700200100602100040b0a508900f12810440400000000c00318600152002208200118e00018400508300300208108408002002002110610000a50000100000040210100012010002800508400010058410408202002810b4080a840d4001820000040001200244294001810090a012012008040040210000040410600000018010a10200000200150400100808e00c50042200408400810800012000000200300150210852302040040200700210002608948240c10408802140500a00400300c08248100208100448100910002840a40852300808012040802d02210600408200818102600812200218400010000100908002a00040812010200008402008c40802940840802040300010840400800318340910202a00002100018400b1000a000c0004010015000020800001004091a40090040a01200000800000a808f0240010000200000821020a202010c0890070000080004811064204231880</t>
  </si>
  <si>
    <t>A35637_0254_0140240412608040712010040000000d02010012608108a48000240302000110008400410808a1004001800200244240a010150300002818d00808302150218242018052140000140000250010400000010202800200c08540300212110308e0a400140000000208000808812850002802308400800850500400a0010000000004a442040802000000100208502140048018000108410150a0a108448210310450040100200000a00118040c00308202110600402208000a02000210000000000010800002110108440610040100342040100050412052102140002108c02058940a08000110118008c0001000000000a100150040012c4000020201804080a000a40248200200912008500500110102e00010400002140a00000110800c18040a0210a210018110c08142002000040200140010800008010008000050008800202000052c1800021090000a200410800808008050940a48140800c00202c00c00040400000000058400000940402008218848850148110000200e0045014030030044811005aa4004014a800050500118208c0200024071001854220850220220261010</t>
  </si>
  <si>
    <t>A35637_0255_8002040000a08208008c08400412000942042002100252012452000a00408500040202000740800052218040000810800900400a1000a842100d00042200b00c08408c00008000400200840408112100808000208102448c4024810850200001a00000214004221201044220a440400800108000002808840c00140300010012600810000100218000a10408042140a12002b18400400000d08800100000000000802c00a08040108242e4000044a910100008540000010808a50008100800050100100200402900142002010600100400900912800542000040400808012c00100000218300c00342040040008040100c10c4020a01080220811251040805090010204000881824021081010a00824041000080041060020204aa00010840500842008400000748c0040230000a21040810a00885000000010a008202800002202210400200402800800040040242400100208402e02000200108f42002800000310000810310810500400a00042510810002010d40852312e0004084a050300240050e18042840000000142008810000610112c40100600d18908002c02000b0840041</t>
  </si>
  <si>
    <t>A35637_0256_8018000040c08010102010800440842300000042000700648100840150048010112402012440212040008c02850c12802008210500010010400c02300000c00c4044a810040912100800008818110300000400110048040010308002210008042a0a400048048402100508a42110840900002410740008002808348308000858e0200040a818012c00400048840208210008200400e02542400212318600000000d0080204034a400810000000608200040108808010100000000008010802000802248010548100002850100a40200600018210018000700008002308000440002908310048618602002040c02108102218900250810400a02110200f02000c0234020a01a818000800110000000000008118850100640000118008800810400000842002000800008100000010202900800250002a40050208110d40240802000148000200040200410000000602000a10802052b4201024021000201095010810000060014800200000201215080001221040084a00064aa0040a210810e00308018208800208450a02000042808140a0041020aa02058c00240002000c08a4010090</t>
  </si>
  <si>
    <t>A35637_0257_0400c0280000824800050000824000040880201010014284001040001815001000884840000800020040011a008000008040508a08208012402142a12042c0080065800004020820a008200008000702100050200600042000600148118c00810012850702b08018a0001804015010284200051010024000004880860251040001010000014a10020890005041080201021000051004a800a00148040000442c42010a08a4040801014821a05010890200080030ac00000c02000202408042e00c00300002000800202250042448240040418300c1010000020024a00000244000084a000312000040058042d00a08402410000600002808802500000250050110a4080040050010004240224021240221065a80080000005040831030a002012200808142600302440c0000010851001000864a80004000851070044801804004015855000080221804030005a000b08c18602040000902708510008402010108200450008818202000408002110108402a18052002050000000058200502040a48008010000040800000b00448518040e08c0250805240810040a04084000881000000</t>
  </si>
  <si>
    <t>A35637_0258_8408600110c42010100200e00050412208008550000a00c0050090800820a610a1201240094204030250810084214224824025001800820001040810054a100000010102300002142600208608000140148208000002008850a02040202000008200800700808000500000418002608300602400640c02840800810118808008200412208042410118052c02000540142148000442002502440100000208a42e0a010808042458800100210402500140300808200a4040000884001010000020240220020a04a208900000000200200100b18242c0a00020200811221000000810224204a000000102208c00202a02300c0001a81050220000a20000030001ad0000811011000841a040010500800308310c40402800148018000900010e02c00000840410010008808040808802102400650008c4004a100210000a08010802100200000410010410400148010408210800458100c0a142200c00640008400400200040100848240152000008400800910000900200252000800800602412008b10000208248000000242010108000948000002700000600210a1a000040a00002042a0</t>
  </si>
  <si>
    <t>A35637_0259_0110a0ad0200880040001810004a000002000200400910012c12208200140000100040402340040710c0811004081000081244010024a018050402200000808800c00440000840002a00408202540042110110010400418940402008018100840402800808300240118040208040c40050000000a00840000008048200208010800000802018008408b12208010048300400c0020041080200000a40a800212000c02502108058a0064800084000a102202810400800110100008240000e4841005000034250081800080201010800850090880001000084020850001025a04004210a04805081800020804294821045a60860000084070a940040110042600002600858040010a00048500100118208010752400810a40a00110308a0001284284014000a100b40e0204080a210002b0040041805200a000012408902000100508800100a0044281011220080041a200018010000402040200418858002042840800410400d5005001000a85864001000881204000230a040600000600142540100000800102810000e00a1a010608210a0800280000200010870000801040000224810</t>
  </si>
  <si>
    <t>A35637_0260_0c02000000108210408400b08202000400258108808508a02c00000140750008000610010240840000900b5080a900040842600600000810400602800608000810a4204024224010020040000000000830001a800000000c0010001804880010801890284a140440800c40400150000810050200002000050800900300210840a5010040804210800040061041250010225a80044280a44024a050110800248008042a08100052700002c4a01050025004040014801801004801200a410000000000d40040248000050000100400208518400f10040002c4a01051080001220040080201a002800408602400008810008210c0020210000801000a610c10202800140002200018440000010240808340a00900c0804080080044201011841000240a008000500b00842040200140100500c0000054060025a54020051a85004040080021080001880210024014064041000000881090020a202210200258940100142000100142010140340a1020090054000240044890201800890ac00140b08800302400048e0200220011005050814080200200024804020804800240000284011280</t>
  </si>
  <si>
    <t>A35637_0261_060020084040804804a00824200a45280020a64000840280011000010860800005280284084a200010210810648050408100700100108240800900800202a0090a440d00908100040000800802152448000410310150c08040202b1a450200208042440002040400308800600000548008000200000458c0200084a20820020a04040040010a100800c4020884000221010040054000250010a900210400212218952008800002200900400100840050408100c4021001074880800a900452042052200018200000800000412002012002000a4204ac4210230000a308010000840000302000b0010000080080081200a40820aa0241060011000040840001290080200204001850020a940408308008c10050000842908000200e0830200080210820214080091840050200800a200910212010100040040102000800a08100140848008510000010800200050308200048000802040018042810a10448402848a00200018100000402802200108008c4a80280220001a300118042800d1000001011050880001000040810060850040a410142002800642600d1000240080000040810</t>
  </si>
  <si>
    <t>A35637_0262_8d08c4a000142002210e00c18a4244020084024010880845a002f02810140108000212010002940012810808000100400142010c08300048800140300418000058800010e4810a04281011040000020021804a20881a402000008002102500402800002140000048500400840002000a00000200502248442902118040000308002810040000412200810000502900a1860220020a84a01054010840801000044080044080011880064a812010140000600000800012040640012202008202010000048242040100018408400408800410a0074024200010025205010805805200280020001a008250000052508010240700540242000800312000010e00400140100a0010000031821800014a15045a900802200042000200200808210058442500012500000b42048010402300108818650000040940002110708802008050040910210008b00000040140240240000108042800208a0a00080051880010020095841080010040010000a00a64a010f08800d10808940300810010042802000850018a0060a440442008000400010140008010800000410d0045020841204024044001</t>
  </si>
  <si>
    <t>A35637_0263_861000084014080a04000084001884090205001201004a80000080000041a100908850810440148200208058000512b0080001000020024a00284080044a01020040a900d08200148810240c00002000218142000100000100848808008010402258d12002108100600c0001054200200a448810100202440200210242c0800a018c10142210300000d00210802140a0020811000a052012c00240212010a1240001044804a00040090824040210204000000021200080080a300108910050440842148900002000218a00500640040110208300a50550102a00600000c4080a410e0000000200821260000044a140058600c08602912c08100000b10840008040240258200800142040d02200100100010100442410400010202900408008042802942040108442c4000000810840240890000a80010000a40800001000044084a90200880000060881000001800040045000204000224841290045201000070001804a010a00042800048110002c10440412002c02810140208408000110140900102310a5001000010200044000041880010080001841000040080800220885000031</t>
  </si>
  <si>
    <t>A35637_0264_8812008002000100042410610400000840108208200102002440200308118000a5201855044021a15000004200a40010000204840004000000000a24010000060aa5091220005231020010a040000c08008040b0004080a000408010710408148a4211084080a240300008810000202108048108202052000008200000810c02810000640008202210410812012640800040d00208040440e40140400910000a0a100140010200000000640c1004a00041a010002608100500002640800010000800900202000a1001001000060000a25040001840a900a0a00a018410050c1041020000014880834a64044000031210221001000840080011860800005001084090001a35000031aa00000400010000c00200c08100000a0014200820244804000094001861000020004010020a308010502200902240308502010b10002100402010402d1040004840000000804a100408c00410000008100718302000412140000110900510600c00a40a12408c00040c0a850002010400500a00018412840148118000a10208850000010002600000000142108010002f0844204805020a00001821</t>
  </si>
  <si>
    <t>A35637_0265_0012400100800202440908510a40050840010600c08100200002a0080a002000b0200214080821820a90011000004030000a042900b00010440a02a18012000158040d40442900200008200812000008000308000302208910000858208810800402000048200308008000a50850a0080845231890240090214800004000080800a00020015010200005084a100000800000500442008002c0091000020000805040034a04a54080010004010080800040240000001240030020245090801a002910202000500018310408000802942100e0860041a112008800008000202a1884040081020a400800e02400848108110000140a02000242010110508208848012108202202208a1a812050e0081020261001821005020800a002c10802840c00002048400408442400d10400a1a24040080a21200004020840250000080090014010010a010250212840c00a10602110d00008040042000310300002850100000200400008008452000848002140900500000042208010410000100800042808140442a00008812012448202440f00900c18800508102440410208202000002a0025000</t>
  </si>
  <si>
    <t>A35637_0266_8150240802c0010061a400302410800c40200140400012018040948002002708148810000c48002100008840c02000908840502210010200540008058240410050402000000210050018802408c0240084820000020801a41000011044860050824090000211215060020204a800000200748008102800140800200408110812412010002100008008048202852d00102410a00140010042900042208400140000800540008010010048440142b4000a01080860020010210820044000080880a410008000100d18350a10802408008400100900850000c00208000400450802402b0021804020800aa48100848000240418212812c0020014820a408a0800011014210220890864004a000442a0010050040021050020000220a000c0a040510100118002400300a00840202012450000148042840c0211040000005220001040000a100210c10408900408000350000640a1090220001a440c0010001054080a24201a00005000040010a200042500652040002000a0220010020201295000020800041014040211060004250800020000000014090a450000140848802140b5240821</t>
  </si>
  <si>
    <t>A35637_0267_0058400100002a00348810b00818010200902442300400048800840900402000412400850a00812100400a08a0000064000a002c1050080ad00200002300208840208800042050208c00700402850000010110200d08210002800142210000500c08040008140600410808440050102850018500410040040d02248140000810200c10000100402010d0204040020231820001805060000200200040010054000a002200248410900c10002110c00840108508a00408900000850000808300410802408a4874051000041290040010831200000a410012200008000608400800c50200008212200400440042100b4010800804240801210021204001000265000020a040402808542040040c00a00200a0811001094200000a20040880020000084080a01291005824a500002240402000102e10010508a1040011081a000100500000248b08850208012802010100800840240c0090201800861025280204240830074010801a210840302100110600b00848500040842102800110042040e40210018200412a18000040002142000000808840942002012c10402008d02400a1020081</t>
  </si>
  <si>
    <t>A35637_0268_0000000040d0020a44081844840000220800840201875a240110800000140000240c4840220881201230801001040240a140000918000e12040102910518000008218000900210558a0010a042d4004000810090080000a00044004a102000800012800e0a81200000841004210000014201ae1000801814284000a40040004200000020000864881880241054044080200030075824000000004001a20814804280000000004861000204800040201004830000081840004000024041000084004240000220000074000a84244804044080020261011000a908002008200652002100950308810f0200890050081021a000840800400100800000900008042150f42058002818848000410808012008010150002100b0830800a01010060a000040100450210a08200c40102800040400100c02400700000240c0091000ac1084a300040100700800900002800000100040208c0044a11000a400f08808010a0020a450200002050400008b0864031800081801000010024000000044200004a800248308948010410500000002000240410452002052008000200840d0030021024000</t>
  </si>
  <si>
    <t>A35637_0269_0010610002202202118000258200052000000108000000a0a000402800310008000412900c0a910400010208440802500842542210c58400c10840200702100a10400010008140502410000240442000012608400b0000080080804004200884221201044834800040041881004014014000000800a008000042902448100118208002600212010900200400040d4035804a800a12000c00000800412208000802050c00008002100800000802408908410200242440110140000512200500002012b40208600408040410500202008000810810200000040000100800212800800600940000200008000110100100408d00158058850000300512010802200140800200002d0004a65244084010000a300000602100a42210040000c00040000f0024001221040ac0a55210005004011821040080020890021010090001a040908a18108100818000052048340002200908050502b00100200010312048840500000648000500818102a00012002d0080000040050080210020081005010080080070880860004014090805200040814884040200020a41881860020000030081000020</t>
  </si>
  <si>
    <t>A35637_0270_804000054210a000200200702000112e0a10000001000045ac0004800205090090ac48000808000010a00202a08812c40000218200c40852010a48048110100000e0a04060831224090800a000100d00042018c0064ae08000102a0a058000142200900d4004210000851220000020a100110000b40800002a0020260a410010000502c00040400010008200400408808000010400200142008812102008152842410600008008008c40800800042210202010100c02c00c00200042508840252012040200710200c00a40002200010008f1800a850800c0810004000040204000084a84054280000084201034290000000004000085020a000140100002050002042800410000310c08040100002400800508240040f00212210000450a4884000000810000845020001024280011840004804a000002100600510948202042340210602400900012c00940242142a08212800100440050040010c00c0884280031004231080804810000884024a40004a040002002a0a100610f0201000020201a00001004864081000220a01840050800804204000041a80000241294000080030830</t>
  </si>
  <si>
    <t>A35637_0271_004a608010d02140010100540c40000040812218200800010c10140240402200800810002408000200908d08002900008340042400018408102208100008410308042052340342500c00400c10440c00208012200150808000600800100608000008540c4001800280004020a14094291005ac10240002000002000108818b00240810c0201020240081004250200090200880030084000000800030021080840040080091204200015a00a04210004810870005a01000220a00054091020080014210804004840841840005234090004000840024241000804020ac00000a12500000a50100018c50648810140000000808200a00052602012040a00548042002800002010800d00a40100d0200a500100948008900b40052010000452408110600308340d18140008000000a4050a81060240000000a00800a800010042910042100200500d0a80014000001014040050040001060035020880004804050080a000400a0004280a800200008000c0000025001004000060a100100008510142900450018200a0004230a800008118018010c02d0280820001025004201034014000020</t>
  </si>
  <si>
    <t>A35637_0272_0010010502000048208408440640450900000410600a4000800280020010a900012200010008012210a00e00612110140b0210020020800a800040a4010010084240040080010810021094a20200020005a00060800004000010831001240810a002002300000000110100448c42008100010210108010002000210652000058600810000002248900602840c00002340208d08400c00840540002042900c02010440848210200400400000902348842400b00000002000600100308a10708008150b00010210600000e08040900a02018400408800840400808600c0884000000060090014041000a840900340200210a10100418940200a02110800610000040000008040100d4200015080000a04ac18a02040402400242500a10002a0811000804230800045221280040024010220080240800204280a540000400000010300b1224021091a412802108a0000a81805201200060280841040010081810024224070a00811801080214030820050831000201220800a60040021000244000a25a01a000248040d00800800600400402a00140c0084015830885200010000000051010</t>
  </si>
  <si>
    <t>A35637_0273_060061a14280001074271000840240030001060a00004a00004080a040000408818008802500852140000d10c0000000aa12258618008058000c00300750300942018000840218200400242010910200a0005a10880a600112440200002018000010000402a0800020014a60080200000230a010d4a00040000281a00000070000a11200280a018000040050042100918000710a02e02800200100000400212210440100a5201020800080ac0000080a60830030000810204031041010004201844080204204000044001254010220001a01880a64004000a010018010958012110300300250808258e00002400950452300e0020014000a850600300148408840000110048608a00202c02000812050d00000600002040940252200040808410800010400400000842042208140402c0020080210000001a10a600a00000100002200410c0020260211074820260231000021280284000010a80810800044230080840000831020881020080200a100700440000b00008000800340210800108050408200408240002000808202208400210800200802600908440242452c02142050c0</t>
  </si>
  <si>
    <t>A35637_0274_0950800800840000300600248000000048800010818102040112240208208410102c5080000020021a110a00452410808840040a0044080a10210001800220804000041240a818300000942c0281050030004261020000094220000200000800001041210020000010881080845020a00200011064221a110e02000100600a0001054000080211000014a018840000048102800912200000008040102110410410000400012300010008848840300a10402600408c42140008000000b00000048850100040002410a10000140408908058c00300608402c02008008108610018100a08052002110010210900000858240210400008402140040212600400010800a00008100018402a00d02848200400800440c0a050100000700000318400500048008040100210000110400010402900a0a45a002048050408e0000000014030020004080011a842150c4081000000041001000200a008550900200000050400210212500418402042c02a02400100c02400010700a5844000841020001020000020800814044a500800008000600840000102102100018000302810042e00208108b0</t>
  </si>
  <si>
    <t>A35637_0275_0840210402002800000200a02848d02500b0a402010612808042840002500e00008a0a50004204a142908102000900900208210a10800010540802110110c1004041a80200a002048c08400a10100900140140800310c1014000800a40201004000a00020a81000060000004241000080824080004a008812000040440900002200840148140400800152200902a00108000000808202402240310448500c0001801070011030a60840200001000800260a008000a02002842200008200c00000c10f48040100000358008402c0090a002008018602d00000210002108052040410d0020820821011a60240000080211260020080880000200844081070a41a400140008518000902a00000202240008900912402c10800112210510410048442500a40302d00840042000400010008108808000400340040612908100212010b0090a200808250000c4024000000850000085810000810044801800825a000240808142100200400440c02040502008050802810242010050008600a0a000240002108408800408d1000285011290000000844004824000a80030000204000800815000</t>
  </si>
  <si>
    <t>A35637_0276_0810840810008940048300342440040c0805024040820080014020210a200310c40012140900910008a0000060040000005044040000241880084020240080041000000240201004800094004251040000014a410c00c00040800108208508402200000000312608210408008100c0204a000610800000410800208508208410400400a0095a542208018208940200940402510002010840302000642918a08800040300b0210091081801800004280800a40000a618550040018000400a4824010040820025800050000a040142208010010000200c02d0885230001010200800200280a012c0085241010044814a000000540a00052002802000b10048000c10a0021004240824000004020a00054050880025001014884050020011800010000a15070a610200012040200a00310808002000840200108108800a42400000c00b1010010080040014290080261040800040090040a800058a08010042102400202240000c12600000008940240d10800002d1000825804021860a41201280830044080084081080024020804810021201044010801a000210412202002040b0204810</t>
  </si>
  <si>
    <t>A35637_0277_0e40000002602000600808e12802000102240002808010050100002110400410202240802e4080030a00010a85001004000a642018240200142100808100100010a4201230200a00810015040080000880020a200202a0000020004041090010000000210a14004200025a000000400000408400518012912200050610400400e1010010830000821040a440840000b4001000804a20a110508248110c00000050000000b00000000200240042008800212c0811080800004a80044211005085200290834810291024a850802000000440400002808c02100940208600140000500a00018000c0804824801044221a10a400240602410340000140a00012240012000900100910208c0010034005250261011a442010200b0011a90820a000000248800312b10448800410a0000200a208e0000000000005064800080041204040001000090011041890240820001800034000084210000804060820220290000001011200084220840040025220880000a440100048000018810040408802902000140000008000910b08300000100c08008400608100102d0040080010224084000060</t>
  </si>
  <si>
    <t>A35637_0278_084285841000a00004011080000841014024a108c10008200c00242240110010140018012a02100218f08508210c0020800241801004200001000805a14000020044a450842000312c1020240a812a40a00600100408400910d0824801010000080a000902050040800450400000040158012400d12418800008100000308902c0081020a810048100e00040000a0884041a210018a08102300912200800450000450408102040d08340c10040808012210c10440240c02408800102108800440800100248410008448000402040800100010812400512842900300000300600002002a00440200008000c4220001844200000a00044004000a042410210250002640308200008048c0084004210050850060004041040004a000118010218010900000208800848058100108a4000000094ac00952a00000040900400c50800448a0014000091ae0210040a00214020080024201200a050002010b10000002408018508000202e02810100a5010241020a20080020005810040040000814210000004010020800884240810830a400042412800000102340a0001200041004080000280</t>
  </si>
  <si>
    <t>A35637_0279_004a05004014024001a200810050000640008600800808000512300010000f0060000080080a00a010210e0040091080000000040034800880010804a010010c1020010080814015800010000a100c02a1000800041a80081224020045080024000a110308200200600408200400140a02002408f40018110800812148500000002100c0000055a218842218500802010210018308400150808302202008908408112800800000410200c0284004200010801080801080020804054820830aa4091254291014010004200040200020a008400300808810802808112910008410000c02100000300608400852140a1a000a1091084000060884220291021881010220881011211804004201020010044a008858008052800000400008900200040400002402510802a10140c42a08410808100c00d40a40010000300640202410400000218010200400100048008010b00600052400c4290000061000085001080280820850000a00040054800800220861844210210a042312018810c0014200000824041805041a002c0025040200081240800004000004280050a25000024091820a61</t>
  </si>
  <si>
    <t>A35637_0280_051000014084080a10010004201a00040811800811034040040010a210000900c0004011210820250a00020060a000842000002800540e50400000140008018048208400008008000800a0060a012002340050008102800c0080000054010031805a052440300408400902010142a0804231221000020a50010010a110000008808142c0034001000800061081064a212010918010002800000002410208400e00900802248042000100450400500200050108400600450700002042500d4000a400800140000118002010500900110540410152000040000208540800a0820000020a050710000610000410100a00048600200000112c08240208008410008000c02202340400012040c52002040212208408400010e00000300910048000d10a0890800021024080240000211a540208818802c42200200000108d02008442400940200008340218412202300040710002658800400b02300800210000c00340110600a00842252842042040002000d10018500400048000008448018900048a0000260800820811004280010041010080000004004a408000250200040d4801044090</t>
  </si>
  <si>
    <t>A35637_0281_8200a4015094830220850045880a84040094810031881a012400000000140100318200c40002012240600050600d10042012008008100008800000000600400f00e00c4000200801000800200005280024240030030080000010020020010804005090000800215010045a65001070a108002800040840c0284221201000065045810030810040a01821041241220080004a010200808000402208508810618610150002002400308a00000400002058002810500000000c4000204071800a200002000900702000b00008800102248402f0010821210000030000020000204841214891004010040840284080020020001001240a00020a000240100108000050040900408600002008c42000300000c0024084a000002110008a0824084004000020044890091001001000220004a100018002842100010300200800800100448010240400400040010008202742000850a00452308050500300600200110000208440110f02042540008018700810a1881000024031000a80081041004044000a00020014a200400640802010200302240400200002310000202c1041024000221020</t>
  </si>
  <si>
    <t>A35637_0282_0208048042908010000908440e4284280800240821854080280030014004230055001a11080004001060824040041000891805a000918400410400318300408008a02400300248142200412c10500508010440418010800050802000000808a48a10100000008610800102008140802a40008000008608440000210708c18808402010c0001825a00011801000014020a548a0011004200060001044021040004004280a142240108f4200001020025804021880a00084044a110018200500000000048008210000458e00c00100b0210010000020014040005250a800100008800002000248818618050000908802200c10802208100340058000018100600110c08140048000000a08000f00000200210510e4010010884000a10831005041200025000a600202800400100102002e00c0200800264284a01000034004010004010254070064800ac0284010044a000242808910200018340108800008940108040402800a08010042048810752118012000400e0004010821001080800020291a010000c00448150100058610108008850450408a10000e0021820084210891210000</t>
  </si>
  <si>
    <t>A35637_0283_0000800042008040412208200000802c00800110600240200800000000500900a00e00110040a0210001080041a400840100518100002442812800818412d0801220290214024a140b08000400010c00800612810800000110008202200200510808000002008000c10902058c10000152408c00112000040402200610218540240500a4280000080050001081200a000600500c02608010142800002100850040100002100010310a00600942942012148000c50200402600300118200c50408400208012200110418008000040042602110a0081204200a200500a10812400000600b0044a200400248100240010000018000600040800a08310c0084000054040030a202d1855001840020a00000280080a21014210000240050024880a05084a012240410900252112800042200300d48800400000152100500118c0a802000040400408150042812000800100000000a40840008040042600f0044084060011204800865804a140000108000400c0201801200021221a008440000810042842142c00810640150900200408408000e02840d48050010108900a0010010000011000</t>
  </si>
  <si>
    <t>A35637_0284_080080041040000a042808b50000502048b48050508002002002800000208300010800850042018410200500c08100008348100010402410810040118400008558042112008240600400240010440100008100a0800000a100540812208008900410002302808442d00802a00802300908250800008010042b08818050108450040802008a0045221814080041060014800211000004240004a208100110402450c02900100142200210a0a400200300618908800210040040100452808302c0000024880a000200e0a01201204281200050004021004024884820201000820010024010800081090020000094804250080811020a84200ab10048108048810002300200040010940000040508802110000a18400102240810008200010e4080260080221840024200810200800000a00035020080080214000a40020000250014805200220810060a042008a00008118440040800240b02018000618242100e0000044060040820014000094001820001801010040a04010241084045005044020800a90020005810014894841801044a400040a0000800000880000010240004200210</t>
  </si>
  <si>
    <t>A35637_0285_885061080004081815080060221a400c00940010400408008010042010248800c08a50910008800600110008000400100100000410848c4a14034201040000040a018410002a00402100010202802040a1800a20040005004000880040201020084004204200201020821004044080025055200044020051090220220a400250442d10040100018610a02000800400002400a00048600c1210090251a200d0000a040242050440e00d1000891210800a200100010012510000200108e00052800040602112552800810018040800102648000510a08400500210608008008250400808340102008000218400448808000508408002500400100518200440240002000a00202208450802010300042102818410e1a100408808040108000840d40048040408100a1a000c40b0200040890080a04201210280005080020a008840240000202410440c48900200000400000a42802400c48200010400500a08800502140308210010650400c00300000010008a10040008202400808458402800108302402208440200002202002650000000842002340110008118b1044a40040814800020</t>
  </si>
  <si>
    <t>A35637_0286_830a850c02048a4010a600102810040400200042800110c02042840000610000c10252002008200102c10250c0a810040040052008202000400402000402c10040010900900a00100218410650110e0800a24a10001060a040942000052000048008c4000211040800011804000230220004831800060801010a802108000000440800c0034064020840000201010211260000040081801260a208008000402000410000008000d0000a05804000010040061014a040902c08012008118c00000400040208408200450010012e40800312010840608400040300040110302840940400800008c08008818800000052000200002800502e02800150000442042000602812310c00d12810100202150008410f0080080014210a14a400200010440100100600100000e02840908a4200021010801201010010024020005084a000808002000008000c00100008102218108400050100e0214820a400258040000000100150000300a00002840a00058800000840400a40018440208100a1004040021a400108110a02040c4a150140900440000412000a1020841040a20091080080244201</t>
  </si>
  <si>
    <t>A35637_0287_0810012010508340608000100412412040110340000d10a0290020010a000400a0a048150408200040200002008410500000410110400a5090210000a000e0040a000052d0281800090804800804044801200210001001014024224000810804064241010281200200830800a14090a800040510c0040040080014021090014005800010a808300010000e00050a00040000408402800000200158502d0800800844020081010a70001201810240201001020025080a450340102010100042008000400202410000d00400410a00010010008242600800940010002800100012102242810400010c5ac4001000804a21000000a00040220084004080831000010284800a25060050844800000000020820081020200060814000280060a408402902118400600400652002300010140508100040810a00052600d1000020050094800000020004020880084020051000000840001040801a040008000010400a4030204800811085850060010800011891044294000000264021021280000220001814a308900408400002008450810608040d00400310240a1001801a800240208448c0</t>
  </si>
  <si>
    <t>A35637_0288_8210008402002150002d08810602010048808200800200010810408340210000c0225214040800811041091804080270000040801800000010030201200280080020a40204a802202100208000502008008402000010a12c4060825000021040804810214011200800040001a802a00a0244050000200845044014015051050261044020020011a400212018802800110302d00002808050048200342800500412102040a0020aa1800041001014200265080801080004010200000040895a040840008208340000102200400500300008800618a10400200000010810012052902100800148500012202410a00002010508902008400808a40148018000440000002802612210a0080a04080a00844a000048202102140340450800610000500100800640a00010c0084220200004801844000805080a008200900008812050000900110c00800008400e40040510808008840400240200018100100800800002148458800700010000708200100000a0a040812402800100308442000100200840610810142c50110008948142100608e0800080004014010065020041010200200221</t>
  </si>
  <si>
    <t>A35637_0289_0c02842c02208810202a08800802040700002110810010248440102240000808100040000940900408e00c1200880200000805241800000080034030201200804864000280a21200201044021080080a000050508108802110d00102210008102a0001020a810400200d4040a140040240050300008c00c00108150400708942658042140800140600008850042000802008600200050940700302000900c0004000000a000010008c0001a900800142000008e1a200812940a1220041000065800240200a610000050002400240208550210112002000808852612300218200012a0204001a00021044a00000284820081084204a840442008458100e1020080084201834040000881a050000000300800118208d12200012008018802010040e0a100340800208200440002142512110000048010800a10100000102040400708848458010002c0050204a000010008300c48000248108040200140400802f08a00200508818808402408912002a00100000000a42258400000300052810840202048800118800c42640200602400a1000241020011034001820045081004000000201</t>
  </si>
  <si>
    <t>A35637_0290_810004084260881040811001a00200010810010000080820a000c0014a000618810200110240018012000800008810d00100400808050210c42002200000a00102c50102900a08210000158600140000118000808050800400000142210100000612c0080880000200000000040040224010a20804000a000b4a04a202000000240010648000202800740050002e02042400e00a00600400040b4820000005000290000200800881000a058010500240012110008210540200a08452010108600100942000108b08300240400802058340008002408040a0000a108000c12250500042202110200440c00840900208400b00548810800500040000008900800410200008602600500202140040842240110910402842002b4014270021000000044004000aa0001a840440800840000600010218102440000418800210a52000c4000805080004040840010011200010005a412440402040012200002040010308000208a00000400802000108000000902e08052002800712c0080000a84090a000002008a1280200020200810000881821201000011244810010000804050880020200</t>
  </si>
  <si>
    <t>A35637_0291_064a80000010200a45010841a008c02202142208c08040200d40402b40212810042052100000000012008600050102400842118818c40202912c0020a400000710800012c48018000810a10602500000002000008000002500800a08202c10010210012002240040c00908810402a00100240e08200408900240800140400f5001205000a152040800040a08500442100258000810202440142212110a00000010012040810508c10000040400908100200210048040000408000100808218c00410000000012100458042000900808002408050210c00400118540200008040100902102318810110012802c02000048808500858040a02202600510910002840308018008300402042040008810702008008210000a40808500a18940000800040a02400000200200002802108010000240c4800030a01205010010005280050024844200880801000230a20004010000a40890020081a018418600018400602a1200010020204081000a008700c00000000c50400000210300850040440848802300100908a0010044005010840004084001024004000a11081284000090000810250</t>
  </si>
  <si>
    <t>A35637_0292_8900202000000050412600042008542400250008100840808842200a08458300408a08000300a10040000200052012002800640300812040802840002300810740c0850000885824840004804a11010014200080010a81085084200021000041244040280004840020041a810440000100100100808002000000000002500a1a008450400000608218808012040002108112c00812240d02c00840642000102612002200a12410a0001024280000000010210044080004000004200a60000240841010294200a208d40042900200812000110008010000c00040250200348002052500108010208050002502802a00452400902008010200000640200908402000248350002810200808000c40b0a25200850021285240001831800010820084280a30271001000000090090a00a040c0841020040000000000080064860280280080800a100802002802148040148210b42a40400848140200510f00a00c42140018040110c48010002f02040500000a10000850008a02010e00002648000208308040600048818840040100540200048008510a0204020090084000240060031801a20</t>
  </si>
  <si>
    <t>A35637_0293_0418000000002000008008900c10040e42010000218408840000e00b00008810100e4050200085a05020024084a41000891204031000000810080a800300800048018002108000402d00210400042248000200c0000005ac42300b0030070010021a500440200002018100812100200040100a00010058110400040510110c0021001080201000200845840081040004010010024a402050400800600c10100c08800248a0a00a118042042800000a00340100b08c40402002040000110902a0840080220860080020280011054200a04000005081ac02248240100108110a12050202002240110010412800408a50502c00242808800140802412800000800000f40100000108008840400a40008510000a10400100a00002058400040010052800800000400240210000002010008810c0020014240004814260021280a402400010200108010010c00e40102508800000002450c4a90225820004020a050800100418f0004801080080805200000080021010040810270800080001000220094010020880080044004020a40821800204884020014040060890000004004804810890</t>
  </si>
  <si>
    <t>A35637_0294_0208608400202008002600140e42102c0000a05800010005010080801015a01010200250000a810000310400050100842800500418a4040a00204024201ae0004041080090814840a908100208102200802612818810c0845010001a00210004a012110808200048000008210040648900148800000000042142800110a10608608400002018508800b0080000000a210208008040012440a00a1a000a0824800001040200220020084a002102400008050500040050810400808040908c0040050040a018012d0044040000200235020250034844010080880014020890205881000800040261021840014064a200008000440a50010140102140908450800910040210118c10a00408c10a0214a200808a10040802100b00210400440250040442010000300008050900a0800804a31060000001020a100110200c00000802200208440210948002010000908100a0020260244250004814030001881800014004a500008008058000100000000f0015284010024a202208c10010200100d0030035051081000a80000031200880810a208102400002040410140c0200034800801a01</t>
  </si>
  <si>
    <t>A35637_0295_0240412040540002512300440440500a0024004821020000080000211000280004045201000804051020080000804284000a00a21040800081230001024080040204084020005a400008412000010400118000300400040012500000200b00202208040408800442900550040110c0030031a00084841010024080805040024080215084220000810800000040010091000820081a850800102000442510118808040602108208400150a00010042010100c00042810002000000012010252408000048140040808002408810940202000d1030000804210020010820000a000000840800040300810852010208800202400040800910902210002400702008d00002348302018842440c40548818408810310000000802948002200508440010900002718408942040000042000202100202200800c00b12100000602012502808210618000408800002a40200052000010210002200b0234000890840854224004020000831084800020820005000820280000000024010001080020a410000940410c00308018d4004090060800020000a500040000010100200a4250280210201010</t>
  </si>
  <si>
    <t>A35637_0296_0a0280045050a21001020881040804204a00001800000064a010a0a800508810048c40400c00102542900f0000a040508048250200100000100042950452210b08c02d40400000000808818018000200100040210412400100300040108400408800d0284090000820064820010224824800280021021241030a21004200040024a400000050412818400200102502040200210100800d0040880010031021201050040a00a010910008442000000010000400040c0801080a048242400210400842102000050110102200800640210040010200010810b0210031000821021800000024a008500d42a10000240000012400400000c00108010200108802058042400018248100108240402900040158110a08000040000840202100448808500800810210600d00458012008250048000000000000108042150e00e18a00002e0201000220015041a85014220a200e08c18040852008000000c0025001800034891010a00840244200040004050200090884014234024a00aa08040010810008a0004890800064004000800021040010080814200201044200091084085240085000841</t>
  </si>
  <si>
    <t>A35637_0297_0100042002202000008400210250800a40008508408040208010002000400400802a1a440002100542000c0060250024084020090041204a01000001000811004000885020821001a800c48202510d4004825810000800a000700900300400250400040a0200020040001a408000100100402500340002040208342510800100c1054060004200a210002640052400008310200040208402a00108440400442a0211014081a048200440200000008200000700a0a00080014081030211810a81200040000844020084281811004a01004010820804200080214240a118800800002000000502018000018042000848112c00910600900240000642c10408608002840008400808902800040008200010010410008010c4a002300400000450100842002210000500a02810102010550e00008e12c12000040008008550048140308040000a00318608c00200100002100a40c52040800300008800008200040048840042200d10800002802300112410440458100000a00000008802010412c00002200c0044001200020221010a200a4801000210a050000410202c0000080085001a00</t>
  </si>
  <si>
    <t>A35637_0298_0902a00500400042048b18800800150002040000300018800000200148400000210402400200308400910210248000040108400f00808840100202100308010000c40410002100200b00048a0850200200201081800040044090025025010020200081000010200050020001800040800800220001a052102608002012008858840000508800152400a4084a812040110000008142002002802200048410900000040208000100700c00410142040900510010612c02802340002508300c00010110c4020044001004080010020a80035200001a218c0084210020a40050040014010885800200800a412c00440200600a0810044250000090041211004020044080284000000044044000020214014090010021801240024014020050201850004815a240400102410800640008218900f10200100808048400018300c10410000b42342c1000000214280021040090820020a110802000012608410a02100200b4000200040a600502200802510000858402010002b08010400258402402a00208508008918040c1020280211000050a000040202010200208002802c0080010035040</t>
  </si>
  <si>
    <t>A35637_0299_8c0224090200210044a100410000040748008010000048208800900800110c00802212912408a00042508450850800540000650a00610850000b0800000090001800a002302258200000100008110800200008c08a0000800030811204820041884010240225a018800050210540300a0840020894080885284004025800005000240080281a100408008048000140300600f00e02000042e08218242a0085020250010000a34021800a440010040000002008110040000000002602318010810100e00108408408012810450200048402810212648000040000610808240400000000a18010c00318200142040300140008240200100602800300100000002900802052108818100208010008042200a00148202110800040708a00300612000108000410408740c4a040008040202510210812d02400a40642a10842810000000800442110000040400e0800015840000a808152a40012000208108040800c0210214001080020a40080020004a20001800800044211210001850a002800100008650008c12802000840040242000f00840510202818650000e00000000902a5801800</t>
  </si>
  <si>
    <t>A35637_0300_0100000c4060a15800000080841ac02002b40102000810800100208110240200008400010a0220261010000285000040020000880894280281010030a21861004041094000091000851084004800000200a648510008010d00408a00002110e0224200090881230001800820080010000021800000244001200020800091894005a402448118008800008808c42102000102c00002018000940100000500408810840208042042100000000840c08010210400c1040000004210000821080005800010001200821800004051010010020081004084250010200220051040060a500048200400008f08c40010f0000024040080000840200014200a510010808002448808010800200000c00c02200008000300a0045024a140100408000210840340208112000a10002042548a1020020014a400150c4884204061000a410410000002612100018840000900058002a08240040c5000231240a10011840290250290020ac08040c02442008248010000200010002300a5054a008500802000200800140208d00000010000010000818800202040500952000a10848000400c0831010000</t>
  </si>
  <si>
    <t>A35637_0301_8c0040001020020a040808800400900500002142108502040100040102250010210808100902848010408002008040002200000800802250010448b08100000008618040200010050408440a58c40402818000808600850040400208102100100408400000010010118002000c00002240018000a00410942008250508210458e0281210000060000034000210000a848702118800808152000840400410a0005204090001004800824a200450440a0011a200002a0000090084261060034241005240200040000000201a55000000204a400410400c0000010011001800220044040a010600000300000100700000310008c00c1010064084205800820840200280815825281034040200290004061a108242008042102000240c18000c0001054010810a91020204000094000014200805841a000a02000300c00048012942002210200800e40000010042258310d00a1000011044820040091034084800044880000a00800201080030084001010080040200244280815021051004210020a21240020050204811000a00834201000040241020000800860000885084080a14051200</t>
  </si>
  <si>
    <t>A35637_0302_0000a50900240112000508300842000600200100000e00800000800a0000840001a200412442000408808908000102b40202010108900200800548a00412010000058000e4005204231040020010210a002242608548040100b00800000200002210010200a50400600200c00500d0081870840000281a402640000140800b0884040220a00830090000241291004801004a61084804a802800002418008a40642040c0804220000040280200000090a500000c50000000d42940100508100a4280010020064000040004010010001000aa00010e4000050a80a008210b18600402c0200a14841060041010004011060020094205280080820210800004200800040a10020a800200210500102812010c08002400042000010000100502842000800a4011220864aa00000000008042d00010048110842140408018110008d0040200040090010200285200a000040e00600010c4000005a00000000821281020221210800804000805004a052300000542600800c00002150408600408100c48100410000440008040608240400400842840100b0010224000850a80000044014800031</t>
  </si>
  <si>
    <t>A35637_0303_0e40008100802100018208252010050408848340e00050008002040a12010a00800040540908200410400002000900800802200300208210002c02000400800202000d50308040018200a48200000002800108000c02810102042002410810140010c0050024005820030a20a40224011044080880020040230a800250108002400c12600818700008310c0000044805001a80040aa0010030830005a010050200800d0090a010008e4000080060011000201084080211020000000210860000890094014000811020880001050201851a400800e00000240100000100202e00000800840740010800600000902a00640500202c18000608240040400840448000002018500210000400040148000248a10500400000200300700600a0225041000004050810880220211000205a000200448210802808000400810900002010040002050800008210002500008458800710042040c00800000100e1000080080890804211041085a102e02850540108800010042008150002600c0880800090224840840021004a100240102400000200a00c4040034a440008052c0200064081001090</t>
  </si>
  <si>
    <t>A35637_0304_800a01a140140002108008000248142000018512610408000012a4080005a108200a0045060800a200c00310400940200800400010108810400902240540308112802400000940040410e10040802448000050600148008802400a10418000c00a00c1040001035880051001200020000014000040a20011000030010281024200004020024050010040040000020800a610300040a08450602810002808c0024805210824a25840820040005080080040880000880084044a34010080041a200500008800210400218042c00900808110500002250110800202700010500808410842202012b1040a20084090011051030000080000000a80835280800800200000800040a308810800100042850600800e4060241014a00a21001014800a80200211000a018210440010500100010410100200c4030ab1024a200758000100602802118000a40000050000002402108c0020014030800004aa00000002012000910100008940040112c0000804a810c02410802640308400200110418010108118540300108240000000258000610a0804200000090050830801020240010204851001</t>
  </si>
  <si>
    <t>A35637_0305_0012000840100a5a010400540410942002002040008b00818d00602002210c00640a12900a00a4004201005025000000004020000800200a810700802058110d42200510c4800020080010881251014800060040040040080010024800220810a448150900310400200808a0084040000010a11081885084000a200052a00440410440800100110100018240142802050608400942018040102042240800010010002000010008308000658140002a10540108040602402008808040008c4040a140400000300008000048c02000000000200048000412500808000010910812400000050000200d1a60800294020224020030825040004030a500c0804000200224800011a018240818000d02140100e10010042442040102402c00042208800802200412018802400400400a0001811004021a40220a90014230005024001210205a442500440000000e08000148a1011000880200800a00081000a000042d0004070800014880800060010800020060a810012842202610400a0020810044834000880024040004244805021a81024aa18040008a40210410c08010102c4000000220</t>
  </si>
  <si>
    <t>A35637_0306_085000014040a91a040000818800412100010000300640410902000800000100802200c00400058140410202208900242000208600210800002c0010a258d08300058002c0830801081081260a050840050300b00c0005281004205000061800084204010004850a80004000081030880240820000aa52040208100200e00400800002002800008000812400000200100000410a0a012040208110040010108400c02000310040200210e00c12900a00540400000800050640010240c10c00c1810020a000000210042008940908a10400c00c40008002800218302f0001000001000084204200000a40051010000054260070000214004a01044001080801005010890830811080000240020020040200010000054094094810801010205004270001224810021005a00080220204210034000014040204224220884860005244804200a808100040010202048348000100810802100b00142000840400000a02010050800a08208500800210642410010c50142408a00008208212c00042602050012000a0a84010060090010061040880241004201a20800880004001000a14204080</t>
  </si>
  <si>
    <t>A35637_0307_0010412400002010212410040218042042800500010d40a0215020200850220000000290230800231081001001040200880271031040000085000080860260040840001040a040208000200c5005204004840010000000000210000200a818402812100200010000308a0a00a01000000040050001020010080211a000210e48000000c02252110d00802600940c48812000108140c00000d00142118000002402000b00008002400340008c42140102042300a12058000c0a908100200208002450002018000b00c08a10400842018650808002208800200a1830020050a040010000240440508210800810602110050000802000000c40a0240a008040000040140212610400158600802000100142000202000142340008200008700000400000140040100410000c0240005824811090860000010804a010400c00400102600b02508210348200050040010018000042002800200010448c00040810000100200150200612008542048212200300002858942000002040c08400042000a00100148010908018012140800000010050200902a42800040410100008800402008242e1</t>
  </si>
  <si>
    <t>A35637_0308_0110a40840400200448000c0040050040281801a600000640c00e0201010010881000a500000348300410d00c10110c4000035840005a20a84014005040ac0820881200200a242500f1010020240000024804031060a008052408842550100a5800855020004001860010a040440e02240200008902008040608312140500a00040002000800410008000c40500700012018200608000110000012410108000400040800018108810010400c1200201060071010220a00240221000a900050200000108040402a08840010052202800102900a0080000200005840a00834a04280020230030a31884080001004024840290010080814010200200a200212010000a02a02000008150000402808110240d0804020080084030004a018850412940108002018010100000840a48810002900002800002200042400018840a08440108100000400700400802900050000300408808000000a08000200300c4800060021800041070a440900500142300c0044000044014200004060011880000040024200a800000410d4050225821000004201011000230040a110208a1200014200200800</t>
  </si>
  <si>
    <t>A35637_0309_001044001250000a00a008500a00100c40802002000800602102000110440008048800c10502840200400108400c10300000000300002200c0084011a400e00012048000140008540800b4a80005000010001200080041a01024880004090085a01a002800100508400402410002402012440900000600910008002200900208a4004220a80a040010318400050908048058000200802902000108300400310458002400a40018800800018c42100012002c0020021840084001060000010221214200a000112000800602c10648b48200910a4200080010030040020080085201034200204801880a000c10400000210800200218052108052440000008202000b40108210610500402002600848508208048c10000402218400300312048000000040200400050000000000218200a00c4204085000a302640d0020021001080801034810000221054010890020001840840a00240000024a000c00802012048200300210000e42010800040510410500a48400300800410008b10000100a0895840250020820000040280804a810200040442a0020000280870804010040000810000</t>
  </si>
  <si>
    <t>A35637_0310_0508242410202012140500400000500c0820225080040024a840008840418900002410802200250008200440240002100302000a0810241204000091814060000080010000011064a608852002000b00b00240008012a52c00040b00100010700240000b4030004a81010aa08c1284200220040804084810200800000000061020041010820210840045040a41010004010a808a42e12000400842400c0080a040d10108248740010d1a00044204200851060010804840014004004200060840880030011820881090281a00014081201000080881810000a04065840004801a05230201201000005000084240001000850085260881054000a008700000012540000010002808c08010040000040312218108840000708800008218b02a42102000840400900200c0010010821a010200300000c50500100002800240800800140808000a1081a608540040058440808000052102202202200500418000050008002252100410800000a4294800800060021051000010001200800a05004040080221a000408042d00008002518800402a1240040880001241801060001084001a00240</t>
  </si>
  <si>
    <t>A35637_0311_8240008110202050200810040c40002540108000910110c08002108148300008700400810a00a00000a0081204245024020000a108050418040000040010b1800045a100000802002110548002002c00008200410048410c0084080861080020200a10224a10065001840024200220010000a000410442800a02000208510a0080805044a000010410012a0010004810010000810020050080000801010020001081060a01015280040260090000a00a00280040040805000024200a308a08040140300a12108500040202000900300000008d0825251034205260080000024004214a30040010800080044220001800a010000442402042142000810010400000a0825841000840260005090001030060001084a81020204820081010200000080800804040004240840080a040412000c0040a000800000100400400c5050210080854a800548002140000800600408408200450100248040200c00800040002048408a08300448c52100100040900b0a400140a42000002000010008840400108040308000000410c00242448100b00000400200800040000000210510800000008d0</t>
  </si>
  <si>
    <t>A35637_0312_0040a0a01080280040000005280080090800841010020801200200010a252200308002540040000640018400448050008300308900012e1a440002002140000008808000300312610c08000000c40f02300400800102808c40000300048018000218800800212050100c00000842008a02208000100a4805020a800252e08110002802000008048018000002440048000002000500800800000310410500e1004854010035074020820801205260000a108400700018800b0a242010a08012848150340002010800452010042c00008300008900008d40240800000010848210110000300008a0000061a840108002048810c0044040000800844000070a242010242908242310840848102200208000000102040412008010002a00a10c1000210a150008e0020a050100242200042400010440512500a02000c00008000840802040210110000210100340800000010400208050902050702010d0840010084a00a20001010084080000030241000000800a00014005a040908e40000152002240008400000c00112300008000818b0024881040a00a04011020a01000014214a10200</t>
  </si>
  <si>
    <t>A35637_0313_0340000000200008100800000a0854280801274200851001810004800824021005a010010400a10102210040448100d4220a100100510840912000208002800012010510048010000000808802000102118058400410000402500250000200840800442100048040210810440140800018008a00642008002200302458a0014200284000001050801061001204020025000850000a002052842802510308000200000000202000110002c0210200004200090000a04000020010200020881820a51000011840000800841001080800044041010020ac00000908410d10200058800540048550808042e5000240220a00800064200005224a008100410200c08000400048048000a48010d02148040400800d40002000002000008d00d00e10102240002510900510200542340840040e1890044011010805225220020200840000200834a310102000040442240000400010000040e00018358000010842540102818600a08748800500e08000000008802000000b0224225201081800085000a102210e1800000a012a00802140308142040100808100110200240c1040270800844040</t>
  </si>
  <si>
    <t>A35637_0314_880040080200085005200041041a502108018000610200400800402910002210c0a010040400b0200a400448242412100008400a00900040000800018148510b00002840248a0004020001020200000235040210830a00004000200205031804a000000008800200310000e0250004885021020010044890084000a04a00040280805020234040a208040402040008200150c10400840000600158202800540442952c00102050400e1a818540000240018000442800400200110112c0084a008c42040840712410202c00800502202650308400a00402a40b48000000048c10102c00008112010110802c10000048048408c00400410a0880050880004a01001240235a542000212000800400208050a00118000040840000700400212002102240140208900300018050b00100000200818200050900240308010c00010140200858210010050200002c0084850000894841010200091204040040860010010000241221800005011000000814800084220a400302050010500100248400008810400018002212400540812200d00e0000045000800801280021040840010005014090</t>
  </si>
  <si>
    <t>A35637_0315_8600008d40508100602208008000802840000052c1885a000000b4024860890854820040040000260201041840884004001265210000a818800902200002410010250800202800110800c02210042000010000010412000c40002802300000b12010800848210010500440610840140112010200248200400000100100c00140010840900218010008500002802048242000810412018040000900100810410200000a40a00602418910042c00b0010010040821220804200004a500100210400142040312048808100010440e00208040908850040150e0201034800020080284020010800a018202652410840010008c0800885211040820015010084a002002c48240110000302850002a0004a100a18010208040008050008200c0204800010805040a110a0ac1200010aa00002000802008800a00000212000418248400002012000808102050010c4200800a000350e02000308008008910e4060015200001040a10840884014064001a010510040a10100000140440918b00840500048002700a0000000a000040000200300542010910a02008000408100c48c0014801214800</t>
  </si>
  <si>
    <t>A35637_0316_031285800000080200200800021001080230a24800054a00801000200a012018c4001011010885811800020801040244011200071804805200070800015811001a240400100000502310048240500a4a000210000200040002200210000200e48400412800a4020021010200285044a100010a00502c40802048040100610000418140500a00500d00818040100a4a002302400200210100c0820a018c0000024884004014041ae10740208810108002050808902410910900900410b00000c1a002b48002400008000c0241080a000402610a1004a800000158102508100008c10448200008910f00840400402340048c1020240200010000000810815000201084015061000080200040074001800201060000204040884000a108a00610110102048010a08000a00c02a0000020801045a000510f0204a400018948040150108002250100310400002000010102a10a1201004220a81000040010284014034800a240210410818c0080000804800844a800942000112040000442410010a0a000200b00448010800140340400408800c0810204000860ab1840000000004030021011</t>
  </si>
  <si>
    <t>A35637_0317_0840010000440048040000100008000a0005040000841805054200080050240015820044000201201211011080004060280a11aa1074824000230020864060065080244000000224040000081a100c00240250e0000801a810802012008000542802040a02000350700040612900208102002000410240040600008402100008840802148040600110202c0a44090000024050804821000214280000ac0020000000030090200040001a802010c42810018400410050940a08200448018052a00010e00050112518c08040402542842100e00400040012840010300210102c5010050084a102800300000410448018200b0024020a85034090801001000040210240000000040080044880200020041800020824004020a100100a1000205ad1040020060040000005080024020270000001281254080280000051005000844080a91040091010a04204040020004a000902e00412108908008b00052000402e48108140000208008442142010442610058818402d00000540a00b40a0085020aa10040000310248400200842000000542c02910500010000000a5824011024020001a11</t>
  </si>
  <si>
    <t>A35637_0318_0002002c4084284011060881a40000000aa0020200000040a840008002402a0010080000010004840820860064004090800a602400018c0800000005001010040240a400200200000100200c0801010800244001060ac1080200a350518000240840000242302610e0891080280060820a100110600800900448900048308608248000108842012108000208810702800600c1000840001014020840a010940250000848108000200600040d0014084000011865200080220020014811820000204004210814a010312000100a4880050040050244844090011020890050800001080a250000000100c0a00084004800001041a040942048212100908740050842000000500108400440010800200002b0800820000244084041040020040001280824000a01095084214200220060a010008802002700952052210a10000d4280285a548408000040000100810000000500a00d00a0831a040000540800000000150048c1025801080014025040020014ac10002000000000110512000d00408000042310940802010a4081010210080800000080204200000010000801200281800800</t>
  </si>
  <si>
    <t>A35637_0319_0010008c40608208000410118200442b0020a402400200800100d02000510100840000050600042200018000400d00f40008050108242010000840240308710440c0a10000a810108000418800010808348502000010002002140842000b00c0000080000880204a408100402910000240000018200a0005014080844010090804800200280240020070000001024230a200100808000110840100610c00040812100600010000a08410050002008000002018000202010c0280a048000102200c00808148350a10e02a4a140c00840010000618a08010308010200208e00400400a0a308300100910042002608800502110808418802800200048000052208000642102448208850002100042042010000350200440000100058800002008800540100000408000802002100052102800012c02c10c0804801020004024014200090a340100400402d0020090860021880041040090000000aa00808618802040218118900810e00100142012100800708802802600808000a00208002142440040640d00002400400500940218a0080a24080080000200200004201010040800050a40</t>
  </si>
  <si>
    <t>A35637_0320_084085200070880040030000881a100200840000100540000042208010000410c4044215050a000000510842808000600350050400a02c10100c42000218600218802800840300040000710200802842210012810202408c1034801034a000600058810808010202610e0a81000064200265a210000200002140000100000748418010100002410100158a0801000201021260815800880050a258442000000850c5210a840042400c08608c02008010102000110802500042312218b0014aa4a10004021a54051041040a450502200100808810000550008902000418000240900308002240810800002010c00800008010800c00100000848040d10000040000002200008610802050440008150000508900202000008212458000708010400902b40118208402440052d00008010008240000440408118110008d10a0891004200a008600002208c02502900000800f08410040108010240000050000000200008400218910400102600112700a0015000081284085224000080804040060880020200011020205274000250801021860040084035850ac0005001040240001061800</t>
  </si>
  <si>
    <t>A35637_0321_0140852800600302442008700400800000800058000852000c40040000010000a0204200080a00a210410000a0240010884215230040000a01000a118000e08150400000a0a800240710008c48802000300140900a5284000000a242000600402800000000000102010412808000902800200000502040010000010612410000012010800b08000d18018640100c42000100a1814240085000224015a00095a000010948100300210812c1841200010201060820840081080020800a70091001a04000200010ae00940050c4010810805020060a40084060024024060060801091010090000000004000a00020800040811000200804000024a000210200408152800940508100240040012000a10010418100400d00000008102010418042042108040410000108000500a42040008310410858500c0281000810834000845010a808002a10402808042e0004801800821804290010081005000080021205264001220000015200890024000201040001805a400440a0011200000a248010b00018002400140400800e0000214800011801000290a000600810040202840840b4205800</t>
  </si>
  <si>
    <t>A35637_0322_860801081080a20850071010a000050000850148400202610400000908018e18002450000042b18248100010002042440040000000240008100308202102e00c00008042408242108000448c10000242800100a08400210100140848008110c0a200510400042202200408008400900b18640000102440102e00000442100108048000240210408900418c0010080880061000064244a000240018050408a02248100040018340000140a1241000a342200700418000800002050412008400208940942840000d0880a410c02400300048800810042042002912242008248840400800908618208450012d12102340002010002008002000800140c00000800400048212210c00040000c40300012018a0080004000020024030a418612600800102048300808800002100008800110208e4020a110442010012800408012412140148040b00c0045800084010041020830820a91014001000811000005a000702b50000218000c48040200000410000110a50102002112008008112400c4220000004810081000094000810200000801060884000221011200880804211040005210840</t>
  </si>
  <si>
    <t>A35637_0323_090800010084880a108e00800000010440008000308000200050c0010210230084080005094831044000020a410812800010042c1020240a010308a08440100f08410800c02110200800440c1854020080244000880801054040014020080850020044080a90004a000012412400540000400a0844040000000881000031015240281250080a20820084204051020204a012408550c0010020800004811810044000080024044a500048210800200200440400000200c40800210142a1000801a002000010700908040000800240202540c08000600140148300008000002018d00940010000810a4201800020a00030000080a402c00640900208800000400040008000100008300240800102058410418a12808c4200800020a00805005a41020a908140810608e00840900008410010240608800400308008000258008140002240402810200a0011030015020800040240200250020020210000800001000a800518400448a0010000030200880821820014060200a610010200600940a00210402618250408440208808048000000c00442400a1014020020204040000a84004080</t>
  </si>
  <si>
    <t>A35637_0324_0100052002e00812000300c08000c0084a100612010000002c4000030021ae08210252900840100000200502e48110700802540818100442002000240052308a12012000000808142000008000840202100008600c1245005000200804080020200044054a800000410610240c02142202142008050800442200010400008548048152002050000000552002c00a00040008310800008000500800700810e4820005014000004000015a000100048b0820081830a40a002400810100210c0040091004204001a30000ac0200080214000060090800884020200800021040a04050014a002208c00000800440a0020024000000801000284021050a00090040041070001025841044024084280004000a000a02610802e0a00801851080840040040090021010030000840074a108002d00f00402012040048400408812402800008118102800108402002400200042d00012000440e0004065200010084804000290221020834a00890200000050801001201805020200025231004000810050804041a810000850100000218202008152002d02940000048008000e0041040a102050e1</t>
  </si>
  <si>
    <t>A35637_0325_8808048110940258000000940808050108140442b08b08402400002040012100e1285080204080800840830881a010002800448008e1220200020014a44210050001200000084220281020000890084885050a51000a84a042b08202208610400800102d00148012000008840450e0280004051041040241000a01001210084244801220800844051000021081040200851a40010000000000815031800005840810200001040000841000a05200824214250020001204040aa00308500842410110442302210710402040010c00010018008542050102108a48040018350002102240800000900108240402100840008208150810050900218008400a00442c10202808100300800400800c00850540000402408500002800000400800002042c48100200008e10002940800810312200018010042000000008f00400050000148240600008410a00110248300400900052812010c0014a410208518048000008210040108a00810102800110040b08000e0080010291804021000a44090040224804a400402a0084010201800040014000090244a052210810d0080885084024a00200</t>
  </si>
  <si>
    <t>A35637_0326_0a18010000d40200002000e00c0a010002212500000010800000040840102a10a00400040502040742f00008000410000a00200018d42002040400a08702410a02248450248900110010208810000708018012800408450400200310558008d02852400008200000118412408000808840210510810208002048240100c00002800140002a18612410008610400a0820010210070000050004a00804031040080a012040b4020a100b48010800402110540c00a48000010000040108200002858102840952100c0060260891280000024010020800841204200220811805000284084014001080041801000000a000008400e0000a04280a00234010044084281080000a210a00108000002800812050200440800002802218650000100442850202b40502a00812e00810000302448a00100408942140a00018010010e02450202202000008008a0840040204001040005260000044805001801820021091240020000ad0044021804040a008000310c00010000008a02502108948440102348000010600250208912042808408610a00802d1040090004a110042010c40640018408a0</t>
  </si>
  <si>
    <t>A35637_0327_0800248100b4894814260000a25015010000034000840a018042c42250002010000400410648340000e0000204a842400010100000008210000142210240c08108800400108300400310108412142542112000800b18802100100040400700112400402f00810008210342048012648842048200200210100100a18202e00410c00c42140000010500102002410208150300808a00c10000240a1a142e08250412102402100208200c0840014084a80a44240014a00010090010040001000840001060205201200021000a010308808000310010850802000948440018150652800208000002300c12200840042002000200050818400402002000708c0804000004000024a500c1081244000804015240080a002000902352212200800000010000840140508550410000100040008108c00002100400140140210000002100a00b00202000852018c4200081864010004a010c0010010800a80030041050280000010200015041001000200051840070820a14080804820040880041210024031a15880000020280044081250880020000800240000021060090aa0201200010221020</t>
  </si>
  <si>
    <t>A35637_0328_0c08240440048802402118048802050a08040010000840048000000a00242608008808800000900500600a00018142700210002410100a18010100200000c0054020214040a200000800b1020084090885200200821a20a500840050010008202408002200000440200800600000408800058800150a02002142140212000040000850302000210010800010040100a00448a1000004200210025210021041a44800000000800080800804000054200030040821200055240000840000020260051020880a010108210218840008b10102000202a42010202a50008000010040c00440000248318600602002a4204800040844084a540802100012600150008402c0800840a500048010002200008010110312000102100140448008500040002040802400400800812040848100102118142a0a000440112002a0840064010080011030011804aa00000802800450310108c12c0240014000020000800000080a000540008800208412200802040100540002402000210300100102852000040250558010808800002308010008000108050802900b0864000040024a400440050608d0</t>
  </si>
  <si>
    <t>A35637_0329_034240204014084005020040044a450d48b40002300400810000100802702000800010010800208018108050200000842902200410208c0000000014a05810050a840100008240202208908c00800600802150b0011000050040811024800044020284200210831090024221880040a008240408140018000300010042218602240440040a0220a80090045a002c0085015200084aa40100608000410110900050052000110700a00308440002a42002000408110042010300018002900300800000708912110300200010100000812002610240040100d4280a24060884004091280001200891000021814004a102208200c00600000908200500c0090000091020885841211801820001200024840081010a010002000840140a08440a4010010014200060811080000200221820a210a0a000402000a08000d00010440800442900448408100802c0084220040010800a200010a0220050a10015060a000300008210000410000100040300008000402c40052140002102300c52400c00240000008808840808540102148012900400440d0024800200a30024800a10080014024090</t>
  </si>
  <si>
    <t>A35637_0330_0040642050702202100e10c08218142d40002608018448000000402308110400002818000000018450500210c1000040a212150200a12600402000200600610100a4000010281005ac1000085090244004021810030a20010010a00244000084800280080034840220031004a050808048000110302042810700102440400610000002708210302800000000000402b00458a00000800d1040000211a018100400410002b0205011084260880080081261810074041880024020050001041040250250800800a000010008450a02040350310040200000000040210500948402902908040008c00202000810442150400c0020ac00440a0880a24201820a612140400000048508c1281a002442002112910402002040108a00102b10808000142000a00400a08000040850000008048410000040010800208208010440210000540018502900140000442008a0061821880000804040000804821090084001020894010090080065840014a00820801070a000800542000100800508012900040310100410400e1000000085804060060800884280030061030880081814004200204a00</t>
  </si>
  <si>
    <t>A35637_0331_044081000044030011081085800850230a10004010011800200204a900440208008048100200850408810040a0204200800240840001000844084080201000800260000204021200080000080005240004a21a010052810800842148000000602052d00040000412400808c4015030804234820014201001010030020a208e0a81050004290a050800040048440800102000000148000850302200000100240408000500b0201010020841014024084a400000418612000200800048500450a08842040058200408540c08910042000240a0064001001080a20040a31034060a002242048100300140242c00040200450008e1024000004810a00210001880800204014201a200040058050008000042d0881000a040000100502200100600102202140148810002208000600100408400108008000208018402900900810810108a58300500008200800108112010400c00008810800050408000802600910000002618800d40400410802008340000240640100140b10440608318808902300340200610042012802200040042100808050040c00a00118000412802500e0211840040</t>
  </si>
  <si>
    <t>A35637_0332_060004850204810221a800242000d40640302000300000402c0000894200a00834000090280800a20071010020041000000a210108400c0a400200010400008000000810808900048000150812012a02008300c08300c12400200008500500418a18900100100208208218440042240100018700810000010c40040042100910200c00a4030801861080241801044a000010408a4a010902440018000400548040000100040010200402a0040000a008040400710600842a00848000010a00012112800310100200240418450000000108200118000000200008402000000002c0090000a040000500800900008050200800200810940302002350000840048000400800000e10448a0085000221200241840841000000094060a10811264004020800040290864000080214a158012000908440400200018702400810002400600950042800010a48800a4085a100410440800100140200100100a00800042000300008400200802c0010011015011881020a84040014040081804241a110740042748000408400110008002500000410012540000802010a10008248000b0024a21801</t>
  </si>
  <si>
    <t>A35637_0333_020041204200a010600800108252040042a10000a0010245084210000810000861a00080200000a248800840010000002010440900702010900002252300110e08002040000010112100402802802800010040100518012c10600100242010458440002c08000302800200c4805094220a000410d40000900800000208000000000850640000440900200800100000202240208440610100000002400100000050140808008150008a40408100c0a100000410a10000500c0a110100018848a08000408048508e0015200200000000800210805aa4000294880a000000608048542240808002108450850002508800042410250642000208348042200018000500000b00218c0834a208102000200308900000042012040200412008200c00040000800152808048640000108a00610018808202110e00810010500110012d00000a42010310c0004045044090204000000800ac02300000008000008842d10800040000400a0000205224010000021000a010000c08900418c1801860804060210030020010881894084000041280085000011044a10000000000860245014020000050</t>
  </si>
  <si>
    <t>A35637_0334_8008000942002a0004000084080000000804021000004000214200a840002010f00400010042042608400c00c12910008040048200900800c00500050400c00a10200400a42802000000118440010400300508000b42040000848100100010212a18040100848018008008000410002342402200d00048002802a00150900018040d00d08000600a0825001a00040800840031000800285000224a00830864040801200a810002500340040402048148148900202a48002c42318250010200c12410602310018500000040010208008200008a10818000308800202c08c0000015210884010870040ae4011084004a250500042002d1000000201881025a00040284080811010811820005024000a210100608048040008000040910802400c00600048012010f12a0000000880004201801201800220001a140b00400800040408300252400002408800808040010700a52000050008140400018900410000400812002400c1085010080010021810800860200010800060210840084240014000060040800804051220a040300c00240200012500808452300118408042b48000052a0</t>
  </si>
  <si>
    <t>A35637_0335_8412c02910b0081a040008a1200040080200804a800d40010000040808350000442200c40040840300a10002402040748010140e0001244001014800004200800860a440500010000d10210840800800a4040010084800a100400040408000048a5001060001000a60051a050040108000010c0014aa1004240210020060064801a40000014214210040001001000221210801880024010004001220011050005280200221a008210100a00812040808002200e08600040002018000000910048012042940200408102050d4000021804030005241080200200011000080061000020800220001000005895024000821000041201044084815040080810201080000a80a24080020044800050a112008000340050042500012048610048200102440040108800b4020a500200140150000008e4000010010225841081a80284240024070020000860a402048048500000010058142000200502410112002000400212600900c12a10410402108100d0004200a000800208008010208240400c4010011000020845291094001a41880000880040004800050020000204050040080211200</t>
  </si>
  <si>
    <t>A35637_0336_0c08c4a04024001a240110400052012c02b48000500902212802042150000a0050201880004810844280020080290014200a31080061280800224014814010820241a80060000000240825821001000a000000c00400a5000044000800040880061080290800a040000002008012908000042718058808502042208002208108c4000020880000210011240005204801004ad00202010002a40100308410542c00000000210140c0040280001284020805800045061011090810204091840840000240025220201084880281200005065a00841001041040814001a908810240500100140200018808408c4010000000001890a440800002200000610010a0a442100b0a500000010050102a00850400200150408902200900008500000248012008002640010040000800040a4a210310200012410c0000000070044a00010024000a100000100650400248140100b08142c08150440052210410400000500248048212210408800c00902208000010100048402000210100c00302800002102102042400458a08402242802010000a10002100008212250000a0080800074a05004a11</t>
  </si>
  <si>
    <t>A35637_0337_000040090040090060010034a048040808208442000c00e02000940000500000a0081811200015a01041000080a402008a0804010060040810090080040830805ac10400600300000510802250940200100100800400000000900118100000940010150c40018602008210218d0000011a148000450050442800800200110400408802400852240c18000a00100000b0050080010045041000201205220050000041094810000a000810c50c00802010402518000a1040050825044210011004894264a150240010008050010140000418a00912008c00402210418008510208140d0021a002800250400c50902800400310200440802200008552908918052c10000a0200800010280255204010221060060080011004004a600000f02c0a80240ab1800080004080245240220044070000020880080005251021030041a800000318100400512850800600042000018840000100e40300042400c10000800d02200000008242240802000842042100040002410100100208810318c40400400810100318050002042800a40048100c02400512408010200c0001000200064085804030</t>
  </si>
  <si>
    <t>A35637_0338_020040000080030a010400018408050000010000400a02050040800142040500c0040a10000804200000801041010080014040801040804001000a800248108108200c02200308500a1005a040002048040002900240a00442100012242010110042802c0811810080024800280200a04801a210c08440100000802012c00240800400e0001820800010084810004a01060840020000a00030000001280884860804000001030210020001210240080000a810018000000a00100640918412000400400908240010d5800ad00b00000618410008000110a02200102000208802802202010050000010c10800b00010000000000a40c52a0000040000801a04094200000020040024020040020a018050100448000012c4885020800030a01a040b40008452700102810d00840000202000710850452208908100400648400100100200000408a10c42010802048040600942a0805230081010820080061080020084021280024000a84274000001030041004a14044800011010060221211010804a20011084020240044a100210218102448800e42002500000c0004200280014004000</t>
  </si>
  <si>
    <t>A35637_0339_0408608000800108110100c5064880010a200242008100810d00008018640400818440000300340118d0001a018440008148100200452002000a02800700400842000c00808108008010100402450902002200110640602840100052018a0860080080260801000011840a002102300000058000b02412000802000000508000008800000b00040000818000412302000200600102a40410008248150e1080a000440440810600008102048012540010500800040242400c0000010040011221a04014280a108008208440040000a02410108800800100600a12040100110210802800000410100c4041210060200001020021020281010000a04221805005040040a800200018002848800000300042300000a00040008010358c0821a000042800008000000000048012248308640c10840012000c00302040c00000448010800800402c00902050000c4204a60001810821080200004040001010a018002300100200800410402c4010000005230821040004050a208202300108208800340950008010c00000800c4034a000010642810402400b08300000540a1201220020010000</t>
  </si>
  <si>
    <t>A35637_0340_0102018d40342112042800010608010040002108a18f02802012d02200142418842242400000840642100000008002000142202200200048d0280a848042108040008010a00900002f00000600c00240000042100e0200054010801015a01000024a100842112300900842000912602040248008000410450100040110500802002840002050618208100840100200840412400918442000108808002018b4ac08140a0810011000041084a10004020040a500c58852950000218208c00308400050008012012d00002000c40502308048e00100a00942d00002048000050010540200212400000102008100608048210910000400c00400210018e10302812002802800200e0040800000050034024a20810a008140208002640b08410002002008058248418008050012302210600c08050018000140000010500402a4850010020a21021051801045044230001040080001200200a000010108400402000408000100308608000410c0a240502000c4020000254205000220881000081000090011010084084a04000811034221004880000284201844040834a40080030834074010</t>
  </si>
  <si>
    <t>A35637_0341_0112010402040808102100800458042002842352e10200202000140100408a00400802c0204014a402008000010950c00a08000c18040048802000100412a10200058042c00250158008410440d00000842600110002c42410400040310810e00048c02002000040000542040c00800040500000200810400040148402b00200618400a48800502808112800950540308008900850040850408112002100402612110800248240c0884004001210210010820880265810004001005800001a010912800002058118308a02000e48010502808510600410808202042010012402842800048008000050402802008250010910100040102d40200312400308218400202300600400602042042202208002418a0040000000014020020021804201200010001881880820a00004820230a808500a12112b00008002818600010400a42810050c0000004840224890a44a10041000294080224000090080085280040004a418400610040400c40802052000700008000202000410800040808450000110652400112008010608308148b00c0801a00200a80010010060020804020080254210</t>
  </si>
  <si>
    <t>A35637_0342_881240000214084041020000001804054800024041810800001004290020801050201040050a910040000112002c10340210400200118240800008852400210140002400a0020031840011284080020200201a010300200910040840308410208002112d4290000800010001a01040000040830040020001024810011080080a040010240050140510240000800240152008200a1045a14050a000602010058000440540110010e00100000000602800300c0831820000200231244820020885004000024800000080000204050001800a008042040000502000102310302608010000210000a00400a0041290090a200b00c58818042400000400800c00402842042040000108908002d10300310748d00200402840402800110a10a0000804064000865240000205084200010a410a0090200044020205064a000240000000a0000800260040841840290a05240200084060000240aa18048400140c02010a08902000100c00050002048148640b00000248800040002408010608000852d08300040800118218002008050040300300800c02440000300400052008900402a1074040</t>
  </si>
  <si>
    <t>A35637_0343_0010048000448208010110542200410300b00102200050448100800200400c10000a1a900040a10000210100800500440008010100900602052402808500400a4020811230884001a00840205000040811850821030864881010015240a000d0aa08400600050100400448610410900008340500000a08802448100702900040810800008000040118c0a200140100040012000940048000a0204820060091a00000214080051800810820051064080020000011024814014821200a210200c1010080200804a010202800400700108040f00400000402c40b10450800108000900400000100200908210000a0010070ad00d10c02000b0091225201840a002d1010820000201000200885014a810000a18000810010a4800230810050000200010200820020021040890000a80201800021044855000230800a21020005040020a24015800010080000000284020841854804a40084011200800000201210280034a400010200c12000d00040018600a5240804240020000a60814a40010200084020201881000240000004210290004881211014884031041880040844080880061020</t>
  </si>
  <si>
    <t>A35637_0344_000a848502100118008200a4800000000000a000800108608800842000210808010c5a540502800040800702a00400a0a000210110010000950400800158000800008800002a10600108300240100040208010d00c40400000340200600008210a1240024a100002e00900040000000b1220260044844210000a04020a810a4285001010000000890010a20850030010051281805a00005200020011050034280200240800844881064020840000810201820021004000080000231200060800000004201a042208010400010200100210818040608040800100540100058800000002108400000248c42150008010102500a0085004014811800030080a000040c0000214a400440052000b40b00010100c0020081064210211a410c02200c00308a02000408810202052002802410d00440258000800a0200080000a400d10200202448208410802050700008040a10240400400840200050310008400002400010342800210e02000008000118c0080001814000214860281040804811040031a000308100848940c4011045000801000005010284a002610c00002910800a0000240</t>
  </si>
  <si>
    <t>A35637_0345_800261890000284a402000948842c0050080200a118408a00100c08000412010710000402b0004020240054000204280000000080015040800004884041081050041880200025840000020220a010a40100500a08008002110802210510818812c0a850040040208408e02000802040a00400210002c0004080004810060890080251000000020880800004810084004045290091064814010091a010408200840400702008002110300210000402012110400502c0084024081a210218640200d10840200040008e48800100c4021810a010140200000208000108000c58240400848a0070021000000200050084a400408402040002100800540900c10840450000042300500818000010100358400410042040042800b4020a400108002440000802048e10008208000208150400200002840810600202240008800800052402000110100042810400248912100610000012002000a4201071054200000010824064070000a810400048a02000200908010010300008000800000000042b4000021000820040a000008340042618910218c0040081800041030040050000820821a80</t>
  </si>
  <si>
    <t>A35637_0346_8052252c1090011044040820880250200815800880881040280060221031800004004881010204010a40010020200064a81271000004a802d00000008002000240018040c00140640800c08042c10b4001800000050044001000804010031805001a810608040442f1040060000080a24821260010004040014020a000200012000d40002210300100000200840100100010000200608002140b10010900b0081090080a218002010448000400248008002a10140a18010600908100000f48800c10048802002410200012800a00100248108302c40810300842002000a00440000000202140a1014a040000a00010008c00202a5245080200041a40800000040070090021020800021811040800220800000004084010200000051855040080210004244030000861004070801000270851024215204894820a010b1080a102a00258540010a0220001040a240008400600200c02a0a100008a00108840412002008010408112040000200108008000202000850248000100010c48208400c0080011a910100058152600a0811040080a200912640000700100810a4210204280804250</t>
  </si>
  <si>
    <t>A35637_0347_0148408800042200050208d00802810300a40000000142800002202100050710000840800002312400208440840100c02800448400058a00010642018002900102612800048908010518202218940000a50000508308812000800040240e0084204250084880250a010810800050c0001a100008410000850000102052510300008812c08908000b0025040a002600802400000000c10c0290220020821860220a900042110040000d4200010000000244000004000041004000030000040240280010201011880090024800230000a50010010240280030000000080091200a01204a052210100600a0804004810224200891800241240220030280811040840050230040210010820080024a902218400300802900440102440100b18210010800200408508110000040c40108000000a40602102048842210c00602e10150400800312c00842010802000008010300018000412000800410800b0004080220094064041060080810090200040a41000a012010608040110200408818140202818100a10202010002700000100c0000821280000a008648808310c00000048252000a0</t>
  </si>
  <si>
    <t>A35637_0348_044a400d10400840018100608a08140100000012208440210500c00040140908800018000408040240900818002042800000008000510018802102000042e1080a04200264020000a800200410000c00242048010040002440042200150a08100212400242102200400a42400000102812000110040042040902102000800400a4a140200008100218858002000d00208000108042000400500052100310300802002042850048008502440840002148402100000400002108218018100a18600800008858000200710410110400000200100c02000802800040000908c00018050000002208108840200000c00212008210140608042548a40008c18842400002400b08400018300c48540c4284a100218a00002c40200018418010810800c00902808248a00040848000400112000c00100040002c40310202210058418012e4220820800005a048c0220834a640d08212000800500312042000048000800048000218410000802150802a48242800012812100d4000040021821265041080a050110810a1880204004220020020025844040000001000a108040212000308a4840010</t>
  </si>
  <si>
    <t>A35637_0349_080080080080800000a00804220800024230a000400840018010c0804a210510440000c10208110050800e4801a502040000402f0800a040900140012502400100842002840300300110418602010402802140b18400840800300210402010652040910000300100008900c40442308008008110200800800a0084a000800018012002202000250308050a40100208040102108200a0011000290204881804001201254001040a910a0060080044800010060084800000020800a010100218810012240100040e08058002142100a00240118010040000008108000e0081820a00200000000000000240040064834000040810241a000440900200300000012140a00100000800240c12400d00218352500218008102c0a010300600d00000102000a00000b00042002100d48840308800d02c0000000004860000025004211200215001000850a018c1050084004000810081200040aa00408e1080204040000204251240040a04800250000030020045020804000014a012010010c02010c0800800811000004240200020051010060005200000a802642000000c4001040800020200</t>
  </si>
  <si>
    <t>A35637_0350_0210240002848848300308040c02910102140450700450c1a05020210014050005a80a040140050050300800000d42048a12440018542012010a00210008808c0200844044a20815000841000801084084000a61021800080004a800000400a08048002b0001a00000801005050010024244000030a00010280000800020081000001284000200a50091040041200020064801010260285000220a400700902c00440a42050048400000258440902202000408108a5090260004030200010000200020a140058810208240000108b00500e0000aa0281200004a11080010044001224804a000008842450440c0881200051001020000210010000a100610c10402000050002600208240040242000102810100c10500802240410408000e4a002842812000400202200812000008440c0000081a04010200000251800201095004020040000000001291020000060a500452040000a08148452200d40200440042140100010300000402100b40050010842810402308a00208900200c00000008250150000d0224094200020844800054820800060200005030040201040040011a14090</t>
  </si>
  <si>
    <t>A35637_0351_0002202400048210250010010012002840300102a0880084011204a200602600118a50410000248100100300040152a00912440010008c4050080830204020080a000400a02800302408800050000000900142c0080220800024200841820000800a00210200854090810280054060000210041080020241084080210001801000a00000025210020040884880210024a050210850402012548240248000d10c18000008042400018018202c0000001a042018450c40802400900000000850c0a000108100400500808000002602b40000810040208400300a0a000400050012950448100448010210400840c4010a010108c02010102502802510000848c4a842000048010808410612800008102340a0060a250110102800440c10c40e02010002008440000408018c0080280040210000260001260800000040030a040000400002140000618202010042a00418500142008800402200410000840400540c40310010c08018440040408b1061000800080280240a05040000801281080050000844030020800044004a848010c10a50448000a0025000020010000a04280804800aa0</t>
  </si>
  <si>
    <t>A35637_0352_0a40000400000040000400112c10800240102112a1030824814044000244020024a00801084010000001880060044004800a000408002012d10042310402818500000000402810240500100810400008000612008300a12100500800052a00150000402100802208318200400440d02008000000042e0240020201051051040ae0010210080235000050001244050010020000000804a44280004000210020280001064820a048408018402042500042008118042400000840040012008110012902e00008102008d02418150840000502c10300c40450a4a00025010000801810080011004021820204001210880210800051a800440900050100208412e5ac12800910500800600040000040018502000d02800050002100050300e02002002902850300808c0004200054001860200044080010000800001091005a04014004010210020801084810080000a600000400448502802100400810810e42400708008018110000600000b00a00400200012c00002000208010500f0004004020200a140c1000080050004804821010044220240004211011a21000a60000014a00001890</t>
  </si>
  <si>
    <t>A35637_0353_844224080220880021080001040200040085250021090044a80090815004a700258000010500008600418140010800600a48008400208210502000840140000208a42410100010658800450210040000200002908a00800000000010002210400200502c0010000811040280001084085a058400808c00010d00042040300118818442402100000900840440800008102010010200400812008058000000348002040048200108800810e4054060884824280054080281084001001880070a248000c0815214200034061081054210825090861800810040020000800020084090080800004800890a002800700000008008a0004040220201200040850000011284001004a50040000200280200030ad00852418052200a4a400200808400d40108a08000000440000010b42210008208212052440800040102800c4001a110400900018800008000402142110202818002a0891030000a00041000020040020830244020000a21004200284a04050800000280090880a200110902000902002940300200040250c10502158040800408c00000242200110008202000d0200200825020</t>
  </si>
  <si>
    <t>A35637_0354_0008218000048010140010640008110100142142500200008550442000610300c40058802d4204040aa08c0004080200800214081021a408010602812610008108008c00200900000110a50010540408008102600842440840040118140300b00c08400008042100400100000100902110448a0001020a850802240000400000010410900800150400418608142008812008c08042c4010030084204a200c00810000400140018808100008140900058000608100008000308002240010348850100208208240a18050c1240000280a00a20000000040260025015001800aa48052000808008000c42002510800008400910a02400900802900052a0084800a010048200112000442248910042810200110c00410000600300202200402458040208002542b0085020a10010a84001011000001a452500100000e00000000010402000108500108a08042400008008000740400040840800148900918850840400048302410210000c00c48042102008000000810408000200608440250040000002010610052010000648100410208600800512800042002200a1080040004000220001</t>
  </si>
  <si>
    <t>A35637_0355_001a852112108a00242500002002000002800000a0001085050000285a400c10000440c00f0210a248000008008900a0220201a00000020000000804201020021204084040800041200034000015080a040158600112440010448108008a00400050052508148040500040608440b48000400100858440002208000200008b08002800100308408a00010c1000000a052100218210000000202808048500948008550840000702808612410000900912308c0021004090210a800408808200010000040a0804001084ae42800008040208000940800500448018010a10a0060280000201004000894001240240a140500310208808800000248412100a08240000842202012600410200010400300448900400812010e0010200050000061000034a34000061041024a010100a00200408e0a21814060a018048410018440400040802218800000e58402608040440308050040d4000025800840800800000280000804231000044801024880040040090a00880000800215a600212012800942010600400640052100a00240310000f1040804020080a248b1844001001010000010030</t>
  </si>
  <si>
    <t>A35637_0356_0402210000a02008440308100040000000a0a51a20844a64805000800821201000820014200ab08212010040450002000b0000a100118402c00100800110600518000900840040008a10250200102600000110900802002550802200512000110802000800248300e00042010c0290094051091020081005044080820001850a410000e4020210211000200014020210221050010880ac1080211801a008012410150300340008010040800002740000458800000400400008812450000002200000000818400508a1000001024a100010110250200000e42002100110a02000100048a00508500108808800d00000600608048212002108248402200500e42000000040300000810000042808000418000a10400100400048248808800800002602002102400018408402600b4a01081810844a00084020040020050025a40000014a042810040402400a00018142010e00208000c08910010810402410910002048300a00002202402000202442010000e10000002118042c0800044811230281a21000870080051000800020080021801280244814011001021a40000024214210820</t>
  </si>
  <si>
    <t>A35637_0357_0102202d10100100000800a58000402802200310010a4000850014a802010408408008900c08002008300040802800f00210640010800c4010210080201800055000011080201004010000084250200005001a400a0801a80010031030a008210640050000a02042300102800c40640008100a10040400002d0001061000800280001080a20234a000900200900002008002e08458000010442052000510308258000400800200418008052c00040100018000510a00042208040242118010048440300800210308342042500400840100d00a0840044204880050201041201040294001820a60834000005280030200070011200041004020000880034201880010a10011091820060001014a342410000d00a00002e40a1201200080a400000000002708808302610050900108002910100008940040812002000102800052000810602000342840c10000140010c00a10000800042210048208448e00110100010158c00000000800002058648400a00000510800200210200000012c00040840402510848008010008200540310008000400200248000210000008000a4280201001</t>
  </si>
  <si>
    <t>A35637_0358_0c00000502840b0000250001045a44020280044210010881004010004a052800d1a85004000000240000041a002d00102818150808010010000e0a218100410100008900848a42100c00a40408002140000002408600c02042008002350108008a50002200000202300850400110200010010000208000150902a00048400008002000400208400800810600c42442010008800112a00002100100200000618002c0040200214030820200085000000000800025220280060a002008100c10208802000150000018408a18900940240140400008402810c08040418008940a40400840102410210308a42012108340400010d1000210040a35004890004a24000020200800821080020010204021000280820240050204001004800800224091004220004ac10200010100148212042218800002100c00802008400042a08012100002000708542002510600800600000c00a10052000008152c10848002002802000018200000040512a0090014250001865a012148050040a0080080080054230001ac10408a0800030010a108008800a12c10240150708808140200440900a1000040</t>
  </si>
  <si>
    <t>A35637_0359_0040040802400300408608308a10142000208050218100000d00108048010010940400402248100040008150c0800204021240870814000255000884000260031021844060a050012a0060000810010a80044221000240a000000812040208648808042040140302c10a02c12010a0000810291801004a14044020000001024820000294a010512510008442c10a4000240000060020044294a01005000041060210020a802208400510048002602008000010800200000402350000000e08400802502150248c0054220045010230021000811220a000208200010110000000c00300a02042900a4a000000000140402000800402000b40008118000002812100c0084a002000702000000040042310c18000e00942a0010005220000080040020020850aa1011044245000aa00140200000648402300110008810142a5041020000a15080020881210000030010890090020041044005020030044240ac02000200110300d08808810000000500c00818c0001070000000800864001001014200204050815880200020221061021050240001090201060ac00b0080001000800004801</t>
  </si>
  <si>
    <t>A35637_0360_0500008000c0205a008808550452140c00000500100000a40040808112248000002802110c0004220840020801890010000030a210f00208000002208400000410002900100040240a0800241240030800240081840080a102a02242050110808440510208a08200e0000801001010081040241000a04010004a048058008012458010000210200108500a4084000011a012100012602140e0a00804000021020841200081220a00080000a000a02a10100018d0021010250024040a000002400050900000400800e18000000200000012000800c1215040015004a20831281000040800044021000044000000280205ae00100218800a0010a118408b4001000024011000080081280200040a90200000040840a44090001210020804000001020280001011090200200204004a140108a00040112000008000818800240002048100208400800002842402008400200100c48810000040412110010010100100a5a20a408618c50010240a0021870061000214000200200a00050280a440440302000600c08208012000200010100902402040a0280a000100008200100c48b0050231</t>
  </si>
  <si>
    <t>A35637_0361_0148200000100012740008b0000051014a150002000312012800800158040810040c00042400300400700610810042502148100200002c00940142200140a08412210112200100442110802000010400200008800410250040400900410008100000802500002100200048200410500242240100248042440c40012400000140a0004230080000020020a000c0060801000840080880a04240000215231000041080020a000600008400602002440800218c0005800ac40000100002000602202140200000252c1000060844004810060a100c00408142002a12010008418a10000408040112910c02840102802008410c00a4000894004211001a018112c00142a00000042900150600c0004010000a11000880040250204000a200440000800600000000c00c0081040060205800041040201000000004a010010200000010408010300600408a02100100002300608000800100200902500008f1004a010402800100300808440010840108412208d4a042050c00340000200000008402040a00008800000a50000048a02210e0814041ac00c00a08100a00000a5011200000041000</t>
  </si>
  <si>
    <t>A35637_0362_8750200910142040040800000010800c40200200900b48c00040102000600000918000012300200240800048258502902010600110e00648100100010400718c50010800a08340002a08000000040108000148010c10210c4000280a708200312000c00802200500000a1005804000a01844001005080a90000804a01a308200210110900042608408002648142502048202b10412800000c48a0a40020000081200000885200041094840204004230021000804a81010000034804260010280080050025810801040000810250294001040804a050400940200240e0840001844260204a00a40084000010030a24000a110212008500000202008108440000100540250010800810a02d00c0080064a200808840110448000142108000240002848910440300800800000800118308810200c00810400010408000200608840800942010000018250002200900608d00018000050002012052100850408140900108300a0000001000000025201020860a400000c00810112900952210000b0800004820021025240284095010220041004005080000000030060880841000a01030090</t>
  </si>
  <si>
    <t>A35637_0363_0000042010000810040410402408900848008208810600402400440118010808012010502000002600108c0220a850600310300110e1000200004a84250020864021001000024070a00010284001010024a002010510010500b4a00210010000004245220820a04020805005a900400000148908010000c10208058048610602000102c08000148000200400102c02000008000908850000c0004200211080081a800008108148100410240100900a1000021010204801014805a040e1040200001090080011030044200800040280a30200880804284000000060a20011a05001220080800850090060005000a01041290020021880014005005801010204085000080045000050000201000004830091835080a80040280000051000240284004031041230020020081000a050040c08010c12010000040042000412a40002240140042708440002100302200410100c5081841090010000000005804001004000041841081041000010005001241805080251240011021080001020200084011214880804200080090280230250800040204280091230a00084040a11200000040081</t>
  </si>
  <si>
    <t>A35637_0364_0840c00400c00240008810e1020041040a008100208c0000055024221800000831a000c42000810002018b0000285000880000a200418000100142300618000100812142a00902010008c42240440a08300640500900c10000b00300000a10050212800100000402208040840012600240410208400000400640008002218602c0a00000810a14080080000200280090845841004001a04080a208448e0035065800024a800110600c02040502000900602000008008900c42010508808410200000040300200908110200100200b4200040000044084010280211081010a200102842010000008110650000440102002310402452410408052100008800c00000102110010210402050910e0080064041804a842c10040a48048a00108e0800010801030ac0040001a00224220a41000800a240002000140400c08450012050d42242050a10a0a442450408300610200002208900400012202210d00640c1200000004010000000a410042012010008208400440b08800410010000440512908a00000408040a4800000001810210020280000284010021840800021880210080825080</t>
  </si>
  <si>
    <t>A35637_0365_0200a0040060801820040860081240084805824061080000200204810050080820204a040100040500100050400010940200110110840a00010b4000a010000018000840008842608000000400002a0000004811024004004020a040140900502400142008a0a052410000200442200108000900842a4280004001841000860261250044000010a100442410c12408340208800208650000b0200a750018110050900108000002808000418002000140602200418a0000004210825211000a810c40300840702000042048802102000050800202000900200908200208310602040e02000000800c50a0050000a010108510800800440000850010110252600500002252100800808008042908a02050c00008410402400300000300c00200010048840440208100802850000008000410c1a00005220a21030081080a84800000804a010400502000000c02918002c00558240142500018040400008810050640210402900510402540000902108800a0a25000200080000a10070840a802100000158118002800c0044000a10820080020a400400808110200c0060284080801000820</t>
  </si>
  <si>
    <t>A35637_0366_010000080090011000200800040044014004210ac1081201000050084024220860a000010840002000c00c0085841020004210a408440018140a08018200800800410912100b00200310508002000200052410208050200400000802600010a42208000808058250400440200002002248408018342010840002818208010b00008440100008510200200c00500a00312340408100002842000100300c0034005010040221051a008440810010540000002e0840000294254024011200000a200050600018402008808000c10e4820844030040804a140802800000110958002042902042400518c08408440202008142200100002402200840408a00100c4000280a040008000100400002802008200d08102810850008002000908110000440400108040308008402840d40900010408842010000d02208218000048040900800202100a08840240112e4880244251010800840000001220241014000004000095810a01000ae40010100a1010001061040000004000224a00801004890040020805820000800215080a100000010c02400800108158118a0004060040004005210020</t>
  </si>
  <si>
    <t>A35637_0367_0400a12150740a0200a10800a800002500100458008008648440508042100308010a48142102002012000d0a05014250000060001885a00284000001004a40051005010200a810400210100800402000a00200400002202400408018242110440008000602a0801861024004010000a012002900800000010948000140000852c0280080030840210031a41a00250004004091804000a150040a0024841060800005080010040801000020280000211050040021040080010024244280004804880090280a208100000200000008102012010000602000908240208308c10400400502142202000900812810008250010018402452002040108750210c40810002d40040542d08940a00010a00110600418200440000408010502000000058040008210100200010a48040440b4a200418448000500100000100208002000902840208410c00212218150a0210804890064000880000001210a008c08810000502200012000102a40012948148212a00002042402402018140800040002012100308050010a4200204000a05030800091880841020005241200000841010010824220000</t>
  </si>
  <si>
    <t>A35637_0368_010880004210021025070004a000100008240010810410200840f0280a100810200218050800802000400900650000c08200448618010042100448002112818e50410040000058000118100040140a0294804a200240000d0040811844040000845080204215201aa00308000800208000240800402800100a00810200108008a5050000800200891855080a800208240002110610000100102040210400000208010700a18402008c02400100e00808200900852218000202900640110418008002008300002100c08810900500210202018148800010608000008100e0204880084010241800854a608510000010000400608a02000e00010752900210000900040048002210e1201040000000050290004800804284804024800080a400010000202002808510010150200002710208100408c40000258008100000c0800010090804000830040084014021841010060800040030a05844021040a000800840002100108c10008402002010310010a0080200090a25001a01044a000002000200108000240800040002800202e08000e00500600b00100108552c40102a4010025060</t>
  </si>
  <si>
    <t>A35637_0369_0008c0004094004a010610050802042800908102408112610010602108002000118a08902a0881240081060064000014001800800061200211200001825a010c0040080000200010080004200a000808200200c18740210942000810440200902410000240200640100510412400042010252000800048d0024021800200011084081040290050a808a0001840000020004a810100200000142018310010302248c02000200018508010248c02c08000400400010010140a02210000a1000841011050a20020850014820a900048802200200912c02100240848000900208802000802000112010900400400308010240108c52052940108158100218202c00450100300040c00c0a84000044030005000804284041024230000040855204005000024a100408b40008500a0204830001800805a11014aa00200300508012100d08010040008900e0000000880a70a208a4000a042200842000010200e40500808200210000a48002842000150400710808c08400700100040a00d00458802800910512810500640c5004000020020080000005024824044000880200014010a10214010</t>
  </si>
  <si>
    <t>A35637_0370_840204010040015231880014800080000881a20080814021201200080a610900340440140300018000200e00c4084010080a04041805204810060290804200000020a010008112100d00000240c0084000864a81070040a400140010408b0031020810204a250142410800000410200052208308208400810500140312310a0244210094884020a900550000010c0080a61000081a218042002000110108208400c4090211024821001004204000a01844200800a00000020020010000000a808440300000110a0000241a00080080a548f00a00210540400002608100b02000840102100108c0064020814200221030221000201881240001000021801801211080020264221004001854024280270091890020090214010240040015a008000300a0000840881001a410500810008100100000800040042102810200210c4200201014000081a04844004201221090094280851000200004040800a042c0294204060020010860281040204045020004a20081020800041000010005011054080004080064040001210235000a510200450040200048100800048800c0010081040000</t>
  </si>
  <si>
    <t>A35637_0371_0a10410400140110000c00210a48000200008008100300a00400400200000118900c00410e0801004800800a040050000040302010042000102200208100c0004884000040080a408000310012010000018352f00308802400840900400400d00440010208008408a10000c42800402102000110408448400200a40058200452210800502110700a00a10000810000010102808110000150000100040e0804860000250090011010820081000000805014841800aa0041020084210a10835004210000884a400300400008052040018208200040008012502250100900840408c42048918502e0060000090000000250281821a00200280000240010840220010020020a04000054020815000205a00260060a00800004200051880810084284224800005881004001200020090011010845880001020a808200610a40a0800214085a018000000018112000940200c0080040041210020005801011200084000011840a408008202112240302000a08800818412040140100410610000040442000100c1821264204010020250040090280094004020020000840801041290020005200</t>
  </si>
  <si>
    <t>A35637_0372_0802800050a40808000010208040140040218018000f08810d10b0080874050084ac00800200000000410410000002000018448008002a00110840910208800602200010a08050600008542200000008b12210008200040c1010014200a200408002852102200208410802c00000c08200102100108a0200090005010260000024881000201244a50081000a102c00000600218050000c0004210a01a200e02240400208a5221841801a000400400000210000912002000808208308808500610000c0081a20041020020080010210000220800840881080224a652410918a02000148a0044010091041a000200000100900040e02000100000200610c1a01210080005800800090a400042700858000c0000a000c42100808010000410200c40c00808500000642a1050000a01021801060080841004810020010080004001200a800408210000812150402052008800418000002a48100110300802208000842948000100b00842500000142040400148400140e00010648000200840000042108400200002050c40b00140002a0010200044024080044000801884004004030041000</t>
  </si>
  <si>
    <t>A35637_0373_010000000010881a10020085a252002c0281200a10804064000230200020a708410212110600008258100208840100d08150312000818008c00040040242008a58800000000010102610200400042600000502410800858140208252110000200200050800800450008450002d42c00200002008210000000d42b42140410200400810c0010040801044864810200004000a000048040c00c00040118208402208150c0884a340b08400640110002000050010202018400c00b0010260004001a852040358412000e10200402042000040810508002c12200802140c08242002900602000242000810808000040800348d00010042412002910008608800050002248800008008012a02d10a00808008100318042442a48100410300048a00812302812410400940008450b0a10010000090000800000011200000040221814080814044800000840201080221004080081885001000a31060001010240a400000802100400412440850008012610008208048100840008318900842040102000800200218a0000040054004a000000100800440040210408700510808800b02a5004a10</t>
  </si>
  <si>
    <t>A35637_0374_021a042040300050040410100200540802058200208400c42500e0080005080024000a01000010a10800041020a440040108218f0084800844014020041270060a21204060020200a30084004010010814000290000a018100a08000002618000800010242100408208042008d5000a10054001021805040240a010402700008608000d48848000208102c50100002a12010500642042410c00000018c0040020840000000801030880205281054aa1040a000040a00010000040040008008400102040000312010902e40550008052440a08240002940800250040510400400050300048740c0080204084014014a010210c00200c00800002612410008200c00002012200200440058100c4811811200800020090000020011820000200010000811000051010024080040a00044000014280001014094014020004a00044024800045200000884090014001005200831085a44040021000a61820000081230090210010000aa00000048a0204061000800241200280200040820204090004000814a110240000d00200008000018200418102402242000310900000012a0280810800</t>
  </si>
  <si>
    <t>A35637_0375_8808240910840002002200840642000a0801000030844880a10000005000020060001884240034810a200812e4244200081a400800600810442008100500400518018042002312200200402050010048242050108c4080281044014810280004221804080204071a010b00002100008a0225a000500000c00508800502a00108210502f0800010010080060005000a802042600852800800c08200200a10840810040000200002110302000c0014200021880810000841000021200000021020a010008010000408102010900f0210230a40000004840080000020aa1014a000800202000318c0001021080010020a602018218052150002100202400600a00502200a4240211005081084010021004010804004a040100008048400500200102a4021040040000821811080080a148e00048208000808010202c0001040010000015a04031040800890200000200030804a800100800000412208012410400400940240010c0a24a040042118400800c10048400940012002100008850c0060800020000801080840200021041aa0011024004240001071041834060a04270010215090</t>
  </si>
  <si>
    <t>A35637_0376_0052200000c08140100000102000950102202002110e12000802002300002500b48808000008040250000412000102308140040a0840201201050814000001005040214090a80a40a200d42812150200240000210150000802108100010800800408002d00b10052a08018c10500440808140000208000412000012600400402000800900802212c1000041011000a300300008408c4a110d00058500100510200000340000510800000a02052900158000410e0044085004880220020814000800200a24020a008a4220001070a102000010400210840600100300000002048502000010508400150a42400e0000044a500010808040608200000b1004240294000a042400110208202100c00048008110800402100440840400200a40048140c00102312200c0000080084a018448600352442150100158000e18100a40800640200000410a0801890214a10204a808000200040900a0a500d00102000c02402002010800e00010810000050042400800008140048b10600100508000800200012008800400000400008200040010152a0001024a800202010000800002a4a00020030</t>
  </si>
  <si>
    <t>A35637_0377_000001010040020820080011021041020204000090041a800842a0010220240800841a000300b0860880030800804200010054080880060801084210220a00084800880204000261ac00902410000842058648000002a12010248002008000508048442140800150008558000450308800212008540042842800100348a08202250400002b1245041030001084010880211041044880044060000850030080aa12500a4201000200850000a040300210200b10218008110808210400900240000140a4020040051001a002800000802302000410610110a0080221241010844800200000801a50801040a94020280000880094801280000200005a30010280004004014001a200200c0000040090a71000004000001004a340308810400a00410002300102c08a0a008040840a12002000700840040440802640600d4041081014000014000080040a00040014860211000800081020080021a208700048400e00a48400c08a00202000202808000200310000802448b1810a01060200044010020a300100810200500442142108100002000500200940058c08248200840402002108c0</t>
  </si>
  <si>
    <t>A35637_0378_010241001210a00805030054200280010830844000080820810000015844091800000011220021200061020884a400200000440008040a52800400002402a0071861810010090a212010040c40010040010240408610812402802010410008e42000810a0a00020a400410240802d40142100d00240800000600802300910900a0241004830840a010108c0201014010060200084000001080014220010020a002400308000102c00a58400010208b0050a000018440000040040142208108210840000112610c00008010800448208208808900e1201020880204080040041ac00502110510a0840a000142c0200000000881284000200000a20aa18440240502400008010c18408c4044084804000031020841001000201004000030a00a402042202000000010050002148040408e10602858800700900000408842a0a54040004820a008042a1a110142810000810800410012940840000808000210800a40002050310000640800048002010000000240440100018540200e10200c00b4090a04a000410c4080280084060051010a450002002010000d1021a200040400100318a0</t>
  </si>
  <si>
    <t>A35637_0379_0202408500200a1200080801001010240824820240081081214044000010251844024000044804211010810801214050081a102018400410000c08208610810802002542942002000810100a08402140808000000402410410202a4030240894040800060084214800001000090280000030080070021014214000020010004800200000011004a000110e0240010010a000000c1241a110500942008008000002010900040250c08c00a40100008202758b08000048010200102600c08600400052200040210010800000040400800040200240058002640112510b0010a000502300010200000540c40042000800010808510210902040242000818300600c10808212110800040408c40d40240208200300050902142802040010c02412402000200042810240808100100850050c0840000044094030004221090a810000002810000200148048c42448048158110210c48400c0a00a600800108a4080210010a100300800210c00000012042008000c02040008800058418442208000000010008208b48a1a80040800004031005a210000608240102000c50050400008040202a0</t>
  </si>
  <si>
    <t>A35637_0380_0010040002348100048008940042850100200648900200c12450100102150300100810800402202400800058440452840008440000b52000800a02100400500040208400700000100800e00052010108810112010048840802300048310400412400c0000800a50081060a040052040102000b00010208050248208000500102410940100058000108810a0a80024880010230050080800020014050860000800a01034020a400400508840140040242300010c00200100f4030200840805000000080820040ad08048e0a000200258050000900852c0240004001011021a408000e00900112200a0084090220a102200000a00840800108010042800b1840080004a00804090040841010020020014000021244080010000a240a0044200a810400010600408e12800140100100240210058210c00500100202808f00040040802a40100400042c0201230820201201040020010000a948500000000242502002810010700000802550708000000108010008810400a0a410c1000a200400000000000000140800042402200110a0891004000000030a55090020080091000080234000</t>
  </si>
  <si>
    <t>A35637_0381_0400440850c42102018e00602450100808002110900948042100500a42018800100048442202902242d0880064a80280200800010820040004210a00804280830004044000001011801021084000070895001800074201a81044021201000804a20090044a308400110010802410008008202700410210102000050012708200008102500002308418818802010000342048a00202c40000740140110d08110000512200800002010248050040a00100442118a00810440400100000810400400000802b00002208112a42100100212240300440200452400102200c08e1040a81000821225800000a21044200234040890000020000084024000a900012802900308000000210210850402708140200100410800000048940400500c58012010a0800870281800204200044015200220090004044004095241200000020a800500202208408210002002808040110100d1040005020200200810020800a000042800300000302800800200248118610400640410008802240900052a0240240801830020820080a40000800241200011000081040800014200004280885070220000220</t>
  </si>
  <si>
    <t>A35637_0382_0012000000100908258808408042902242810100608010000102242040010110140a0241024021800a90004000210200084000010000224004290a00810a308440042810208042002800a00200400c00118300500a48000002800940202400200002050802018000300200a4804010a910410500800e48040100000608200312448900240100458000c52808440c0210a418418052812400000010302400810200002540052108000a0040881040a01a200808100c40102d08300042000940040400c00800000110400400010940002058408600842910000958000110300040002002848000010100610c0004205801a000148040450100b00100f0041a81000204014244040090000204000a002050118c0a00800080820020061080021a100100812110018440000d0000804271800000025055030a000650000440000800308010000010408000000600800100000350608050008108052100202650002408100008010208c42042000000040000a10000000400050142100402208010340000000400a02210442000b10300008748848002642a0041080000000241000000a40220</t>
  </si>
  <si>
    <t>A35637_0383_0150808002c0000a410818248200900002012200508a58000042c00b00202a00208640802008908008b00508000000002842040008300448850600102100600102002810640010440018802000100800048050000218212040000310602008800e5200000a008202100000840902040a4a00881811801200080a800012018200c4810004230061a010102800400200000108c0091021000244a00010210001081014020800a000608000050940300310050200242800c00c0024264000000080205004084004811804045880000224011880060840084204020a30a61054a010000b08040402000402c50040040008602c08100000450000040440118042442110b08810400000240210010500308540010012018142800800208400408248052502800410800100a02842840102040c08010808100642200108200210010110008040018008e4884a142600040002a00800812400800042308200b0020a512100048412300240408010000248012000002810000202a00400318000010810200a02408c10000000000a4a30224000064020000090200a440800c0820080044200821881</t>
  </si>
  <si>
    <t>A35637_0384_8400218110842040302800002042050002112200110248618040602a5251200011280200050000031200001a208100400010200100440042100a02240200100b4801040080a240148110142400c12140300002900312810802100000400e00608c08040740010000b00542012100040310008800000600440c0000000a308442208002800100418408008010000200a0a112010840250800440008400100418000142a00158400200840002000308010200600418408400000100202008102a42000642010418a0010825040040a000210c00100a02050140018210008112200440000010050800802a0050020835000010044a45a902540200110400a48400000e48202002c0800000080200010000221810040004024200a600008900e02012002908008010600c08100608200148000000c00042200012142100a1804000004800a24020000241091004210a248000402042c02000010300800740208400500308200208008010800100a52000000000802900348242200e00002052810a0084204010025281a000000002740200400040100040b5000000810001090060000014010</t>
  </si>
  <si>
    <t>A35637_0385_0010400442202b08048100000208000c0031241a810000a00440600010648308a08008400242040010808410e00110a02912040600800648c00508200410900600600810d00008400a0000a002010800202150118002448050400000500700a08808940140802412300840042050c00008442210010010010640a0810000090a250400000102000008002018402a00100240c0041880010204a01000a808442010010200040008000848042c02008050218100942800802000218508408400452410c40042000800002008040b40100102a08248048140942250402000102850400408340408008040002000348910000a00008c08500102802342218042808c10800200218e00548040840600102040000840218500902008012c0064001010040200210a010000a40040e00010500210510c40902000002300308350808000000010010810e4020004084221a01000014040000050a04064260080840000024000a100410008008002000000102010210c18800500802050c08042012150808300740c00010012410040040012400a40600012808b0040200800244005024000000220</t>
  </si>
  <si>
    <t>A35637_0386_000001240244080841220080ac4204010000a600400408248d0080810000040000084240080a00004021010ac18050408242150c00300e00c00c08210148200008e00110a0000211050021024244220020200040081081284090881010280044001050014204200220800080014020080211040084240040084014821001005864040084a010200210008a00900802050008000600442050000208608410a1220801070015010020010040080060800a350400602000402d00808500200a08800850800000200500002200c00a0880a340110412000452048000100a00500018100408000118808818200410440100448010140a42052900008510200048208010008a4a000000002800040008800400e08250800802040910012100400000102400200310018710808800100918348100402050000008300200800700010140c48b4000081040861804000a000308908900c12000040250000d0041024090040000824830005800200034200011220001000240020800864070090000040040001000800000024880010891050081020241004000030064240840040a04280011a00000</t>
  </si>
  <si>
    <t>A35637_0387_0900810940400002000008100600850500040212208612200900c0230200010034080085040aa48452c00848202400840100100000850400100100000142018600202010100150008410418010940008b00208100a08248440202202002510000008c02100902112800102240040800000248000a0880840200211000211014040800034220010231800020094080081041840020240000014800a24811044021001084010211000020280844040280210081005000ac02100110000400650852000002208400800a1804a812108910542800d00c0800030a11224000025801201044200010840800081814024000041040090000051040a05030250080820000040001020851800060a140002808508800010e52102008848110008f08808142700100002200610002002000918240008808002110102100400200850418810200000118000d0040890024080a54060820204200034000054020000081201080805221a000040010000102248040000410000000100002410410e00040910800a4040050005825080010000805230801085200220a10000080000860000020800001010</t>
  </si>
  <si>
    <t>A35637_0388_8c42848010302800340c10040a00c12048202040200000600142008240002c10142818440940008450400650a08852000042410400202418000300008002f00048408042940002102418442010100000202042c10008012400a00800200a00e42600100000140042018000e0000204821841a208000008000002218100800200002402202050040110002208802542100308a00502240800602008600500e40a5210000034a040000050410440000100202600810240c02102010110c10000008100000040200108040400000140242018008a12418010800900400200c0820000004005a018200a00000402c0094824a80081204044044a900042600418200802848118010810342c40900000802000100e0000081020014810801021000081000004a04030800041a010800b4021090024000200060225800210000aa4010010080041000010221040200000824211011040004200010025000020000210000800030000004224a412340210510200402010802802102408000340052410002800208800110200100602108410108840a00000c00a4a000400440002800802802002c0</t>
  </si>
  <si>
    <t>A35637_0389_0140818000c08248510700100000402840800142810852c08002802108040d0000880080080a208052418808050440208310302008000040010302850100e0041025044090a848540e1800080811094011801800011800855060a000018418b12010000140310008810618002040000800112310808010812008a02100200050840800208002300000000800412e0004a50020040024a440040840048700c10000c1050000010220080881205014005200210080a048100408a4070080000800a950000110000b00050242450a40002648000100802140440058018c00212000142448102010008042c02802802200050e00400000800a0010010001815885200200a80234040071004005010080a040418102c00000400808240508b4860a44044081010250000200040060a100410208410200042b4000800080840000801204000220000090280000024a25010001000064800040824000011084a200052a0000841a008010000802808042500810802400402a0801205010030040010080084a000000940002d0010804010841010a04040044a04000aa00900410502400052410c0</t>
  </si>
  <si>
    <t>A35637_0390_0102a10000000010050000102812052040200018400442200110240808240f00002040c42500342100410100008100a08000000110c12e40400000a4225a10881004a512302040700a18448208440040200200008212000c1220010004a018008408400500010518010a0880010080220801800011a40084054290020810084000010200810830080004001a440808042000200800200000400110008800600610010342008010108c0821011234824044010060a41000000a842150000a0004a00090804201a50005004845210024040040000824041030811a102010808a00402040200400408308c0a800300b1211000831200051220a200002100e0080800004280211281024040840200225041061800200894080801024010080a800000540000742a08010000000848940302a0881060840000010a00a000412c00002a0200024870020060a000440100008200c0884040020020000a210000050502a00002040c00042818040c0010820010045040214090805000010040020014200225240221014004284060800011a90041241040200880004811014000a01094a85200010</t>
  </si>
  <si>
    <t>A35637_0391_0f40208050340000000100a00c18040208000200410000c1881000881a14811040000880070001020000001801240040020810020010a818c10000148408010e0220040000a11a15800024004a800940000008a1820020200030a048510800908202810308a0a150018000240540640012350100500842810202840400018008800000c00010640600350200002008148010900a00e1010230824805080000a00804020001840040020284a000c0000200200800281200080200800080044024041240285031a008000058912400018110818000840c02648800202800200018042802948002000000400000202040600410000000000400000208b00000012c0204001001030040261000080210a500a10218402040a0031040820000000245084001a20000001260204070010800011805245a000000110000800e40c48010500000400d08910202802240040200018002040040000800710108300800900848012000510100810400608918100310010200400200040018310002600142002008048000550048012240a08250500008a00840000002250810b1001a440f08000118c0</t>
  </si>
  <si>
    <t>A35637_0392_0848242100808010102600a08c00900040818302400c02010100340200018218800a0a40020090021001801024201284280800001810a000400a00008000110012e02040500300418100208840d00400a4804a008008800500a0220801800805000004200814000a408d00600900c02300240008a02002042900800208c00408208000100018008108100002502a00240402000000802100600950100010000408002002210050018050050040902a08140208942048400602212400a1091044050020290050800010a600400b40008000200100818002c4000241a80041020090010000230011025024841090080001000040225211040804a218e0800264000040010805080010ae02050802050000400840248402140800412000212c4240220011050030001880880050084010001081024014084820a002a10400000040c4200a108000642208040c08040402c18852608040c0210a008018040010000140802002010000012110c0080011a610042802d00008900300910540408400402000410e1000084011090ab1004820041a802800000000200e00218a0a802000a0a01250</t>
  </si>
  <si>
    <t>A35637_0393_0400050002008a50108a00218810812642010058a00008040550840100010400040008000100b0800800824004080044090001040034081a10244000a00020000844200020084201090080020245080080014000814040244090810a202100a1000a80020014000050800a01844204020a14a000610018000c08110000000302012002000012640100b0000890000021004040840000004060a14000aa0800861800090a10040080050a800010800040110418400400110008048000800a40608010142808010000108840140300800050000e40002402b0a00864000001a802c00140102058610800008402002b52000208008240000400002408200200202000800040108000600a00110000a0030200840000ad10100010002e10100040010940000208408c02212000648202240a00002002040802140000c1000044050080a30825a000312412440500010248308000802c00040200108110110050040d02000010208748200102c0011014000091085000224a342210010402c00040108212002000818000400100240600100948208000100010542a1080084091210004050a01</t>
  </si>
  <si>
    <t>A35637_0394_001080200090880270290080004041034000a040210500008400400818408c10850400000042048400110a18848940242000208800040002100800302410100018242002800008008410440e0201000204a100810000410d0000a00011880014041200200084224801000200200040010824030884260a04200005a300000010c0800004891220a008a08c40010b00010040508a0081000000a20801060001084880004010010001020005880270090004800825021240240000041241000000a84020a00011210020044244090085210201880040004240281005a800900000110200148108200540000100442012612600200000c00000000608308148000140302040000a08008c0a800400240000800500018140a00102408000202212000b00108150308548000102042118700000802018440648952212010240242000008000002d00200000940a40800102200442e10900908002000008e0000a41044211004001030000840000a20a208308700000c1000000000a810050a08800000018450800610208000b0024810240810004080200010050050845801204200a30001210</t>
  </si>
  <si>
    <t>A35637_0395_041020051004084800061040a24000054201010241000045014050a800510000908000002a00000050808108050000500052002000208c40910800840448008f18000100000008008308200440000600810008810802e0084280021015200045200200000200030810051a81a000a40200100800000800440408802000e1000204005040234250000800060210000820060880044820250230024040280030240015014a800000008018240850000118048600000040500002110000108100210c0050800a400200c00008100902810008010050002810e4010000800004a248042802210702000000012040900200250100c52408c1000a102400010602602050008240240800910400802b40000448100018408410800940202d00900002940a4004000040844040001250a210002c0000080844200800200041060020044040890a05020044080044080001244060020a840c00002102000408d0000240000080a308c0060221880014080201080010000a800c40240418c0010021050080810a40030840005a050148800040308000402040902300202400858c5015000200060010</t>
  </si>
  <si>
    <t>A35637_0396_0808250000342010000000100010100802842002c1801004804060020824860001000a00000820010880015080200020001200011080840245040884001220030221a102648018040218842a00002000008410010602410440242040010300840040152800000002200702418112200210100800808840802008000100c0060204810010020820241850225a01010081a510000048000812800240148110000a0080000a000240d0041001a800542202000000548a0084030201021211085080080044810205001800081a00024215000040800000000000a20000201084000240210210804a000340452040242008100200602610100008202042200402408012800800100b00202a0850020004010ac0084081284080200020080820240805044a10011a100b40010050900800400700048c1080060020804200871201011000a858000010958c0a100900000010008142050010002a10200d0800a00200200aa10000100908600c40500140242c00108202450100012210908c0820214064805000210080000881004204005a41041a218000c00802400208d0084014080225211200</t>
  </si>
  <si>
    <t>A35637_0397_045004050000000a01201005a44210000090a210500400402c02842a48058008310812100200000302218302408c00600008052200702440000040002410008008608000c40102210800008218002a0011005210881000041000010810021021a000840000002700110002c0010050080044200880a00041024080a008108100a02140c40800200410408000102b0280061810085a418000100a1000820801020044010220040a000318210002d0a810108210000000852400802108608a00200c0200821050851004020804000004a052910048010012000300408d0044221010000081000000000a210502040840300910340858000600040040c1840080804000a10000a308000040c12d02240200a00042010450200800002400010c40840002908012000318048800342100000a00948002002a00048040000642202c00108010212618400008400800050410808b0204204000201810810005000041280024021080000040200034091200201060040255020811a608308400c00850d0220004020080885844000a200418c00000010d0260020a00081071064810214000a348c0</t>
  </si>
  <si>
    <t>A35637_0398_824280011080211801a000000000100c4024011000084a600c42008000000000000642050c0004205201000264201080890831810820201051204001824280021000040034020804240894001ad42002100240208208008800540800500000102048140048202500618450858040940000018308c12210840040000502418802400450a00152202008a1800000040201060a01000880200204004804020004040041080020060a000100608402000140002c00040c0000004804244861030800a800d0820030001000020001034200045820021240800000220a000018100448800000210448f08b52010040008300408018450600500842242258018c40000002040800600200c00440100042840240000042802100a00208408b10648a0010010200a500108110442912002052408208b0804a000808908000d18012a0041024011810830080800000090810011a210510002040002000018c00e10802010808058412000000600c50440008200200018402042100210308b0840040a05014000020010800804001050024820081825261011050a11801000080040810000891024800</t>
  </si>
  <si>
    <t>A35637_0399_8048c0080080084000201094001000050a84801010001884000230010224241064204000080080a10020090085011040820041280060020800004a210148c0820200011000001050041080880200224081840a400810802112148a40002818e00600050442808450c1005024ac4220200220801840844085000801800ac1080200a400148200410300410418142800b12048800000000000100002100408142040810008048040908040410800042b4200851880221250080a900012010f0041004000a00030a00810a040400900042010b10a00808400400808402000340842010102010012210002000100c0010010010801200205200000041080021840054200001220840000801800050090840850000804050240a210500110942a00150000000008700c08002100100042102e0820021280084000020800850a24081040800a018a00642010412408058440200808842900142000000600008408942200b10000a0010a05200224a242052800000058100900208500410048a12110240902000e00f0004811000830834010011080040080820200a00801005000080235001a21</t>
  </si>
  <si>
    <t>A35637_0400_030800000020020234230804060000214080214220004081a502a00800040608440240002040200602010d08002010a00000140508808400840202002012800000a4040224884064aa1050ac1004220011000830005004201080824874201014080000000004a110a00a4044081000814000a500002210012c0000820200044820050280020005a00841004241000000240020000800200010a00a040108c40012102000018108618902200000400148108410a10c08800440100410800040802042042002300000100052850048040342508800008910200a10210800248002410000840002818840048100a0205800840890224041004030a148008042852112540008050100540a00800b00810012000610000150400018008500302048050408008018900010040d00848000200800008040842440800648000040a02000800000412108400210100800840202000018412400540040202008100440810300202008408c1a402400100b40540810c4020200240095230081005800080014024220010811245004200030020221010841a80000080204aa1040285080090821a15000</t>
  </si>
  <si>
    <t>A35637_0401_0000000000242102008200d40010102840040000500540008010400808140510440600000402000002300240250040142000440a08010052010100902000108c02408000a0800050030804844a51080aa42008500852008810000948208410008008010740050008000900c50c40200010000c18040002940a00112000008208a00850002208150118a0280011070210200870880021a012c4a800100800802000002948800340d00400800000c08008000800302000050248050000010c00640010000208600218150418842e0091050001821060005014a04240280090a800500240110010000240000010240802150400000040802a02010008408400810400e0a040002000c1804004200001200a118600c40000a0084a010b10010200c10200208540008400a0001290084a440200648a0241020021044210001000011020234020030001a40804244000240081020281004214201040801860885a100400208718008812208502600200308810100608000c42040200008058400042000000002100640818042440808000b0050080050230820a61a000552a0011080000000041</t>
  </si>
  <si>
    <t>A35637_0402_0340040002040000248018448812412002210040c1005021a000348350400f00408c5044030a840302a00000008c10200918108100418000010240240118500202c18050102a0a252300010018d4204080050280004060000020020001801084840010224810800ab00100450000a08000110210600402940108a4a042208d00c0200040a000008510110250400408900000600000050100c4a150300600000408810000000010100008000142240200342408b12402140508b50008000a00000000800010208908c02200000002008240408108240000600a4a500000812008400808000050d10900c0014200000040031021000240040004800031825244201010aa02118200b08000040200010000210210c12c10040810140808500a42110400210040000410a18410840140010108408608900902800500300100a02000408040040708058402102048002000b08808008500040800610c00410200850142102010410200040802700008048000b4aa1801010881005041071085800044004a140a08610000440a00800600000e0080041000211804011015080041000820820841</t>
  </si>
  <si>
    <t>A35637_0403_0842208510140010108100200412010602008402808018600000a48900012200012440050148002300b0040804a04090021241241821004850050210810880001804040000210040000040a05004010000044081830201a840500800018c00040008142240040400110402400000402202148010210200900000800300208b00408012048840408600008252002508240000b0094001004280001801010034080200080881a052200402040012100140500400242802810500842400000002c0014074800a11ac00008200452042108008800800000810000000502810000008c50c0011000881000020200044220000010000aa02000108010740518002000c10b00008212208b00208102002000110500840a4004010a10a41220090a800850f02040048108002810442002900150200010440400000a0064200000201200200091040800800084800080820820040840281085000024000200040200000014080211210020280094200280a20081001800200000004014a90001801010020281210001050860290000a00821001800001a100000210440c18100a1205000090850a11</t>
  </si>
  <si>
    <t>A35637_0404_080040000000221841000001a400000802910000100b1004814200004204a400610c0095020895000a208e40612010c00000210810d40818102000010612600902400100b08900500000a0a808002a0000a400c0020040240004a008008108000850002908200502000340808410408842010710600400502800340158400200040000540802040400000012010042008140800052c00000208012102200e0000010004011240a008c0ac02900602a42050210058050400800900100008400800410a0204801001081804004010281820000010a000500208000002000350840c00600b00052000408c00000000808540000140840500402100000808500002d00000202248100040800050542a0010830084020a002040110100308802600052200010102810012610d02200108408110142840002902002150400010642040040900000500040000500b0090070000010a410800042310100410008418440100018442800400a40402002010550100000000c4240a242002100000002050140808058c0000220090200885200040004a40000050221234200090000200024004001020</t>
  </si>
  <si>
    <t>A35637_0405_030a60a10204000031041841004210020000060810811801214000aa00402800810c08410202042058100c0000090024010a008c18050418110a40200450d0880200855260000240011024001a100600802100210000410440800802310108240800110208000002e00800050010a08208240a00008408512500018000e00118808440300340040000d5a81a010000b08002d08808c08c40000a0800201011204004004a240142800210440140000008508100c1824000220020060a008900200940140900200410040400050802a02200010200850800800052108208850a0200220000230a11000040a04090210000071094000a00200824044040020000880000a210440200002808042202158000500002040800800218510008110c50102100010408b0005000890284a102050400000a00000e0030200290841800a000d40012200c0024a64004214025004040080200050200090220a018040e00440040000002210250002010002040250118918040110402050100008900208400402040018b10502800940140a42108000442c02810d00310158600c0001080204201024240</t>
  </si>
  <si>
    <t>A35637_0406_821000055040000210a210012408110842002400d00002800040002008300200848010900300040408800600050040442808542008008402040040310448000500002000d00210400108012a0081050a84a00a300000a00402000110210a00100410800840100340800600218d0080a018500500102400400a0000035000840004084204805200010020000a000208200602610502842012508800052000648040000040002002b0000020081000015021060030841800200a208608100052240c40448200400400110658402202012152818002800900000208610600212000900e0200015811014081280000080a00800820a21840040814021251000a01a00090800814a40001241040010000020001030845005250814a200808140008100202000210008040c02100200b0014a80000020040004031a40000050021810034000241201025081a100200a0a010100418048000640110408108a00202800c00008152200208002402040800008b0024000a01020000a600810908840000048802152010800e10400d40010110400600000c00a0814240020001041250220014800800</t>
  </si>
  <si>
    <t>A35637_0407_015205281000a040010c1001020800040a340100000142a4040200280020080000a010c02c0830014a108a0041280080a01800a010418040000502240110018008250800102000200600010002010c08042308018f1044210000000840081800024280000084801a010a12c00002102048442000a0004040220010001210091801050000080000041000a002052042012000000000002140042202412000510010c0000000020021005041850090a302200c00108000810208800200500040000802048202442200340c0000040000800011810880210200280a000408040808000400948400000208000000400910400700e10000c02840118240400048a08050002212200508a00000442000318500808940400140b08a00018008012002100840800408200100802912840000108808158050c12200002050800048018100248108200518100640100100002050000a02042440100808108300040202840042100018810202258000e0014241001064041284210000a010700810208450600210258400002212000b0a058202808800410042000140508618a00008802f4804010210</t>
  </si>
  <si>
    <t>A35637_0408_0410812100808248000b00000002000200858412600550400040142818010000002400100d00910040600200e0000240280200201000a050c00f00a40208008602002150242000348100202808412800042600100b00208000000040240810002010c52c0a04020220800261000290080a050110008050000700240300b18b0ac00050000050100200e4004010030020a40020045a042150902000308008a08048042600940400010802c48d02100100008008008000000800a0040800844000000260200200000080220004040a148058600a10242800808010010510400c12852c4001055000010040281000004011000874845004200000261040021080850034815220201080880a04090020020800000864241004200204800090a000000040850310610000040410202b18140100000a0014000a11a008900200000800648010002810800402c00102002218500900e02000400808148018002400100e00202640300800040410908810600a10140c0004000020021800801244a900a0090010000881020240010834014220000a01800000010070840000805a440340a0000020</t>
  </si>
  <si>
    <t>A35637_0409_8000000540840008500000210208910000002048c10002010c1080010200240020004000010220250221890285200080004a04000865024240010201001250860024000004aa00000000042040400100000040b1001880045030a00805280050a44004280a15001220820a200100340800400a00c1200214220a240400000c40400100a0a04201a30080020ac4000280200040084a00800280005261011000a81200284080245010820840810080884244280004040041080220805a110100848402008018102510b0041a00000a058000010000000140842210202000440e08000000000200108008010040000008412800f0200a010000302040600a48440802440050008d00608850140140840000c0841081000040000050000850001051020a91001000804000ac12002800040000610442540000848408010210a4041010024204a00020040840010081830a800010a08012400300100608148010500042048040800c12410810002200010300e1a002052100050502e0020260800024001024a008818800800140100140a1044281255044804035010040804a05000295001001</t>
  </si>
  <si>
    <t>A35637_0410_0842408102000200102500910048002500112048e00510610800240b58140010200e40d00002010048000808840400408000000000812818900002240148300808240140540000510010000218000e48210408a00c10600400208040000b00c0081040030011000231884000895004230000a60085004040060010064811004220240030010a400a0090001880040000804081031081881024020a450108108a42400a4200000000034060280000801211001064040200044201000a900400200102440248208218108a0010210000000081080a40800210011034040030080080204a202202300100042100500a00308100000c10002200010500500a00a08000500a4010220011a000c0030011a00020044820080000000801880805040040044830820030020824214240090010001080845015200205004a408c08200000400000300000c10400500e4801860080080824894094ab42440000502010050400058500408900a5800000a908000c00000e00100240008242018142042100502310018c00200202400200000018008502810000900302010400648040c0010880010040</t>
  </si>
  <si>
    <t>A35637_0411_0848e4204020a01000050814020290040020850280800084244270000024000020080280030014801a108102000c0200a900600600242058002008108542300800800c40900040118000600250000202100000200212210800400118402000c50c10910800210210008000000010400100400800002012012542808500200540600412040a4200a008b42e42140000018000d1020000080090084045000894280240210000024020011aa0000024800a000100200058402400012100808442000040802800048400812802002048018202408e00408110002010140d1080004011050020010020000000200200000024050000284011004004805a900808040000802042102a10200400100a48b1020800084081a04210010824060000081a402608052402100210e0004040804021060000800085240001020800821000011080214001800000241204094894800021041a000000808000102c08000008840200800300a0851000210000000a108b08002c52000502050002300408248500800100000710008008912200058200c10b4200844000030a00000001a60090284010801080</t>
  </si>
  <si>
    <t>A35637_0412_024880800000200a410200602a02840a02000002000100c00040008900200a10812248800440000118b0810200805010004a00280090221081044814041200800040805034a14804200861800081200820000011084a040040208010440018800812000202102140010002200802302008500400300218042a42800200500212000500a4801a41ad08400000000c08852010008200410142102240200100300c00842442002010610d10010c12040b0040001034080045010081a300a10240400010302058408408400c0840000a800640010802810410300b0800800031001004230880265020004a00001000220811090005884010020010240000064001054084084a248108810212800c0810041030040841880010001244090044aa50502008202008200010248050002800010a08000802000002a0000011010084001000021054810080860000030021001a000800048440048040510010000000002440b00108600308810050248100012810a02810010100208200408c00018442800102402000400048800402210008908040c00c02400800252210640040042808900002b0</t>
  </si>
  <si>
    <t>A35637_0413_880860015220281801811064200041200210010281800004080000001041860000000850214880210a610400000c0004001800000040800000080a240200500c10600000340300008a10608040110948102718200000402000400040012c00040802000800008002218302208440448810002100b00448840100900618400440042900002140000218002640c1240200a002300900040c00a08050108018512c52000800a0240020810a818012800100102100100010010040000010f0021204051090281021080850040010050004010240855805080050000250020060820000010210a300c00858802002040a10012408042000842602000100000108a02000000902000300010c1040040205004801000a412142400200440008440000002c00110150800040200500a0890a01000000020010044020201000070221281284a00840a800010210902940802010918402e40040108810300900b1080a040800100240200810c0044030a008208418850850000200a08108800908210c0020221834000001aa02012040110448c0060084284260015000890804000044010801010000</t>
  </si>
  <si>
    <t>A35637_0414_8242208050d0a000000900202808902208212108008002210810000002710800140008452b0004050020810020245280220a202610818048842008900000c00202400840108150008010a00a08040040248100010102000500c00312008a0020020800280a21a01011034020004040091a050308048040d40000910000800500c12902c0000a15041004224040010004820020085221010000084204050014084890010a20a240100800000452500040108b0010004004214a048052c00e02000002348a4824a80040000281004020231000021884001064820051a508050010c00842008110800c0820800000880040800884020804004001a212210410400000340848050800558a0011000a80810050864004240200a10a20000000201010000830804000800280041254024a00a40050821004044a200350000248250102000910110200010010402608200000008c0000a14004820000a118858200100140002700000002202850000818400808010000c10948008602810002802000302900200218300402042102200058208648440010808210500200110a4045214085a01840</t>
  </si>
  <si>
    <t>A35637_0415_0c0001850020a11040880040844804280001021080080220a840242008000808012e00850000b0011040001200200054001240a400c00418140000a4000830084a040000600040000800100818102402818200400618000900208210018400900010442d0281060000020081200200205000a01040000080080880200a41004a04891054081810000820221a810000012000000b00802840000a08210310610012c0044a000000c0080200204200005021020810240010020030a000a10408008102102902010308410442050b0280064000000004004280021040280810a40001000011044240030a048040402008000e00208012500940010110800240242002800218410108150402100208002040410810002412808802200408308c0a000500812100310800610010900008450000218802050048102240010210000c42040800000300a02810002900340102c1801024a00024000204840050885090004204800a000100610910640010400c0021004000040a110018010100e0040074080800080000800044200200220051040a84814004a01225230055020090060084001090</t>
  </si>
  <si>
    <t>A35637_0416_0948a10512000102002410548008802840200650700000c00510a02240140000002000002448950000d00a00810100700810400808050440040900000010800400240042a4000810a400202418100a00108000400a5245800080a102218c10008240840000000402800c02640002900800110000748400410440042202410900800910002818010000802052c50400050000300148210000102200550800100048900148852002400012640410000802208008c0885201280011230ad0821001a400302a0010a00004000041004204001241800a008110040208600818000000400040800010a08300040100402052040310040840502800210642100e40000910800148042208210c10010248208018c0070200014200810041220031a00001004010020800060005a100848300140400002812c10600110000800458012050002850018000040210040900208142a1880204011200004200880051224800254084805200880800295094a100010010200452900908110108200800052c00402000440600200800c02600110242008000240000a42000200b00c00010852c4a04010080</t>
  </si>
  <si>
    <t>A35637_0417_0210e00800340000000400048612100000b00410210200c42042500800100d08142400110000102500000418208000002940052a00048248400202300012008102008c50408808548018908000802008a08000100108c18400100140502000042e1204000280a00840864284051000011004a400210a00010e40050350000008000040042940208110808e0080084201010280090020050080004a04001001000845004000000200071080005280881040801001040004020010060a500000202002340048418600000408942c00802048008308650410000102250800040042940a0805044211060060200050020204861000844280284801000090044204800040001061001000204281200094210001085020201210a108000200208240900300b5a24010020201044040820024240005205000244280010061001081040080800001281011a210c0014230200800090004000024801a200c00010010440740800058008250200042808042110208200c10040202042208510048002d00440100242000910410000240000250c00a4060000210a10200a41000281005080001840080</t>
  </si>
  <si>
    <t>A35637_0418_0200402802208302002000400e0804050804844801010804a800002202100200808018040000208210108842018910042948202018c40600000100050102400800802000700018018000500a00000140000408000800a1010080000010010021004001084084a010500500412400e08118000b10a00048c00400012010a0001a010042e0220031820001080a11290000840070040001054000000264ac00c00c18000b0010000a61020220015000220000800080a010000040808000200142040412400000500900218c12042200110440610100248040102202050008108c0000020a240048118a0240000000a102100800510400000642240200608300240000100110348300100802810002000440c00700600100300810000d18000208c4010080040ab10508400840440802542c0000060001020024a31a208140002050000848410210508400402840302400400a02008150000008448508100200c4000a300042200912000540c08218040200410040002000008350100310202810602000440410440210100008240110400012000000040100200500800240950840a0030090</t>
  </si>
  <si>
    <t>A35637_0419_0010402000100040202000508050100a4000201001801880840010014004a210808058512b0000840a41804040040060200000a40020280800014021004a00001800014004221050010080200010000204a14a500a50000440c0a00230a110650000100802100200800b42448100c00200708400000a00002448100150a00008408402000000700a1051800244230804a040100240802910002200040e00058800400100908050310002a00440a4214800a41004804814000090054010080021a000c02002208c08040000c0010824814281040004014290820210061010284a85030800001a018112240110800b0a20820020260840080205020280020000840230a04001200040a010810000a18640300008042002048000100010900000000100202140800010000000d00908210900110008112e0004270801004000880040224020050001000004050080001ac0014044800200a040010918150610000200800000108c18400002008850102208400202010a00000608510342018c40400b40402810300408042100200010500702a00040140a0200001800060045270081a400f0</t>
  </si>
  <si>
    <t>A35637_0420_0258808002042012400808810c1200000094810040840820800244010040880044a05091024a802448808000840010e00000652a00100042100a00108442a00440400012a00a4801020824240884060800030001024061a012000110008500a08e00c00400050000000008800000000000008008552012000800040400508d10a08010000200008200c0201010294a01200a000200418100442808400c08040a00900c00342118000a00440100140110400510210800000000a12240008000840802a00200102218218400440002a0204220020a000902200910142408502c1a80004220821880080021244040a048048010c4081044000020031030041a442410000100010c18f00012010400802200100540c00010048000000200240802450000040212000808200000142908210000e00000400700a50108d00000a4204060801800820001020800200280011021805221015270000011820091020a100800002240900842c02400c40102240a00200018000000140410600748210840642200018500800850410200002412800b0a400150400018240400a0844080200080004810</t>
  </si>
  <si>
    <t>A35637_0421_041801010080200054840800a008400000a1851260010201880200a11000a008000800c12100002408a00110200440640150008010f1080044040020011840060220280090a10020210084220a01244aa18600000000012510500a02200000000802002100000002908a10408900048000240010608008810200b1040280085041200000880211890081860004024010004a60001005251204211030800070a048140000112200010000008100d0221224200805801040210a202418a0814a602000300a02240200540800902800842100100e02008012002818440410e48240000000b00000410200002c02700050400408100450400002200440010208000000408a0050a000140c50042200000200300c00a1a00020020a010800510800410e00040108018800408942802202210800040040000300000440400040400500c00900452810150640102002802612318208c0810024004a010400d1001011280280864000804a202040540008010510000400000100208300c0870080090284001805000001a840c0000004024081030280281050024224011020004010004000021051</t>
  </si>
  <si>
    <t>A35637_0422_840a800000200840112e0800820010074094020811020804804270281820001011004040094021000820025a040010800008042210a0040ac1214004210020080000040200020031020840a252012400000018d0020081280004a100218000b02418010000158110418010050102040052008000802842800400010100108402210000500202410100458858102040100002208948608100142010002500348040042002a00208000040840442002a40408100508600100802210200008648000102002010308200410a00500240048500110800000d0004081811a600210008c10d00100608a0080040200094020220011010ac12000600940240018050000050208112050000808200010100002448200802010440b00040002000300008040008842148800008010042942108000008710c4204080210000020000025200000004021a008810400940442900048008200012800840052000408402e08842048a10350510000810010d0800001a20880a052400802902740000910808100200052408008400400000202800008410000048040000808500b00400a0004004004201001</t>
  </si>
  <si>
    <t>A35637_0423_0048040800e02908740108a0204040024220220840010081204000890814020060224000000821051a20010060215260a05010200095260011004000041891000801201280800a100d0044800200080000045070011000014200a948000c00300000842200812002100b10800940002100610008040048110500002340008d00840010800108202c1050040004004800221a010002642802000b0240a20024004200014004a05010004a00241220020241000081880204200a800302600a0024040080080201041040a05244000a110008110200600010148000408e0000a640c0210024a040010000e08000340900048600210050850c08000400d0005000a000c0a008050900802018040502902408e0884801014094080011251014080240080010000001024000a002400800000100040200412802842002100400002140d0085020260030280081264a80805010000840814084825041a200040200842000010500a0024800a11080000a44051840060004000880820001000200a040848850302010608a00100400000702218d0201240080090200a01011020811010010a41040</t>
  </si>
  <si>
    <t>A35637_0424_0010c0041030210044230024000084090810050000095881040020a812002200d0860010250204a048808002400002242a00040200140810412040210400910e0021a01084000010a20001804a002108210110b00400a5881244085840020840200000050884011a210c40010400640108000108100802d0004220021a00085001840200880864a11024aa0000034000845001000821094014024001020010804095230020000800051080000000a10a21880010021881060084824081040a040010402202400800b0a018002000008202400c00652502208002142800600c10000000100002400100c0a90024a25000010020804815070024060801000821a400300a5200080041225804020090a41000024044000020021240000804001004204204050a00824200051090084020a218802040800c0a80230220040004001084a800350a0840805250010010004a000c0820800070011864000004080a51200a042010018118008800200b00200818b08010802048842440000c1020044010094a40001040a002850042a1821000040801804024221020050800020010040081000030</t>
  </si>
  <si>
    <t>A35637_0425_8250012542008802108218048200042908000418000010040010140000000808850a0201044010241030040000a400840002000500352c08800600108308a0810024a01204a100010d00000000c02240148302a18140850810a42002100600218048110640102048000110202140100300308208040650010402240012000a40e0a80000001200a908408a00402000a48008100902650512000010102018218008802802000018000a52442000408100100400902a02810500040002100008408040c08200400000310210000100812110708518002842000258608410200000910540002208a0000200011050834010a910040202000000210402600142440002900008208008142210500908010202400008442400300142018000040040d00800a1854001800240805020004a100810810040800802300148808400840002502808400c0010000240040a210318900a00818c0030a040200300202240d1200890020001004004801284200044201805004011004020a600100d40048150440918002200040200100208908012008800008802800900402a0000041804000800840230</t>
  </si>
  <si>
    <t>A35637_0426_0300200102408800008000402a0ac00342800108e00402000410a08258448010a02810800100958000810842408c50800200118100000210040a00a12250608500200810140302400008842010102548900040608c40e40000000000202018d42800000300040402000802448402000a00108010000040840008118040400008012540e00002110300652052402200248152008800400c4020080210860000020090284284251800800a002042108a00618300450002c02000200408300410c0a040300002050c10e08008040148008048408910810000902000000200018a1805004020004880011080004070021a300c0020024004044000034880821800080244021a040518200010c00b02118000008c42440900c0205000a40010a040010008052002c00400850902200040348018c08240152402000400a00800202000008000040400b02840012b00058500000200018400240012100300002808000f00a00108410210418000402b0a40820040880010084200200000854000004070001214000000825ac4080a302410310048a0080204020255811854860041020024051201</t>
  </si>
  <si>
    <t>A35637_0427_0650c02010c00040042008000c48400040b1041060024081014080a848308800008012000702040148000202210c00000a00010018010040910100010608208000808052000050000010800002000102202012410000200d40040802112400202008042400000358400010050010200800002a00108600440e0281a002010510600840308008202400802002000000140008210000c50002200300000000408c00840008b1224801000a00a012602000050900b0080214204004a70000821000010064010804a300408040142402310202500802e4a100a00840010418000a00100840242300810102008102102908000818b00c00440348008002408340408100d08210040010000402012208208008500e08a08500442012208c1000005040200220821050894200801000a008540000a10c0045000a110102808248008010900000210210c0a00a050308a00308210000c0011050800004020064200a010c00040402a08518040150100b0040020084044081220021000a408800a40810402202008410210000000408018102010050c50010200002250200802a0854200000010a90</t>
  </si>
  <si>
    <t>A35637_0428_0010208000448a52000400602208850940110010a00c00a00042408208100b0001a000110000b00342008a00818002200102342e00358048100040300412110c42848000100040400400000a02000400310108e10818040102c42150058000102412440c00802050000010a00040200010502010000c10900c08210012108a40048c42100040012400e00000802800a00248c08c0a20210054010820a100048a10000248040210000018002d1220a01a042718108050000608010100418a1000884020025200a700602040100c0020005ac0004a002940d4000800060080001055200a10854201024200a400002100000800250050140902850000100300002100800202040008500242100000000040200810a52002c0810025061830800240010281061010000241204200214060a200852048050302818410e10d00200800300110208400210010042240300348400200200500208102102800040800840d0021820260800825000000200240041014000a042140002040000408202402000048040a00050402442400802200500a1040811200080201800005200a41000200804000</t>
  </si>
  <si>
    <t>A35637_0429_0940048800102100450910000000040600048300008612c02800140a00400000c1a800d00000002408410610800040108802040210602210050042100008300c0201011000284a000000100000802a00842100800108002100b00010210710400c48902848042052100250050410000a40542008240c42042000000012000102248800002000450018142640000000900500200200a0240024001001a408a42c0a010000008150a00200010042440800200100c00042940102042002f00040a4040050000021a81080a000410640800302200c00000d10000058248008312442800002900040e00248050000400000050000510010102208050058008418040000842108108808500242900042110740010a4000a010840a4200820081200a44044201020000054084800000000801031881201041034090000010820044004260084040041844000000090234261250000800015220020040041010821041000a91a408900318250002a08000210000200612d00d40012400008810850550402018212000010a0a00010801000810060001080040a00211050804240210210081874820</t>
  </si>
  <si>
    <t>A35637_0430_0408c1081020030804020001820041014205010200841020004024001020000001a01a812b00200040218a10842000508108500a10108040400c00002608a18440008c1040200010800080200091284020a40200800021004050011011a008800042000508042210508140040810042008052810000e5200020000a000118702a00540040040510c0050800204000001004a208108048d42200a00140800012e42002400a40000010608410900100050102008200a4040004200241000080280000244200001280031060044000081020a018858012400442102018900108208142240002040308800842010000200208008202042110d08058000010800640010048b40208008c4280a440d00208208600140010442300000508000a0a458940202802000c00308842000000800208100448008840000252248018600012140b48a00000310442010c02000a00108410502000000e00a0051240081220090244020a408008100a00002140812040b00050a40800302040048100600448000100910002008b52012400002040140400500a4800004081a34000031021040040000041080</t>
  </si>
  <si>
    <t>A35637_0431_0040012042002042052008a02808d10608800042210412000110800010418208808008000042802312300150200910a0080000200081805040020085864000084884a010008002240400100848402408800542808912c50800700210058010000e08002208142210218412000000440b08008200000800010442008000010052400000000340350c00252452100002210702600502002012548852000c08000050000d4080030230045041211034004840000040020a900a00212400200c0004090050001024081021201000024001005ac00000008842d02008140810502610c12602010708700210248800808000218100240a02000000308108400000658440942010200000808418000c08000310a0041825240200814004020000a05201004010220060025844014000080044030000881004060814004250081aa0204204081041a000318240000508050400c0024001a942d00118040200140202102008250110810e0041094070800200001000804850280804010080060260000080200814881014280080054094a448800902002002000018000300c50a4000004a01020221</t>
  </si>
  <si>
    <t>A35637_0432_0300000040400150048218a0040201014a900008000c02440000a4a902708000018000802a02200110000448200010808300710d00000200810600a0200a000018000900000142010100a00052800202840600100d0a202800940900110308710800400442002200100200800500008800410210802c0200290801000850804060201014804211060020260854200020010200820285a84060200201000840800244080010814240010001a100340042210000c0244015000820051040020224005070a80000890041000200004010240801820a600042000008400008210800910908058000000340400c10602b18408000800010c40400018112400000018c02b0204011020810a008c02040010440000810a08140440040340d0814041801004080201220800024240004820041a200100800900a00042000a0801000001240084804280001000241090800805001830800854000890a01200004005291230084040020080004881010000010800011065810040020004801000840890214001210810020020040200a010010c0821081284004280820210080245080054830060880</t>
  </si>
  <si>
    <t>A35637_0433_090a000900000a00300d00058c00000b0024044010080a012010d00940602c00408000152002350002410800048450c0000000a10804080200220a248550110408000040000018500218440e00502242000050808910000000e08300448418f0020200000010a112e10408402410048150008800408c0881030a01264220810084080030800810080880004a14220815200081004004001020290200041880280000000221010200031001880240a800452000002a10d40300910240018148608c40340208008108900a42c10e00052718000c02008000442048008008840410510040a00108600540400010c00002102a00548c02400400208000a00c4021000210080a11010001040a112240300002200040400100c00a0010a000252a5204000090210201000024050040021a108a0050821010014090001800000080804000811a040400000c0a440400802142800a10012040100a50400000c00208800400012008010100840510008a4034001810204010290a900510500f00000000b08000450408600010850200218440100110240040140248002600400c0000004005000000</t>
  </si>
  <si>
    <t>A35637_0434_0008c42010640908100000018800412800202318018010400910900340202100008210040002b00208710040c1a102842040508100802210000600042240010902c40540100010040008d00408100002850400218402402c00100240100700848000002008018510600408800000008010210c18600000540300318108808a40002100440100402118a1000840050200024000881204040210031040801020001000084081801011810000001284000240091054860a10090091810080024840081010080a648118850448052200008200208140418000600200050900c0a048100840000000a00640010000542000140c0000a208c02208058002100c02010050240140000018200000000100802200400000a48040800840040408410000100400148008000c48200040202000342800000c42900040000200418408850400a0221040a108800042010100002000400b0804054244a840300c0821225210044010041050830200210204005260201040021000010225001a000810400d0000a84060080080821015060880840801081a81080280014015000800040810060000014080</t>
  </si>
  <si>
    <t>A35637_0435_0510040010140242002218108018002002240140d00110a0a81200a818440110010a08140048002400a00250000002600008018100d4080294244001204a00064080800000aa08300718800008400400200010d0024200a00010a250400408000a02002208200402900200a0240010004800050025000285200884040800004a01054010004050880011a050052602840110010408650000a02a00440810000e02950800908008800308012140008100118000c10e0045060004034020084800010090004011060040021a002c00000600408402a40900848908200000848a1800260001040030810020000200015a000008200002800600300248018010802812108940040500202000540902008200800140a00540c40a08000c0001001800224a10210a000140c0051020000204a200210602000540210000800a4200001000024064a10094a002802008000000810002450410242100500800f00208c1090a318240200500008010c0030060a100912042800340008050110202800c4210011264000021045a000c0030040000880000001040234021280811221284000010a01841</t>
  </si>
  <si>
    <t>A35637_0436_001a610040408840402010300008112002202000a10148010c02348000140000300200402902810010100410048c0020a108040410040000800400000040610000002c0240290014801010a800842240000342208502208d00800810000000410a0000020800a108400842018000202200242400c10242100442040402000c0200a002240200210a1010a240000200042300110018c08150008900042108010840c0214000201000005800200020000004000885004284030804804a010300018902040042448c08408210450400b0a000c00118208440202210200c08852002d0000884804020060244a810000040502808000000040742a1004800000ac40100500a0010020814005014000281a500410800400400200058600018a40812c00d00200200000100048000008002010b00010000c00402800708200710200440002002050e00452240000008042010808002000140500118008a00252600040448000008000c4825a040842018400108c10210012608a0004a200c5000800220000024200880860810010804221050080200000290014850221010820040220810200840</t>
  </si>
  <si>
    <t>A35637_0437_0800208942840a12040c00210010000d00208400000018050842e0a00a110410302000150842108042600e42002500440200000008800c10810008250102800112810002640100200808708a4004200004244220800020090204800004800090045090020895040040884800204050aa02002910912200940600a5000a000048010100e40a0000800020004a44000200044a808450a00000902a0200a008840202000100202000118b02c40042908840200400010c02c02840140500a00040858002002048050100a1820840204820021800000000094210010040041800a210c4000021a002800208008802c02210500000002002050902200400000150802440800008600000810200010400140100c0001840094014800000a810208850100048208000008c08600100008048302008402008402202110302900140a08900000a12000010008010100c02210100700810018400002010012500408040d42808a12400e18412a0050000011000020085000210064014220080840240a500040200018a1080020a040802100012608b4205014090020a542010810000412c0830001a10</t>
  </si>
  <si>
    <t>A35637_0438_0000448000f00100040a10448240840200208400608f10440800000000002200112c08010008100400400300050402802b12108c1040221800220200060010874084000220215030290001200081014080a300000048008042400010518308000048100c0000a400b10848842802840002302000a40600100240012100000a5884214030210204010814804000020020000000015204284020880a510010702800940d08002112010502852402a02000710808100a10c0040834825840020080880000a01801040805000815090024020220040000880244801244201050204010000020211000881881210030284004020041020881000010020a410800048510100a48000108210a0a050008000018e00000000402600140452800540402810c00002208108a18002550402042200100840402010200908108700e40010010442810208400248a0001010a000050e00140452500800000442810a10800142048042040200858802810348b0000000040204200020814840090004205a80250004a000400212210440148042200c00110000c10f02800040000508018c00c4221814011</t>
  </si>
  <si>
    <t>A35637_0439_0d42010410008a12002600010008010000100208400500c40000202800608d00502602010048a08442110502200040040010212800208002502a0005a000400302448c10400008440910050440040000100008e00618210100002108042208048a00440240200108008210210040e0a01244080890001284084000804020801000080240810040020020201000010a80201a008008200410008800058218b1005200004000a000018940402840800208412000648002412100110108008b02000800248100440800100c4814070004040a000000010800940a00048b08418800510840342242d1004001a00020000810000880a00091080010021a808908400100a0200001a300000052402948040142300000002000202010400010408408800002908210118000000400808040300d0800061a042408050512000810400000c40048250800400240002102002250900212200810440212108000800008000e42800118118240400500040240108518440a0085250000000000045044000050084200a918040a10042c0880240221054840a400a00000000208810010000002a1034001</t>
  </si>
  <si>
    <t>A35637_0440_0300c0200024080200081051020800020220815020050a01840010010001820040221040080004041800830221a81024284200011000a24ac0000090230060040a442850400000652210848000000c00848010108140000500200002602400110400850a00010008000102c12000808b0004800010001040024a840018900108a00100000810300408048c02040b0000801880064200a80240204841001004080240010811034800080041005204010050220014840a91014a24860041000a000000240202100210c0885011224200244080000000804020024001200010a000950200310000a18118410052440008410c0020a400800808918400810410e4080004221a40080010005014040201044211840060204080a010008100810408802000000100408c0224200044800000001014a000010400008608208c18212510040802002000500c4045200084204020011000a800200100248300040010410402a0215880000a018540000108312208400240010042912500900808010c5000a018402400400018140a02310102010a00200112d00200018000040a00040408850040e0</t>
  </si>
  <si>
    <t>A35637_0441_0052000002008040700000302a40010408100302400b0000004200221820220074040044000a940200c00b08200802000040048000210000100c00242352800240a0a000c00902200200010810100600008002000800010000242100018800010208c10d40012000000600608040400252502210800802d00a0000a35201814024055004a110242900400440902040008000600002c0090000030820081091040200034020805020000aa4844024290220040041a000010100802140508a42842810000052500900e10208010000b40000410002012812c00000310000142600040500a50250010908a40000908202410110610a0a00260004a002000c08802052b0804a010000900440150902010042208110a40802400010400b00c0801090200210244020005241045280020054060004200a410008300010000810418400140110100108242048800c02252108608402c10010a00042108a0080a810c0260020010081834801004230210a41000810800a04000011a042000150c10000000a50402018142200800000202140100500a00c40d0010024040060040080080000011000</t>
  </si>
  <si>
    <t>A35637_0442_840a048410408002208000700008000302018200900440608d1090821010020060064800220001804210000800080080014201a800010c52410242008452210400002100842800410210048400900b0005000090004000800004a018450000210010c02400218018a00450202800000008408100040840000808040200810602018010000810100108008000442048252008210c00410010002058100108008a02c00100140740008f00400500640802442510c08008002002100440210010850410008808200c10010002400002100102800502000000340300502010210a1a01284200264000820880014004a002518108800210140208000010500442600152000102008300200e5a110c40208508008000000100040102442000800c02002400150040100208600000100312002118a1081001240024000250800045881024205005090000841000084000a000408100018900e02100700200942218100808140400108812800000142000208008450010040400240008810442802100102000150208108840c0254010200280885000001020001a04010830800201080804840801</t>
  </si>
  <si>
    <t>A35637_0443_0f08012402200100600600048810050200100452f00800400800400100000200500040050100200218a08800800100000042448808510a00410c0230a000008442400002000b1200200094a010140140802610010410002002408140158800008010500202010010600948a00402202800010100100812000000a4004020020800a010140018002010702c1800000015845240000800a41020021010060080220085040005840211000040004050a14200290020a64200000000041880000284a84080005230880000a65040000820221800800080050280001a40010005060844290a010048318400c0240200a018400110018248802502808040500010a0890040a100458c00200c5011040210004080034a008800048008008008440810d10040000250b18600040c00100100100710200000050908200110100450812000400948040810c1aa0a012100058300010e00200912940100048500808c40940002000000010000010000200018002a00602e0000000a018310008108200010302010308000a02000410e0805010800090241801050a80020041000000084090001040200</t>
  </si>
  <si>
    <t>A35637_0444_0e08010800102012500800010a4081070004a202800f02c4000034000021080084820000080224801000800a808000000000708200200050c0210001214050021004050094880820221010025a442042810148008848800110a00008140408402000440b00148208a1021041210080a240008a1090001a80004020025ad00118212000148048002100940a0a010048008012c10800a4290000814060a30004205800090a11000001001204844050030010000041001084000080001840860a218000300308000500050a00002202210008000000800800f0a04004820825065001080820041801800a20011294001010240800004240244000241080000040a040540010110e00040000412148040208100008418452000000100700202818012500208400a00608418000040000108610008a1854010080020060814201a80004025801001080001881010280015a800052242c10000200010508000c00002a0a048002a0081800000010080821a200000048410408142012900310642000800050200008640010500800300402400800a0841030a210148c0000284800280201000241</t>
  </si>
  <si>
    <t>A35637_0445_0410a10052200a00408d00d4001280080a210102000002402110e48a48140100800000500040040202c08942400802c00208040400000440d02600902202900700000542808800042a00908040100000002418200e0040201210085800a20884220080004005240001030820044200024001061011081a010440210340a00008040902200108042010000400800048218302000810000000c48040200100642c40000208202008600410242d0270024220800815804841040201221200000020011000a302048508440840840908108440908200000c40302a10100500908000402a0004210ac0020204a102a00202410000f4000844284a110640000202202040400058018200a0040015080080040210000881a900248210300008012c40002108300040b0000205000000080840280040080051200085a018010802040052200900202010800642040100918402210100000402a00200112210048a0080040020a60840010004254200a042312400050008c00800900100008c40048912c00900100000000400802c0205800050801a40291200004a440a1030061a51204001040020</t>
  </si>
  <si>
    <t>A35637_0446_0e10448110000800000100a00800400c00100302800112010c5010204850a01000024000014085010840814244840050001060040824800890284a000408800440c0001020885820810061020010200291021011864001800020a200410300c08002412808000610800800800012000008500908218000000200202602010000800440508048400400040448002740b1010a30040020010050204021000810800890020200000000044800851044801040840091040a000842908058800008000c00c48110412008108802152200a4a55a108048000900100808050310110200002808042210a0830060000200a240200600a40c1044050021024000004a04000230830004200031060890230810814061041a802002302910250808818048410042002102018900002450640000200810210410c0000214050801800a400000840018000300410602000d40248100110300c00550b00008000000a00208c0020000221a100410000810208850100000848c0280054205a41aa1050800084020814010000011a20a80034000a150100502a58052000342002008300418000400240140c0</t>
  </si>
  <si>
    <t>A35637_0447_8412600150040302008100048042100d42212010c10c0a000502c0820034200800081810080280040080044824a040100102042000850c10502300000200018000008040002010058d00612208400e08010040400000c02c42002000600500200000c50002308408808110200040842208002310800000510100052600000008018840800042200400000c0011010880021801000a858000042002410000108048050b0820a210110000008102902108402008000418040242010048210100e00800400048008000010c02540100008000500200810512008100058810240218000902018040200840002002540200418800902240040800a08500308c18840000240140600810402008152240812402010a18048000042a40200410000000802000100700000a4020884024a842418800b00a0000070810821841000061a54240081201810001aa0000060005825840000000281040880000011804020001084a040600200100800010502802040900852800002000108118000808810042242800600708810c4800000804020200084080a010c08a1070050801041041000020001001</t>
  </si>
  <si>
    <t>A35637_0448_0402218c02a02008402808150400052000910000400018012810800108400118300412000142002002000e4a010410000a1000a100a0a04804000801011030880020280080810000021840204844094080064281000080244004031020040015080a01000830054031000221805000834014860090044000000014040800004820241040200000850050aa52000000140300000412000c0030280001a41000a018500800100202610308458102808008018110802202800408a4010a100050e4000240010a212410200200c1024090241060010004a14050030004021080241285020000010a800412010800300052200000002000540200000640000000050000000250042010412200040408942018c08018002c00500000602008400000050d40042500800152200912308008008300008000002400940042808700040102808010010708410448000808050048308940a00002242802140b00208010102902a00010c00040400442442008400a00302202540008108500818402a0800050004010830800801881004000000880000045011080a80001001091080201014014201020</t>
  </si>
  <si>
    <t>A35637_0449_8200640000900050300c0000060081210220220000050801a04050801000001805a00004210a200052410510040900d0201a30000000204000060280a048308600040d1004025200001051260080040a140050000048208000808040400000108042052400200048b10000c40002b00240000800040408050140900040208000a00c00340240000000a50008100402200140c00000818802240100402b00000040900c00a0010020004000091000000a04020004004015080a110000010e1000810004a202150a08042010502800000208700400c18010700040610000002000810000a08052a00b08810100200110002208000c42100b48840002100200050400308300048000108800010542850008600a0821810030821210000005005a500042210000d0021004844000001200090815020090000004224a30081840280204010220041004000a800e0800a40810014224000240080a11030004a01200200000050210094084a04084201865040800000090200085000010810080804014210210000000801000060200a24080000080000204091060040010820000000200021211</t>
  </si>
  <si>
    <t>A35637_0450_0050c1280024020a05a800400218d40008200100008c0000010060085204000085200040084800a000808000408510000018300200700a0001014221a440400048000800c08000708408000a10402002900000c1080a408940748202248408550000010440102640400002012500800040048510042800440200202010a08200050000448240308810000410152040800450000000810802b0024a100900440650010400000410008848800d5010090a01a00010284050280ab4010080030801240040035054a000612208000040000600000010052400842100740000c00200410008052502100052410050800a0200080864200001014810000231000820000020220000201080a05001040830025290025841a402808110000f0040084a442200158000010c0884091000000000840011ac02000348010040000410a48400042248200008300c02000900b02200300d0200a000c42158040100052c08c00008018052100c00200440100002300410f0800000204200060800004a010100840302600a18010000502b0001a002018650048502200000002000040810c1000080044a60</t>
  </si>
  <si>
    <t>A35637_0451_010064244050000a000910e10010002000848650008102002400400100210a00810002012202108308400800c12510802908118100640210050802240118200000a1205014020a04021011880281060000020820824a41a04240290001010080860204084a84020000804001890000094020040084000085000801a110100102a40400f02010042410608c18000242100000200a1200295200004040a01034000011084205000a200050400100442042408018d08440800000a4201a100000200400a40000040108200c5005090800211000821024000020030840011061000a95020011040a300000a48010240042100000c1a008400240842010800508000850002810340d08118800c00208002612c08050010000400040010308008600800108a00000400248400000a4884801a118010842800400340010108802c08000048012140910340002042a0a050002400948008040a00000200110010400040708208142810408008102840152400a18202208110c00b00108100052010010640200410400e00200040a02018208000a1845001080801200001044800800030020841221</t>
  </si>
  <si>
    <t>A35637_0452_0d0200040080880041220094044004004085010001004020201200835a000000500800802c08040202000810e08c42202208042800b0040004014204011000010020a802000010108008a02042000008310410410242a08100608002200f0081000004040085001800060060811020804a002100042640112108308650100250400140a02140000008a10400940002802602000e18440110c0010000880005080a00020004010881040824080014804005220030ac00040000000600100048002c52a0031204000020020881040004020021004001080200224040840800a440100500a02200100d10040010c00802212008448418040008100442510150640100308100640200118800440000900000200b00800440008240400500002200c4250090a100000200202810000118440a08002018940442008150000000818040c0a200100400600042540040002410c0090000a85000001234a508008012000100042508010408002040340040112300000208910202008408418000010840802910540d1010004001240010004a10040064884000a800418800048602800a0281824000</t>
  </si>
  <si>
    <t>A35637_0453_045220ad0240001800a000000402c00a08000018010400250012808210002800548400000c48200110008910410102348142002910010808440000042400008008400042300000002210000000000c08800000610010200010440800012800802258140940108100c08102010140200212008208008248440a02308400118810410800c02210018510218600440002802310508440a08000000800410608502440002008140408910a10012010a0014805000041080010000204820200000285250220094020070800800001020aa00000c00200e58100a02002108200110802810f00118008e00050048100c00340658000042a0245004010200070800000204204200241291894840004220800015200001020001080010810a21010081a000c02142150a00a00000002000210010010c50000402108240640600150002010300152502100118c00000000800442408608010100100002400200008840040248248010818000000400100908002410842048c1210200210010020020a900308202408610000a0050004000811010880024200040085004030840000080010011020830</t>
  </si>
  <si>
    <t>A35637_0454_8002400000800008200310802010012548000408010010018040c0800814000004045a14204201200020080a25084044814830240041000001090010034090004825200010220020801000a040042a02000202c1010801080044020034280035aa00050008802002010018440900a4201804a100108410100608858408410350000810000800000400710210c00840800008810240200002040812310000442008000000040002100942a00800200a4a00000020a412552040050408800100c42000c08200400518400602510040008250100c5080000200294001080090040051084031200000020880040060230804020005081800020000a440800102a5000240284004000805824a04090210811050084280840020810a040000940002d5000201031801040a002402000340000408c40000012a40212210010010800000508202140108008058002008040310c18e0080044004094044210050200a812200118400200a5840001004000210ad00808050440602802452410600240442000010000b0094081210200000214201844040a90024005000a408e1200881200000010010</t>
  </si>
  <si>
    <t>A35637_0455_0c08800900902818418010008e02010800000000200002c58140108008502408910008042100902040100408800000400300300800200c50400108200010500002010400002140012008450010c02240910408400850058110400212200100400200100040212048b0880220010010001020221880ac00810c4280020a010002010812440040410208102608540c00800412100440008040b0814041060040080a11010015854200080060004040821000aa00c08800142c40240200e00010208040200800200100d48000000442248000008200610510000812040c18850010800d40b0200a500240c1a10200a000110000100400010300840002008b4204804034001a04010041084a110a4a810010000740000142002240440810158808810440208442d0080041000010021025080010800a100200000000900800040940a4a00040a40021040001020000204a000448202400102202300800200218000a4a000100000810e50800b08000200900510408000002150440b1881000214290804264010065244801030a108240008800810402240840100010c02c48002c4004020a20</t>
  </si>
  <si>
    <t>A35637_0456_0140c02402100200258c00242058100800102202108410412550148a4000a000802000100400102002010848002100500000608a08442002000100a00008810348440102e40000442008010402510002a0001811001081210000814840821010280004030004200041011800884200801004aa08540642010840202708700300a1000000a14010200004201a80040211020aa00a1800845000210061040050824000044004204280080801010220800011821080001a00050200050000051080845080204000a61081044800280004000010081205081004281200a810010000840200a08050000642c00950c0081a71050080084880220000a30081080040041000200820040084821a802900050002500002e0000004805014a600400242910b40000412310100212012000152040800540400042302252002000002802100908900600000100a08c42000800010600c0224080200a240250800008050c0280001024010815025a800008240400810600a00950302000100110c00000500408800010200240202100402000018d1090a402500400208208200600208000d00140440a0</t>
  </si>
  <si>
    <t>A35637_0457_0250000512342108000110c0004085040010810000000884005004281015081020a20044024010a402a00002010d0004281a000000d5804081200a000040000100818000600208012500008600140d0811040a80020a04001020aa4a042200912400900008808200810e0204a100808150210118000440400040942202300a00012040702200140b0884840041024020200010010020010264080254840800a80a100400010010600c08010400600048042118000808000900042102a0045001094000030001040030225014004080020a60010840040034020854220841244205000a01020200841020204290804004021864204a00000200860010004a000010000210408700300808c00200000248c00408040002100010300c08a08210440008000140010610802900102b12210000c00018010400240700308848a18002b02802210c00040050100600302040000808200542108118200e10608c0000010080800021081080095200aa0000811800a00a052042010010a1011041010080015064800040000095090030040040001221004080a00011010014000015004810021090</t>
  </si>
  <si>
    <t>A35637_0458_8408448400100050000000700812140842042000200850000400040808402018108040400742012302008840200400348110048000a00c0000070a81004810024801a00050014804801020000044090800220a20005084254250000004000005000880004010a318000040210d5010024004001005841004000a100002100a4000a952000800540310000c10512000000048100600012040048002142000810a02400840300602010952042002000a00008a18300440052500242010000802458000400810012c00500010002100810018800a0081010220824820a008000000000002800250000002010112008a52600c00100848102008240140000008c00002240040502000010612400202858052000a0000ac00308800000000810c0811200201024810081081044024804051a600808018902000900600210450450d40a02000250808a42208040040300600418110612040c00b10100008c5800245080085020060010a242000f00012012500412852102408000108008600808000400112000c00108400002a00000000408c0ac0244000a30814221090224200000810040870</t>
  </si>
  <si>
    <t>A35637_0459_060804800020000040801060064a550200200410000510012002a00108400808200400910248100248d18040008002042200212808100040000442048510910018042110000800242000448c0a010140000300200040400400a02110610018c00818d00500300600200000008000340108050c00100808002b0000050041001081814000020840820024080004044815200881000020010040a80204a90004800a040502210008010900408002d0080021201814001090234880204800034000844094a80250220831000040280020204a110a52000502408000008008002810c00000000410410202410d00108108100c00142410052002008410100640842800002110410410402c0ad4044034220040021a402000448800718000840a18000d02842040d0000824080200000201020821000010240284040010010020884204a200410010140012100000a58000008358010000008a10418100100e00002102142210a00250000500040010300000400000000008200102500a52c18810a4021011000021000201214080260290820280201254020a54080084a80001250000034001</t>
  </si>
  <si>
    <t>A35637_0460_804a00a10040810831001041800294004000a41a400a00448000d00310400808918000400502208000a00518000942048250100000000850c5010021a10000890024a950000050208100840410110642012050608602042142002102200010400810000002208418100c52842100a48200002308010800500040100040c10300042000008200602018012000010802a0814881014004045200020a00061000a00014020000021040011001a100a4000804090865804240080001050891024080291020085000221084200240050014010aa0010084290240000230081084220000250890044010061ac0001000810001040011044a11284085061050081041884200804000a80805080001210a142100100002000400442000008600000210812040102208208508208850000000000c18200a12010000808210a08200040140800b1051220864264295000004850800000820211084004820000034080810000090220081810800884004280244840030000880000001010880800044800034014010040080240000220885804881010000204060000041070040820005040200014050</t>
  </si>
  <si>
    <t>A35637_0461_8500200010002912012008048000c40000100400c1004860081010a010002010040040502848800010008018840402b00050552510150808442100040200300d0080a01280aa08208000a0000000000a218018b00210200002608340600200010210c42b00000200b0011204280204800040080040240a84080820021090004845800000a002300b00840018110640012110208c1a24050094880060000810200840050201200011840820084220800a040100c00800040002a48502400b00a40000000118010810302000c0000230a050018602402000400100410700a50a0280000210075840020000050000aa1a24210020864804000080220200084001a010b02240408f1084080000010804a300800010000102200010100c00250400000248808050110110010500800018442110100e0a04004090851001040880090000200220a400302c0080200280a210000840040500e02140148c10402600010900808340010240210802d0000001080014a050802300a00242210400052010440200102100d1841004084005035021840820a410100200000000d40842900000a0000000</t>
  </si>
  <si>
    <t>A35637_0462_0010050000000810110000800048102640012458800100202100800800548000000202800a02010618510042802850940102158900410010000000900108200c48a5000000084861270080041040080020024a008000010540002052510900000440002208310000018000800000908100202010a0040801050a20a11a40081884814004001240800031001080020080204810005204804220a000010410640000500502b10000a00208002c40800800402400408040010d08800208210c42c00d00640848000100140800040d4000a000400c50c00012302248600600b0000015010224010030011a018c0020800840040040281084080884011040024020800000200a50080040a810512040100000000002208800c00810008c1805004201000020200030864040804284021a050900500400902008802052108050802042602058100c00510a0890224a01044840804a008000800910000000818a00040508000500100000000500202010300208312c0200240010810080040a000042808202050000050a00050a0000a01aa0004801880214000010a20884045080280000260a80</t>
  </si>
  <si>
    <t>A35637_0463_0918202c1280000041a108000010000400040000008500a0000010220001021811a400c02e0214800800001085200040021001070020a008040100a12040400110610810002108210300210010c0004024811000000200090014000814000001240210204a05200a41800280200030a00a04250054820210060080020080014260004000800a410410a50200450108910448008608012c0210000800a200a1800200030220004a000a18400400640800100c10450000d0000000041040080005201084a300050000a1000a050800000140000c02650d12908312200b00100412042000008000700148002002d48802040a0881a218110008040610810100802002000a4801001820241840090024004a50804a448800000912000710000008100348010142208100000400c00a08000200d0080291020210204081090020210044004214040840041885200004241221080201084014004020850001020040080810254230030820a01220015a202200048002150b00000412400212c1214000284064011000880080204234250000031800800050024014001014204800080211020080</t>
  </si>
  <si>
    <t>A35637_0464_8148208842440248050008d00002800302200100000c00408440002850318210802400000600a10600108942000000400000000010010a10002540000100000200648c10008810410008c1ac08800000840000808002018042100840148500208848000b02a42250008508000512400208608000018240400008110502d00100800440248100012c10008210000840842010918102800900908002018600500000412a0084a000010242402100c4a000100800100e4014200804200230000a00000290011804a108002842040248a0850001081ac00000148102542e08040800000840a1264890000001240000004821801004000844094025801a60800840801250801020a400802800810402a10202700010400000d0014001801070201000080a018700000d1800001004004020001010000051040000850040020a80881200880001031010220080210210010000024025881080000814090060200a040008100100100840000000642102200418042410140800902318100440010102502800012208002410410000102018008800a0a04244280060000010020040000aa1801201</t>
  </si>
  <si>
    <t>A35637_0465_871204045040a81004a200912002002400818042410a00a08c02400000400e0030ac02912c02202110c00b08208400a00300012d0005201084000000a01220060821a450108012000000a08000902542800108800400c4000060000a40081001a018402900908102c1000860081280a81a240108840010402500110600010040e00000000b1801210011aa00c0040201850a010240042800902002000000b50000802208052208908100402500840042208c0060001a000d4a040000800402200052000208042408010810000000302308010148402002108100510f00850640540002100248310100058d0000210030a80804824801034021200280021000894280a118042a10048a10900040800408308352840012800240410108142208810100000048d00600258410048810008718000402800108800052510012202800140340200000158008100b0080011260000880010020881020a71020800000040821000a008010250050000240048000400800542e0010000221024020011220010a500008008008442800000012c00540000440a40b10000010010440c0010000000a41</t>
  </si>
  <si>
    <t>A35637_0466_8002000140908012110400112a10002608348040000c40800500508802340400410c0000080a200210600612010100902140440008102240c0014010a002800902c50102042202110800252808040240100608408812040d0024210040a00865020804020204830011881820a140442800600100440010042642848440100c1a800902800842240100440802042302912040f00100842810000008010708200400102802808000f00940418010040000142700c0244044000800010000820a208000300010000800050808100040210618918000810000402a40040608c00210000000800000a0080a050140240802040818008012802000102242800400040400400810410000748040800102240440118410048112108000002508000a0240020a802000810e00218800c0090005a000542400040240210308000248010900a40010050400002000040048b4800230044004201040a000412510040440010b0a04040ac0050004080060004200800810201001030011a05000004020801200801041000035080880290024040281881044084040004210000060240054050800024280</t>
  </si>
  <si>
    <t>A35637_0467_0000410002400218140c0070805840084015800a000200408c00102000240800a08250912902102400418a08c08002000a02200200910000910640040518b00818a00040000000112e0804000245000015800a00881800041030a14060a00024024201024220005051040024004034090000a008608c10d50600210010400502808110a4a018010100510008100242048110010448000c42002240400800c0000205004000844a008858a4000210030040080821005001004095004280825000210084880000241800041800050820044020095a040002200000008410410448400000212408800102052002800808000000050a02000000202508008052802d50b0080030a61821000094044000020a300900400002a02200410a00d42c40910800848010900a02800410d08108442000000248800a40b40052108008c5041000080030021005004a812200210040510418810000000b0a00020800081804010280a400e0010a250510448310340108310a00040140a0820000020020080050a810508a1840220000200804014061040800001060000820280000200001080810211040</t>
  </si>
  <si>
    <t>A35637_0468_0508002012008942400110002818002402218140108240808052242a0a010900100040040440018248000200400042000000008000a4a000400208140502008d12a0095084085811020000220040044000211050000080004020a008000b08100010000400000012200d58040440500010410008a0080290020284024041060200a000c08a08100400902008002000150108a10110010400f0830060a408200e10400142a0820010021201200000800804001024000014024020220200044001845090010020a80004084200204200a002c08002200000240900552000a0200050014a000042418100000100048000000000618c12c52908000400100800000c50408840108000010640000208800200a00002000940102a12240100400200c02200018240808600012d00002002000108000612c02000210008408e08450100e48240008008c10800010100b00548a00400240542a40010000600010400000108208050010200c0201200091024831001000800220034015020010040040220880a450010210402112600800040c00012242402848140000510a0080290080025220201</t>
  </si>
  <si>
    <t>A35637_0469_0800600010442010412a00108800000908a08240408402000000700100040108600040040508010710a0841044800000a248418700010042410a02a5030a010a58408800602040508100010410000300010050408158a48140b02100048800248810002c02008008518a0200000010a010150210a12202412040a50400c0000a810800040a12452000150400010c0010000880014221000200800800030040084050000080840251040884090060814074020020a400440008008040300c02818100002a50400408040008040600010040000348258812008008250500500c0004024a04a050008a12210012402252010110400e0a040102010208000900e10512240102000000002208000500148240200a0080a01090801060a30050041881000824004251001044a800140800540400208c00040840950110a1801040a010602002618000948008900c00100218400200408810800842212808042408100108000212a10508048800100800400008850012c1290824a31020014a240000800000200318e40a42100002008600008842810810400000040100248a0281040224014000</t>
  </si>
  <si>
    <t>A35637_0470_030ae4004200005821001850804a002240a10400900518002800a42242002900040002400e08802300010400048010000142100000340408810d08040200400848012410140100042000150c48000a0214004020800060214000a008018700240c08402802000002b10100608800440042408810002c08d0244020010281041080001004011814010030a000052002312040118010c00040408308002800600410912000252000808c4a240100102a00000408c1805000004000840020054a000010800040402008b18802010000000008408008002402400a48100008340602840000258012010900208442600908008410410410100800808358b08a08050002008240502010440402000c0830001220084860a00080210230000850a20800024800804821881244011000000204000084060814034090a100800450a4000000205000000041244085080094020ad0080ac18400500900452500310840440100008118018340442840102a10440008140008802440152310c0074000000044081000860044805800280a200202400700000802a4205054070001804001000810825031</t>
  </si>
  <si>
    <t>A35637_0471_8a00000510600000200110340000852042140258008002040450c08800402500840210440200002008000908210500802108418c00010010000840302608300000a10c40800012100910010200000a08258140000000448102408040112800000810800008008058200508600902948348140900202210002948100010400600c00c0000000000021820205241030000800000881800200210201051080000264814050200000020810200ac42e4001040880080a000c4080000060a00800001040000a002258a0061000814004a110102100440c12840108808100010840440800a0004005aa00500000410002052240118848440d0014815204001000280205050204014040014800080000004a41030031001010040030000081014045204050090000810024224a100848108600100000208510c02a42200810200008900042a0000200800801814044800a200818450802000108248048108500000102b00048040008c4040000004084024830004285080020a000008d0000844200000001a15860000041880080211005000020840ac00b0001021040010000215240015214a01</t>
  </si>
  <si>
    <t>A35637_0472_0840802000a4080000050060060a400008900202100c4a21080050020041a208048000100148040200100a4080041084200a000018340048100008210040308850012d00500200242110842802050140952048000200200400000012118400500450450502300400a0060a00a45064014050840004200a50030024a200000800448110100102300910d00050840440202442000000800110808008050a10900000010040112010c00418248c0000030064001000000214070010060880021040a440702000510010802040002100a00140000118c00942600800008c00802212902248258208818442208040800208000100040008400c0215000a400f0084804084081a400400018210500248002400118a02052012042900102e10000800400300a0821a710008818800700000000800042008c4254224054a81080a25050280ab08440400640012102000012500808400012440602040118000e02a00d0020201004810001005011040a000610810300012010100850100a10008a02000900200400300408c0800000804001070880800041034084000a50001005080010200000a01</t>
  </si>
  <si>
    <t>A35637_0473_000021001040a140012c00800808040002a02100800240400442242000108108200818452600010008118050602040008158042010800012900002012000400202808902c02802102118500000400848a0245000020000000004a110600010608000010048058000000810840802a00800240910008410810300250000210408008042000810102208200040140540802510200c1000081020001a002800d4000051010884811000080a008002100810000508440010000c40800048b0880880201000020250221041024a002000000210110010c48800202840000200c0800a41000884050a810048c0a042000200100600b02000000200802640600712412540040a0a100600058848012002000218400a02c10110340100340408408040000900050112000040210040a0000014041000aa02400200a0040201800861a04004881001090080080081220084044060871200091260004000880091044000044a240150000600608100408312508010118000810c0000000050860800200280a200400000700e00140000050100d0801a408040108010000918442810040c4220850811</t>
  </si>
  <si>
    <t>A35637_0474_0808012500b40002418a1801064010224a00000001020800290010011044040010004004040034800001810081281040801011a000502000940848908140208600008000e00102040e00148a40840000000740400512a00000100300002d00e4a45085200080011011020200080230085024011000ac02800a4010024a10800a00244020200000080081880a040000000408410300018400602000008108002040000100202408d00408010c40202a52110800100c40410a02000208200b50008040400100200810340410d00808940040a10800400140c48212200a10000018000008248508908500240002900048140800208442000000918100500d0080091084891260030820a01004070800824080015a200000002310000010300240500c42a0844a41804024a40004080044820831000014004200004a90041080010020800a102100402200010508852118200440640110640048418e00c02402812000240200200012810450048040310200050648c0200880041211011880005200000864011810a00a840202102018200202210040c0084a05a000018042410a42000400c0</t>
  </si>
  <si>
    <t>A35637_0475_8000018042e0011800001031200281010291220260004020000000005001821094060010000821a000118040400000240040312200c0045a512000800100c08900040402040958000100e0000200230025000030830280840004095054041000884094200880230240840040a802602902040108240842000248000312500440210010242a1221a610000008c10000000600c0810004010060000000080801000050000804a04081004a84014040200814011015040a000100050010500842c0a010c00a0040840004020000054001000a510a00c00c4050a300112008502200902842a0805000020205090200021050041804081881010a902042600200242410000240108b0800000081244004210a40800204040240004820890080a200540342010650a0810004004290090001a010602000c0040000834021001000200020a11201a000a0201810080a110500200000202502442318500300c1081080020a000008808540212440000002000e18c00000012408000600100802008000500002058000440c5051044800834000084885804004080060201805000810080200000840</t>
  </si>
  <si>
    <t>A35637_0476_004a050110002100208808208c40042442200510010910040000c0801a05841000020a840b40012240000812018000242040748800a02c08110000240148200410010c40808000402f00402412102b42042000310800600000100302200018f00c02100600012410100408802040200a00640100400812810500158500800150040010400850148800012c00800600100212008300240800b00002100000002202d0240000051800085000851040005024000024005a802840200400008400000110c4024800a600502000000140000058a0060824815210010000020000800044024011840020800245281020820000250020044a400202102002110818800040000800302800042000010540310210008a00810400c08010240008100002040642802040b0060200285040024050041050000014210a00824a000040450410408000648a00240802402500012100000818200440a0005060240881a440002200b40040308302008010000910402b10510050042a00a0200000000081a500600908048e0890080040040035a51040004200085044004a010908000410102100202010f1</t>
  </si>
  <si>
    <t>A35637_0477_030801a002208a0a00021014000091280000000a30044a000400e0011200000001060210204204a010100808850950c0080040851000a400002308108052a0040a44004204a218350000010408000600310208500908000050a08002310418c42c00000008140002000000042102800b40518400800040040a0a240002008818200000d00200010b18000412002308808440100400a02042000a10210400212000502300900300208902c4001044030a100b1010a058c0084090a018c00000a00040000118550400f08850440002010402400200000000100b58000910808408010c42010018c0820020000000a242242900158250802000040312800410010440508950602808310200440100018242008408040440f02b58100300250642410108010408100e02240d0014001010200004061000200000031820080080a450048042002910500002000900000000108410202900840200000110900c12140600042408210002410002200a00318810a0201040000a100010c1850020210000204a208010900050052908800440800150402412100818018c10010608400208000000a0</t>
  </si>
  <si>
    <t>A35637_0478_074aa02810002010050500940040d52040012000500500810000c48800200000a0204244200014051030004841a81060a200140900c08a42400048a00400010108e12040040000100610a0000a040040300410008040c00500e0000044210080a00204000230800200020000080040280a740408258610042a00008440400000010402a0011045a808242000000b08000018008402208402000940010000502e0000004881010050800045001080010a700900402400000102048100e00100c08d0200001a402018610000002100058202c18318c52000148000408210e08018400100b40010410108210100002100700a00a4004005024205810801824240a400040318010b1060020814200091040800084a00000200281230000801880000000084210a01000044a410808012600d0030804001004010225870024200a41010801000aa0080a010400200108440810902a08040000848040008110010042402100450500602208050808348140000042008d00042000010018252400050800152002800b00040842a00818602200058800102a4030000a10020200210020a04010240</t>
  </si>
  <si>
    <t>A35637_0479_000080040234000020a400d12400512802118400818800008c0004805a04a210208200c4090001000080000a040040a00108500500a0020ad00600210402000d0041204000015011000880821801004804201020010805880244000a300008552000102348048100900112200052600008440b0820040880200810840000021084040010820044011805000041044a048048810800048000e40a0014060054004200094010020840004801005080a000508008800410110800800310400610242902408042000c0000884a140448840610400402e12410040002208200000002402540002500210250400800a02102002510340808052b00808042700040810000400040102200110210940e00040000000400a0084040200a25060011004081200004801091830020811050820810a90044220041200000041a300842810900a48242100900000800000100800740000000002102442812242508448a0045004090a440210148002010d00008308600250600810300940502410000800802300000242018048400c4014000a00820835001214220000014840800200280080200820000</t>
  </si>
  <si>
    <t>A35637_0480_084001080280010040001084004001090800a300a0080a400c1020814005a108440248040002800000f00510400002300212640410d1004090290221044280020a800000442040040600410010042400b02012408412418140842218000100802052400000002018000600a02d40008108000810418450500000002200018642c08940b4080a002300840402500400200508a08a08808112800110040110008800000042208252400c18008112008808042c10000040010100010042900408c4084090a04004080060044001024210060090080020a140802010210c10600010000a00210010400810442910900800002108408200800202050018118c5005010270020800a010a08200100240800000010440400810200000008600400018502408140640410b08200000308040408a0080204010210085250221800ac08850300212248208c42008910200210202510050400440040000000a18010018500000010000a00242210910002818012108108600400600002058000018242000540140000008908e40040300802418300250042002808840002810902248010040a4a110e0</t>
  </si>
  <si>
    <t>A35637_0481_0c08240900048840010000400802842202108100400450000542202000040110110010000000012040e0884001204050aa00100200200a02040e0a84250ac10c1201001004080810a00010204040220015a500010010800500800b1241840834000a00260010810020080a200442400a00052300c00000100b0081811a20040201001000021000040860801051080030830200015001040020200800880004001280000a240100808000440812540812308208c08450810008002200000240400040802100000000c00a40842100050400200a08040112800300508100050840800202300002d00410440000008202400000200c42810d00000400008058808050a40000110100200a12400800140018400240402400508a0011000010200a042c0001014040004a21201034800824210820280804030011050000860840a102a0004220a200018c40000208300448800042a40812400208010800018208002148802118400000808002542800018000510012902408008002018840210c00a00a1815830004a400810142100008210540200800040010140618440c10102d0800841080</t>
  </si>
  <si>
    <t>A35637_0482_0d40000402408140400208040a40800b00200452710200010010000900708e0011a018000600b40100010a0801010080020011000004a84040024001820840804000841080000a75841020001211000a102242a10000410000402210000a10008000000f00010402008448c02102000902142a00210450112000818010110848800040048058040000000800002c0001810070031220200024005014010000a208000700008108210400808010042000408200c5200801040a248100100010008140740052002c08e48218440d00b0071890000204200044200040050011060290284830200881010021250290000000251004000a100040058048008000000502200040100010842e5a000042800000510308c08c40002100012c00340250100042100040100108800000000102002400c40802000308a10000410450008100000100202408140a1000214281060000095a040000608b00448000808852000d02810000608040440002048858000218600402140c00000100000a12200042000042058000200000402c0090241080004840a05040011010820011020005220000824050</t>
  </si>
  <si>
    <t>A35637_0483_850221800034000200000000040a542448250402a10008040112002200448b18040442000808100342108500a1005010204870280011060880000804021a518340000940708008242108048018800140300452200e02800000202810600210210042410802018000c00210850000042200510d0050081001004a318002400800000402c4000040a200002612012900242200110110002400300b42400110942010010040000010600040808540240040002008c4081285080004060221000204001014030041000090aa00000b4a000040400340002002200900040808a0000200080000a30800804200044010084804040804265281200011001881044884800244800001a70004801080000800010080841a008012802012500a0000004214010080820a218700848002d0090000880004ae0a000508802102200000810142000250412c1811004054010200200090820020285284020001a000410000c40000900110000848412800002050012400c0084a012202002148008400242010200002100018500640040402042602100048a00000848100418508a42010110002008000e0</t>
  </si>
  <si>
    <t>A35637_0484_0a00a00452640808040d10202800140d48b4020040020200801014200065800014a008010200140202810000608000100002302900012408542148300010010700a02800040240048910c12802802000208202100048408000008042002c18040000010808810000600800c5040080884860000034801201030000811a200000000800300910100a0000a640802000100040300008010852808110610800c10802140802000302200c0800004200000001261080224084080004a00090085001210040020844a110040e00002002802402b08b00a00040800050000000150c4a440500010300500202c40402600242110a00802008002c0011021000024000004030020014000015005a450000000602d1090200000040000004890080200284200000000ac10a42000100c0a240202200c0801280240000060020011a40001004004004001000084085000281001050005001810000a14044a00024ac50802100810012400e00e40940000902208408042000102440300208200900002010842340118010852208010602008000100e08450440000a0060250880080090214000840261</t>
  </si>
  <si>
    <t>A35637_0485_0102440100c48000208318040810000140102052508008008910202200002210e02410450000208400810a0a40a010000100402a0010025040070215000200840061040040000040800081280a912240108140c08600a12400c0a05224030004a402050140800510000040008800340240612c00808600810a08848010008c0844804050800040240034000080020004025061044a058000c00000400318100200052340a4a000c00512010000008248010810200202010a4020240850800081044044004810a11000000240040020800a31040020200000a00200841010081811020a010150c08900800400d00042442010d00800040048000700200018c00000000050040000000418810200848400418900008840440100440900400c10000142000418800402252002202010010800448000800a4004820001000060a000b00100252208400210100d42300100908a4004014000080200a41084284240220010a000300010000100248900300408648208040100048400200802408400800000142708310618040008118440c00202040102000812240a0020841210050000020020</t>
  </si>
  <si>
    <t>A35637_0486_0602000540808208510000c10818c00640110100210040000410002812402018200808010c00812000008500010000208a00440a10918010442a0005810250001064210220a018052410c1040080080014010891024084044010200a502700110c00040008050402408202c08c0030010a000a00a1804040040830000210041200080044011200a00005000800004284040000040020805000020251860000064000000894200810020a052440108002610e00400a08502100800040010158c02802408a1814820000ac00442100802110600f1001000280024a108000002010450100110400000002200c00402118012000300608900100a00102600800042412400110008910a0a840012f0200010a008048200010c4084a400108010202440202010000800918008440b00202040000050812000402a1840890800801880030280050800040204014020200a210010110e02102100808050a00a40818810042110000c10a00e08000000808000a00018002800008010100500400c5a810100240102a0040044010004000024ab0010284800250800200280084844004004204004240</t>
  </si>
  <si>
    <t>A35637_0487_845080040000220800020824240000200000014a910100018c00048200408410400058102800a10010100110000400e0201a440408410602800c00110148200002000010000242210c00900852112000002102210040600010440000010300c1021a140b0004225031040820281000000220000020084004280a000400a10000402440042848100400100840002400808100818218048942800202400100a0000814244231844a800000200400c4a008050000e40600402500a00000008908400812248840010000c12200402a0814030080800000a402440042000500200000842348250000508940000450808118540400210410800200802048110010000002300140652810200008000000000608000142040d4200000240800800000850090020010a400818042900800102000810548400042340212010210142400000300a00440118102c0004094084800000010020000200004a05000000a01210000020004a910a40212c0240234055040041040010284281220020040000050044020810040800081a14204024050a400010812010140a40000c1885820891000030051a41</t>
  </si>
  <si>
    <t>A35637_0488_0c4a40810050285004800014a000912008900240010410652002040018440a00018400c4010000a008008800842010800150202c10a0244000200a14240810000a00054040020055020065040a840b02200600500c50858050000010252108d02200840000308208708242000000000050102410842400040802248048018112012402200300010200902040002100152602010008640112800000002200000440d00f08818500208818800842208858018410418a08100002042040000140050100040a00358008800212d00002212150900550a0a04010a000008108002042800940002400210a00058800500210148a00408040010600000010a00012c50000c0214a252418040000802842200010600608040402000000400510100c02010140300000500318048000502848450008648000410c0000001000044020a000808000140800950018500800200008218e42000452100010000810308400850548008348000802800512800302500818202042142140800400c0031000080020801000a000c0085841080280840890080aa50c10400002408c0040821800200800830080</t>
  </si>
  <si>
    <t>A35637_0489_0008812142c40910640c0804000a000000312442010100400010002052010600018400850108000008700002040010008a10040800108c52d00100200040110910400000948110002e00e08240140100040600408e00c12142500a10100a10942012042008042042010818640000848002308000040a0800080200210000001a010d00242040248108340000010408008000c1024041a100108052000000348e5080000021064840081860201200090230a900000a02010000018700c10240240000808040412010510400040402140308000142058442000848400300010c0084000000a108000402c0000094000030850001a25200000a140000c00040002410200000208000450618402802012218918100c4a802100800000910000800800600b40440110e4020000080001a012308208c0000080810224050894000001200a100000110000010052008040000600800c08040442208500000002040c0284211035000850285a400040002248000652810000102802200000648240010500a0010070000085800040280001860010020001010084001290010a01a002e0800040000</t>
  </si>
  <si>
    <t>A35637_0490_8250000d0084000001221080a000400800a0060a208848c08002708000118a00200010d00000940148600142800902400012608200002202810002240008900210008c0080a20200060841824a10200890220280004844210230084005280800020041014034844a800002058050a00000000800c0840015000010a60041004240001090290020000001080200004201004010040a40000230004000841040a440c10540002250c0000220ac00448140210100400a02810c00952100e00208010042c4234020820004880a01004021a012110802000012048002140108440400110500940540300240408140200300208210818010142800000400018040008810200002018810800e10840200008418008000002440c02012158008108002d00e00212010110812e00840100112048600410242c0000a05200030000025084204220065250040880040214024841880000000004284280a000408110042402340a48202118d5a40210040220000a208800048400300208042100418050542c0004a10a210002600c50040008018008902008500c00002000800000a0084060221001001</t>
  </si>
  <si>
    <t>A35637_0491_020a05080010004030030804860a052000000358400c00842102200100600000f42440150840008310e10200e08802000100048100102050510002208140318310402400000802040200b00810100940800318600000610440000202040308d00040812a0001010200820000000040a150058000800648900900012608008208250002702a40440100000040410008840400208400008112208800140a00700440000a4080a21021060200800280090000a300010000400048208410100518410100000900310000000040002140108008000640800000c0a250100008800000500642242040110008008852c40002610c00442618012300202002910100200000400b0221a008218000040108040040110600400402002258242100348840842400110340108240240012048800440910608850802d02218608c0030000a41220001040880081284240000001040090070200200000005a10201085a012800402040018110202000110300040750810c1a000800a40808700200848608110208840112110a0000a400a4a21201260000840294000a14810800084001244000a80200801</t>
  </si>
  <si>
    <t>A35637_0492_001a64084010a00820241831280800200000005880080080001204a100000400240200400440148212800210612402040250512500b00e08102048810040c0051a810002200a00048010800000500a00808202308400842910000108010600000008000000a5824040800a00041000010201280001001004000080250a008410002102402200740400a1824004080000a10001820260a010248012350808c0800881044024000200014ae08050040248040400410c52402800908300a00c0880a000100002302000940c00112040110218208c4801010070880030000014aa0000220284000020020020040000200000001800200884040091a00050800001044004a212112000402010c40f0804010811040a000110040910010710242802800002202148808000402910008242308000a4800800080001054090000840294020800065050850080880030830030a600802010810342002110310c12200400c0000061800810a200c4000031a000a00d0a040012402010208008a10c00550708008008d0060804040000290210880880021010040204841220041204000034010010020</t>
  </si>
  <si>
    <t>A35637_0493_021080800204894a04021090080a14204a840400000950810840200318502b00810048c0014024005210020040044230004800060004241011010000200060805000a040442308648400102010450800102202808040010000040112508410002c42852540210440800018000c02c48340000a18102642410408040010000a10042010040018242000a0040001020a81020040004820000210880200210041a000802008210402000500608912102202310000000218010440110400d10250c0201040820221000021221000094024240811010000810200004020a01880820000000034001211000201050004a10a440218208200102200a1005000040a050c02000018000410948c0a80020810814000080040000084891800821050201851010090821800000281800220020801050810200a100940010210808618010010408042002100508000042508812350018002a0210044094860a210142210102702010400408810040000b40242440408210800410e08800400c1004020a00010004801200001a240040200240518400040808850840002108808b1081040240a20240040</t>
  </si>
  <si>
    <t>A35637_0494_8200000c4040000020290000220000200201040a20060a81a110308250000218500600402640808042100000440040e40140050410600a4205080820a000008c10048002000140000000300000c42508a08050410002810000442800200800508000d00000800040000040010410a0024221a008f50a0200050a058202810600412000c40812608010440200110500252008500c10800000a00000400008000a00100a40108202e10000842802340308000208100008110008000000910210208010208102140010902008d0040000a70040050204080080091200000004085240260000021880800001000090aa00012000802450950800810608200c4244010000281a042410002202100000b0020011004a202102000040100010040008000042210000200800810400300100200a00108208050108808108210912000800008b40010800418648510240302500000808a1850000211240800020040041080220214ac00012600150802202012b10500a0810004000a010310048a0010020800001000821020044244201a200810810a00000a4884021020000040881240825864000</t>
  </si>
  <si>
    <t>A35637_0495_0250c0a80240021014840040020804004800004060801a81095000001a308008000802040a42310202010600800100000a0225a00885220801000084000a810c08010110e02200100018002010510140100412018210242442100800012b18008c00400302002200200800002940200048000210210048c02648800100400a08200d00802002008800408000040102000010c08802a5281204810000001000000840030021004011040201800200a940210800200218140948000210708840050810040800002010042200002642818340508940040142b00110040200600052d02a0004000a000a48a1280000004a44a200908c4810054001221800014085001260221004040080820814244030034000040280000020205010210025841a812802840510108d00200140008018708a10c4201280010884030a200a48200040502048210e0000004a000000802202010d4a04804000a010008108108000010302a0a040300008208800d0a04050080021a01055000021a018008202a42840e48100012008452e00d00408200048518000242910c0201030281020281081284220054010</t>
  </si>
  <si>
    <t>A35637_0496_0c40052012000808010a08b0280844000011a042308c10400012040300208500e10c00100002808048b10050858402240048418410808650c40c48012710c00310200002900110218900708a0ac40c0204011200010021200000001801800080060a940142902200300000440010402210440008d0220080000034044800000220805220a108400500c00c02400800012040000c0a040040000a50200600a0a00080000820211810000000044080224240001810020815080280821000030200090004000015290084080ac00100a00000810048002c0204000240a200108c50100a00200040500050440c0204880a21001041005201004800865041850000200000810001800000000a010600240040000000c08440042948000110010a18042400b00000208018018912942110408800048000100208100402c08900002400202208200c1024001804204200021841820200210040001044a100010840102440a00000908200040400800000610300010242140008150008310242c40800408058008800000000040500110410a10908000002542240102a0020801810004031814080</t>
  </si>
  <si>
    <t>A35637_0497_0408000c12200008000918c02000040500202218a00208040040542200200a1040020010200000a218010100050800c00008602008040442040908100412000250a0840220800041a000642c4284090081804850820020000010200004800040084000044804000041020225a900002900008800f40010410402008008900140002410a02042100408018002000508a40002210000818010840a5065a20801240201060010204a21080a01051040081241081040040881220004805001030a05800000020044201001804240010031a102810d00000800200002600210742008c00002800250808a0084010284001204880090040840000215004830000800205010010000a90020a202042148808610300010252d0020024220a008000842010902940102c00408a4a510102208002000c5201284080084000040030040000040830a14a00000001004020211a200200108808800300000418808202210d02c0a008002400650008940242002142608800208010002110100010500048042c08a42250a1010020200290024804010010044000030204004251011000a140040a5000210</t>
  </si>
  <si>
    <t>A35637_0498_034004010040091000090881045000064a00800280000a010000d4010000000024260890000001220850080a00850200a308040100240a08040802850002108450200900c0a80010820840040a012a40008002400c52200100a4004210000890a80040000090a110210c48000412000100210500000410502108048400708300440040008010000800208c0000044081200021804a810050240000250e0800a048c02000140010800c12400940908840000500008010502002312608408040a40940408810058008d0a00000020824015821871820210034a05205051075000a000000002008010108400150100a00100400010c10000008050408400e0820010010020a340600400412d0010091024080810a00281220810020a00800260a050048b0220800000a010510800952508a00008440050040048310008008810900400a02202008550002002100158100010150202010000052210408440c08000408100100c0001280000200aa0045000000241084014224220800031801a80004220851000801a000010240210040800002a12c5000801810800821804000040000021211</t>
  </si>
  <si>
    <t>A35637_0499_8800008040c0004a410200800a40810d0000010280005000044094204050211084880240090a10021200070004a00040081040ab00018c00400008010452010a08240800800040258200000610012442a0240020054005011084014811080020021080090014000000040220a04000094010020010204004020085200001840ac10002040002040800610010440b0a900240410040000800040140002010d50010d00202058000818000e4840004a20a00200050001810090a008100000212202142400802408200240002400e02108050800950808110c4090a210800600210400040910602210408408042a48000208400000a40910108202510200802400142100002002800018000002902b4000810001880a01030200804011010a210000440212410000002410002000a0a64a400000000010d0230805850850825010240235010010850200010000220000261800004840204880000081094081a000040a4060001890001041050010000000040a200040100000010c08a1880244280030000220000204094020000810070001804284020210040a010810040500140842202c1</t>
  </si>
  <si>
    <t>A35637_0500_0002058140902008008408600258852800018002000800c18100002012200d00400452402400210002308c0220080080204004820804080000020880004201081221050044a000000000300802c4294000041201001080040050800010a008058000050040a4004010000080000204001a302800640c42000402a00410e00c5004010000020240010041221280080290000a000a02450500140000002000b40008100c40200200110108a12c00040800018b0084201201040000800000031000254004800021821001040210220aa00548000240252440408008512c00908c10000c00100400408048050500100200400a08200a0295004000800091814000284084ab4005021004800211044020000280000a80a002600008108a0001004041000084851a000010e0011064a018002d08400840042a40000402010848000842900040102018910000802008008000010512010802c0010855041060840000210080260890080a81a050c4804070040001240085090201a102a0800264081054825050081000884001000024000041080044010050004a008008448a0014004005001000</t>
  </si>
  <si>
    <t>A35637_0501_8a00440010002300010008910042c00a02110608400000248800040a0250000091a210800800208102218018808112200000200000940840c00c40008100100640202500848902140f10040218402000250000008a4a41804004800234020080804210260080000080000041800094015254080000080010034204020001011084004070024060000014224041010801000800021a81000200090a010c00500402840d42318040008510200000002250208110a4200040050880214840000204080240a240408108000458900802002748b0001a800800440140642000900452040000842300208200800550040008442000d0200811220090044050084ae02000340202410900000840802440948118a18100010500800210000c0004a05881004211204281800040a800e00000048a0840004215210a000100118142200800a0000200010844285041000800a050910c0204a000540808100a00310a00c1024011020a00080a000800b08300000010008040000400240108400012808000602940708000450812440040a0070000001800814020201231041090200004034a11005080</t>
  </si>
  <si>
    <t>A35637_0502_0a0a00a940500000608c18200410942900a5201090090845200220824020000011a000000040110042010710802902840148000300040812000008218042010900200010300110010b00c1884804000280831000000a040410200012400e00c40858002442040610408000a1044004a808010008400000902900b10002800000200802a08040012508000452c10a0810225a808000000000700108400300740840000900200008200400840800900818102300200042410200040448200c00810440402302442010002408000100200600100c1000240000021801011071020010020004004200824005a90090014040ae1000204800080080065891800880050080030020021800264805000280a600910048c4000014221045a408048c0800000091040201030a000400402848140110608a4804044080010820014001091024200014030800820044240805210a400740000000648048100300040208050000100010a00a0080080200800a540110050802000300a42408108800042040b0200200290081800ac1004000820041021201805290810820090000021200050001000201</t>
  </si>
  <si>
    <t>A35637_0503_0218c1854084a300040218010442102800012310108200200040008050140008600202010800012300408848400400002012412410000c0004020000825200040801090214800024211800284010240080030010090000a150300040400700c4801241000880030a210012210802200100002000b1044004200010a700808002a08850d40008018000158012900040248040018a00600400200808208400c08202440000850210308900840010840042008c0800820081004810851001050aa0001020a008400508440048000000240252000008012140508810400508a10418042400000012c0000285000000004a00a010000000540800108110000302008102c48200708c10000000c40948810202408040008000142802012008440400000102010400600900802000a40048300210c10000100242008010f0814000000200804a64800090a000010a0831040290080204044200814a442600a08400c0034835040a008400410002400200150200042012100600008050c10000212840500042300a0801800814010a042118808a02018040040a0a000b08158200c0220030800810</t>
  </si>
  <si>
    <t>A35637_0504_8540650000002040240210408e00012908102008400300808802c00800640b00048c5204000820a100000010418400000310002a00340e00500b0080000000040880085240004054880830000a140002100252818000042110042802012800d00210010a02840000210402400d1044020001a00091ac18150b4010821021001800a802242012018200450c00c10d00000602600802200812142018048100100410100002142210a00542010502940000008400002812000040048452000200e0290090011200030840000080050880240020000885014070a000012c08442200400e0000040021840a00a400800140510200810000c00a40b40002000200010912800a0020210825021804240000a44a01010825084080801800a00800a000040300018048208410052000c0a05001810084200011090034020011000020201000810030050000044004080a010000100800000010200940240008442c1211084a042242000c00c00040242100008110c0a81a002002850002808b42018012200210100000808608002200a00200008200242140042212510808408202000c0800811a41</t>
  </si>
  <si>
    <t>A35637_0505_0800a08010342000212818200040910c00042018c10e02202010800010500410c1880040000000020000030a00040004005a250810518000c42248308648308800810100302100140d0004a20840020094a44020051020090014200041200040a010410002b08210008a4281204080231000080041040a80050201005020001041050210a00001860860284a910c48048200200010602500400240010008740e00402000112100d00258402040940210658008252400042102008502e10000048c40500a08008710300440102a00b10000410242008450840808100c0010021205080024a20801041020040080094200200005224a050142200200208740208000300800400a00800012812500048500200102448452442008002200d4000080004a00801010014000844000080010230000061a800300140008700100018800108040440810000802412000012000d08210012100602002100c00402c0205004080815050081a00804200081211021820000000230004804a408942400810008002010010148c0200200a900000108a08000c0020001044001800800094020095800820</t>
  </si>
  <si>
    <t>A35637_0506_0810e18800002800140600200c00c02402000200000018c00012500200310e08c0220814004a048040d0041200201000001800a800a02042000d0021020000844a40210044000001a00054004041040000a402008a18600450a42012300000b1064854290020005011010080a100208300000b0081021280040084001040021000890000a80001000044220a40000000a410200040a1a540000148200d00140602010d40300000e00000058510000000002208400210150440812040008440452000f0000064201064884815080204a200500108a00c1010011000a41840004004050824004841800a00800020081801a600010240102502140058010642050c42100a1060030000820001000a048018d00452210c0020025a108010448600150c40a40708a00408612042800200102b0800041000204000a21001000004804000010800010004840201230000205801040a04a100808208300e18008002042300958500800410058102402902400000018042c02000800010600000840900800302402808010400c10208808200608200400150800010202c10340e5200024001024040</t>
  </si>
  <si>
    <t>A35637_0507_8108000112500840500900008018040248140200a0020064240000000a200018202008c4020825044a80000004a800400910000010200008140702102502200042812150040002518c00d18010800000000052110940a0890000210a048900240608100800300000810a02c00940c00010452010c00e0250084000010091010281000240011875010844020a04000024200a000208800410000000000b00802c40c40200112000000110040900500950202208158c40100200800040c00c48810500c0000800840810000805024200000a400012200050c00800400008a08a42150840008458108000410000100802102200042000010a0084250010000804281284a008242200a02040502802050100d00348c4200000200015a410112a00c42000218400a0815260011290280860040810801a800200340440000052802000c0801030800021a418440000802010010800000842040040202400402040900800300312010208458010a08900410b0850000804020085840800000880004200220800810090004a812140152158c00010400102048048410000400a00040142a1060080</t>
  </si>
  <si>
    <t>A35637_0508_080880040000a000248d00a50008010002b10212210412600440100140502c1050001814060821245a41881801250050000001000011881a000000142010c00000000c02108058400418a40408802400b08000208018400800140000002900010e00502000802110400208200840f0010821020021280050280034015001840200a81080a118048000800000410c00200310200a42410950102008102408900640d12248800040100400812010800010612400000042100240802600708100040150002010000800102000c5014291a518c10200008040b08018050000010042000040002510200010052c00800202040510000c00800a08850040708c00442900400110408200442000102102000040400c1021001260824805000010a008540200810140500b00802400008a0204a50834a048142300100340300040050440040a0000a910400808002902000008a10208408850000b0044080005200004000000060a400200808000040808148000010000010002a12018000d0244800010004200040010280040000810004021820840254210000220201094040280210204025000</t>
  </si>
  <si>
    <t>A35637_0509_851a800440808018000710208c00002148240042100200050900400840008200000802010800802040800408008402200018610000e42018100d08000140d08800012542440110000800000208100c0824211280004084240020804010a010b12000400908002200508000202500002310008518908c1050290210834250080200084200001801a000c02650800002858040000008e4280004000060800020000a812040040002010c42008400300000010718408002040100002600418700248010000a0a248800142040100040202010800000e50402402010012008410202000002218000600018440800902110008600000002810640110408e00800a00040540042208010440418010840008040400152008152208058010000202002800700302102910840058100d4a04200070004265004000020830a110c48a40c02340000400a0030041011014a000300c0020004841290200864220001841080030090800810811084200040aa0004050000a848100902910000408400000010602000000c00040050052800140208010150208000642140218100210012002008a4040051</t>
  </si>
  <si>
    <t>A35637_0510_840aa12850448248300100148002100908000012300410400140c0a040000210800a00010800002418208250400c40400810002400a42c0040004a10241880001064010244881250000001004000010081870800840a200000240058152018002e00800a08a1000020080200001254025000060014a01a842900210002208000a10010000048410000900000012248848040f10408802012000100010008412450500500040042508002058800740b12008000012048440702940208000100e4810050200a210100250050540c08140550808940000c10108250002600042402d50802000000010800418012240200358000042200012008200402210348000000a02018110200248042440948242042600c10c00110000a0800a900142002002602150000e0000000000000200850240045881000240031241000040000054020011a248800000a10010800b02008508208410802040210408110d0880291250080004a110000202502c00040142808000402410600000500010940e0ac0004000001050021040084080804024200824201a000102108040800910000c0040000040241</t>
  </si>
  <si>
    <t>A35637_0511_000a41a002002300200000442258150248000010910c42a10500c40040118010612000000002202200010940042000100002248010040202c00800140410b0054a000010502802142008340008810308002202500012852012208000108818200408842002a08148210910410002240150400408208002d52040218000008500812102440000500d10910012040500800108a1080844a400100000008808842200140740842010200100050000200000518010218200400002008240600448800442a0a810040110d00c4090090a240400018202848002000102058100d00018102c42042000a08008058010002210440800050802042408200100c08210e10c1010000221280800a040012000100202410342048140108000140208010c02500100902700008400812440200140200018158000510a00842408000810c4280060a00840871001004200240084840a810c10010000100008142610200048800240000208300252002410848018000400240a00900040800018300642008c00002050002000e08400010800a00150a0851001091270814020010061a00805200094200001</t>
  </si>
  <si>
    <t>A35637_0512_800080010080810044030041880050040221020061800064000010820815010010080894080a800242200140e1a002b02900000900102000410602000102000300800010340040010008450042112848052100908602200100840200108c1001860200244000801000890000a110a0800015210020000044200011a240500e1a000800208140740018a0ac40000202008510800c00040400802048600008000640510600018508100240000c42a00002642010000810900108302000000c42410940500842600108840402110248008048818140010400800800410100840600002840142210000c0000804284820020000864000a042b0000030241080041801040820044021051800000040821024a81001a000010802208040a00852048100c00308000c10442608400200a00208d0020205001000881000ad00708600800102000402208018012002100040300310d00208550100112010800250c00802000242010000e0a05a002002818200a00a40810810308000402000002650000a08210042c10600450040400808308700d1880000260220204050804001804000800830861</t>
  </si>
  <si>
    <t>A35637_0513_801005000044024021001000060884204881810800010840010010020201a118440c08400800808440000000400140102000450008100400802a00018008600140a10802000012440100100200040440052040410410a02c00b0020801010011884240220210034041801201a010008a40240a08c40400840008a0200200004a04004000884a242300818012002040148208008a00440042b0a000412400000c02800800202408200240008040c08800000800048000012102a0a500000200e00402c02918002008002840000040118310100000818110040050118910010010040600200302c08e48458d40008100400d0000000081000000234881844080280004010030200860081001014084a01200050820001014201800040854204041200291040041810045080044200040030050024040070214204021040004215000021a200100808040000a48008102500612608010200000158c0080024014210294200a20054081004064820000ab00500812012108b08040200108002410040050500008250000010202a10402108048010440008000700200100200402000102418c0</t>
  </si>
  <si>
    <t>A35637_0514_0008058042848842218000000008110500300000600500000902a48300502000d40010440800a0204070045044041040014230091050020810044084020020080204080254004024081051a002410508100210100c48402802008918000200a0a80a41000004050000031a800850402a02048300000000040848200608c00540842002e0081240000080800880024820061800084040290090210220040004840004204a00001a800200050100602008018400158c00100240000102900b0081050080215220020010024014200a81005a200000008c10302018100d0020044ac00308110500200300248000000b02100800102408000240900008c0844220201040000821a40041281894044090800021000a40000044a840600900842050012802218608810400642000808000402810202c00110900818040408048c4a102008050000600050c0a102400340240300148000c1250014804831080a60880204a000200000012008010802910410c00e08a40040240142540008812010840800202300200400452000848002410900000042010100000210800c0201000240010004010</t>
  </si>
  <si>
    <t>A35637_0515_0912c0010000281000021025004244030a04000000824a852100002008008000a1004ac00042000012500b00218002808048008c00100242502442800000400e00002052648040150100940c02c4014800011201080200a100540042400310200858040740200410900010240400208200212000c08008102100012402008600600000000108208008b0000a000608b1000001004004a44200a85854801000045000010000201021024044091084091001070830204000260220825000054280004010a900210100040410400840110102000800242010202840300800400842102200a08640908a1000010040284020010884020845084010040a00040a000000a0014010800805020880060200a050900a12440c0014800820a200050012002640010000100a02000042008010540108100802400d0800221020841220801000210020010880880081200000a600e10002002810100200040800000200010808050240908000248140048058008600040000140000340100800000200040240348010300500200400142810112a00102010c1244200204880010801254200821a00801</t>
  </si>
  <si>
    <t>A35637_0516_0200800c00000a1004a000c50200d00108212000100040a02042000848018c1800004080060810260011024a010000800002242010010e02050b00100202700042010000302200402600000408010400150140000100808140c00050108c00402052400600108250700158a40042400140310400202208800700110000818202600400008a00202d00100e02040440810508118040402812900a0004030014804810210880a302b1804040001080a21840010800241811250290004000021240241000005800aa00010008400900108310018008000540440800000100e4004801040001001210080240254010280211830800805241040005000a20040a000000c02042002800840c10500208208200200000848400f0000a152000010a02952000202018408940000040208148008708200800800042002000910800c00100d4020011820070a01041004200000060081a240042a00140200518000010510448200008c08252040940c42812102400042a40010a40800342e00c40000502700040008200000418002208142202810358002812a00808008400118c1050200080814a00</t>
  </si>
  <si>
    <t>A35637_0517_000805240030004004a00050040050084a14001881010045a400e00108000008308848c00000118500000040a12040d0035015840820821011200084000040810844084020000230a400c00012000848040202000452c0a000240002140e1801000a100040910400408050000000202008202010a40042000140a1045011010004880080890215a810658200002b00202200200a08808100008000100010442400100c00000040400000258c4080001050090000aa0001010200014280011084081000024010090010220800240080010000840080204080204001211004801004040884010200080020800040020a000600e12200100502248040010208202000c4201000020824800040020021211090855281005000805220010800800a110c4204001811044040a002a00a48100a00c0804010000820a61031020a018000040118542008850000940000a0064040800000a91020090024a510342000002040802000410200040500302102618c00000040040002100508808852200012040010300408040408840000002012c10408010000442b00002a0830064090010201824040</t>
  </si>
  <si>
    <t>A35637_0518_0040442800140002212108440a0240020a100000110e4880880080a040412400848812000308300200500b5004004000021010221001005884070821800200010a002140a00002548100450000000800340400800042802500600342210a00a0000040240010221880094021a042100802052500540240800408208010a08a0240040270201a252208148800400102010010400540450c10a0ab1020030010820880240020001800020240044004a200002800310800440002210000400012010c4000001854211811040201044a840002800a1000250084214060230040080204004000001a00080025040284810a508000900608442708110650c00050800000142100418208008412012a08000508008000002840648810108300512818102200008008a00242400440900008340a00502002c40440110002000100800440040200100a18600408012000000300408440410010502210518800000400410100a0a048210c08a12402e00808000c0041800890034004024a118240000800508210040410000a4200004a01a00001030021000210024200a21011060014030090210810</t>
  </si>
  <si>
    <t>A35637_0519_0540002010048202240100840e02010040a0211850001001201240200001a408800402010808012000710000410802000100148008108800100e00100440600810a4a15020200200210800a810402c0020050801001200080210a05054200010224004080090820280000800044010221a440b0814a040440c02012108008a1000800094a118140608402440012442800010008308842950100a10002010800a12410000040400008700210000002802000900d00000440040852400010208400000c00810002a10218010400040042542210c0220000284020250000015005840280290020010014084291004020060ac08300008040c4a208008808450210840108802418308202048000002840012f08900042902000840658100a02c1000044011001230044040080220020800a000b4280854030a100100110a0a00241024090010240001a818000142102308200650c40010002002310d00112000d12000212100008142008140700208202400008000440000010600a08008010002900802040010c5804291040020001830040820210200090a002200200c0210000220244020</t>
  </si>
  <si>
    <t>A35637_0520_080040080040ab4014000010ac0004204a00000030000a800042802002100c0011ac0811000081800800051880000024201224801005020000014884025a408010008c4094201000020860045081090021034000010024040000890000000015804a14080004a000008410040410008210402410508000810100140042000210a00c02440840000010b00040c4080a208500400300210c02c0201845020034001080000a10a602910b00400000100210200000018408802100910118110400202110000802008008008000002000202702808400450100c40110410800100c08852208000018110040400842200248000800340a1244060a040100610802e48000c0084011801865001ad0044000210020844800800240a008200900440810010040108102000042002150108800012600800608800040008040300810410000940002010908600040010600000010000040a4850280081021241880844004040a018340400808042012402008000a00108800800848952000000208402050200a08200108802a02110402008008000e1021091040a310058500840002042d4220000000</t>
  </si>
  <si>
    <t>A35637_0521_0502808840a08040358300c08010102b4884000200890201000004080810080000080014200080200000020284814010080054210004800a81030034801001080a40880010221a040408200058410100a02658000440202902000100002100812c10910202040112410400008000548002100808100040110848848710100802c10010040900040a10700208440800000400900c00008040008150012000502440c50100058002000000c02840042800140400008000500b02200648608108800402100002010400048000040208242540910250218450e0021000030820024000084210011021020a800000500040442508400a0001010090011080014205a400202840000600f0044011204a118200200f0a412400008000508408840802050040302040200308c58000400900502810050440802200a10018d0020a20800040800074210081081094080010a002c0001024001000804041080810040000074a000210400118600400108b40008318800000502002010640500808808c50202100008000100040100402258000800a0281001014880001041080040040200005001800</t>
  </si>
  <si>
    <t>A35637_0522_8012410140840300040900102042100400002042400d02008850c00802000a1040800041090200011021044a008840d0001041001010a00010274084814a000802400040208800000700000200802102200440000b4804015010084854040811020004254011000a000e02040102600842000018042208c00042810018200812002c10208010400100402a08d4090a050242000000202042448a40000e00d0080a052000002150010400c40010908242600000058a02010202900710c00900000940b0224004010001804045040a008040000050e0a402308940118100000010100802040102000410202402140010200100440200900800000010808042400440400800340000e40418000942010508100c00410110000a0864200800aa10812400240002800612050140042850010700018840110008900202010510040840502848700a00008200000400240410800200240042800912018018058000840400308008200008a00052a00000108510102400110848100008800410210800042b00208d0084a21014004800a040200802e0040084000070000800825a10004081000021</t>
  </si>
  <si>
    <t>A35637_0523_0110248800040002648310040040840008100040108800a18050408108140c0000a00054260024800220811004054280080004040024020800000001001240011080ad0024800201a210818000c00c02000400100700400012a00840202500000202002048b40408218240a4005010884a412e10c40400400200200002400a5880080000834040290080821280260021050201001041080014214065220804284200090000a010200818000d10002150002808102400000400308100d10042058440800110010000300212042d40042042900010010c0060804220000800a200150442110142918210400000a02050210208108848902800200108500a1201ac0250230040200010804000010020a210400000040010600018000b08200800040200142048008a0060805010200021000804a002410042142308c0034200004024201030240085860081080010a402300248a08400000040002000800440812200000042300418000100a0a008040200100208410408118000f10202200140040118402a00000810000440208600800f10840c1080030810090821201000000805814830</t>
  </si>
  <si>
    <t>A35637_0524_040005800200091001010800200a040142042240a0881020200280004050a008b1000010090010241050801040090000000245a00021001840020081040821010845044200804810840030000080024091800880001044090004010a110e00500812510c0801021800040081a40004a058210100c1040a90010280050030810ac0800000000820050011a042100140202548800410e00050100108440510808800110200a00018010a4a010942200900008400b10858412142000008800300a40c0260a11214a81004804014230021250050051000045000a150000008802a0a400a4011010851000240001004281240a10090a80a042000208508208408052812008200100210b00840410208800400008e08042000a4001004001880a40a050202a4000031010000800040021a000000200648040202802000000200400002100a10210500108008000040108000010940202110d0a008000400212402c40800110012308e42018100202040110c10140000c02c0030220a010250202012148000410000400208c10948a0a050410100800542008310602418a4000080040015254820</t>
  </si>
  <si>
    <t>A35637_0525_0a1245804024200860a00041004850080280800000001201841000a008208018802000810c00000212210000640040008012118208542250042308040508008000c00410300002000200a00402000802000610700400240c02042850210500f48812400108050000100148050802200018040110000618002408842040400348018802300002148408650248000c40040600410152008100c0020810aa00812200442000010010008240602102a0200a012410000000400340900050018850040002a0800a010010a48400042a40840000108400042800c02258648400302a02410008040012000000a00840440150008800100400002200810150008810050002000018302100702000900040210200a00c12410450408100108400048218002b0080051a20845821000040084000210810024815000210800200834004000090200a408108c12c0015000220000031084a80a040000008052f00810618402440900418610040040410800300108e00040008c5000a00030a10024000880034201a20240060a04211044821020860080880801084a042300800c4081001064000004810</t>
  </si>
  <si>
    <t>A35637_0526_0448200010200818000000b48200102842218652100200400d02108900008110348000802248102050800102c00500708850010000440a02800900002148100a50040c00200202000c0014000044000a042100c0080041000210a000000a00048440012148a0224020880880000044080a408810308c42010602902312300008640000a00808418000000850000000910100808100200000440110102010108058140100b08202800550800942a00b12400a00410210000800000342000002000900140940208100c02040400440840408e1050081200000a21800a400012412000040000100000150042400042100300000608008010008a4000820000000800220a010702318850800440000042008c00d18848400100340712a0000840010224200a050008b0a858852c0030201840034000094080200014a210008400112808012010308248408040248052000200002002000400a42340200500812440100858010510540608c52308008212208840c10810100000042608202a58802300b10008210800000800840012212818400a10100040200240200d02210000c00100310c0</t>
  </si>
  <si>
    <t>A35637_0527_0d1021001094890a208c1004001a01000a80240000030044800010a80200200005a842900400a0a04a30804000a542000840100d00840c40012800800210008042452d50c00308242010902218842100000448000100e0840024020010040821205a012000210308108108810042048302010108000c0000090800000010001004001284204011040000805095060221a01010890840200204000224081831024000204a848002018508e4080080081201011090880241040a018002010300000000602040000c00600000840002048400010408202012600200400300010208000200210300d00810c1a50024020800851841040880284a202012000208c10150b00800210000402a4240034010800001030860800050880a45011015020a14230200a008000458c50400a02108102210010a10000100050502700c12000100048110048008102842112640010008800140808840000110542400000408c0014020011a00881821014010a850102800608408012040202508100012000112408000402a08600002150c00008100200810002c0290081040240800a458040c08b4000200</t>
  </si>
  <si>
    <t>A35637_0528_035200844000800a008a0000840080010011251800804ac10150402210000008510a00c02600140210010010a0210044204a00010004861a802808302000710008a02010040050010a08440440010200048002810200210000000140040910000008940808910608510600802400802040000c0800084001224280a500810008050000a08200410c10000e10100000310000708310200500e4004000a90001041205020020805240804000241000214010271040200010000281031041080000201094000010021000aa00000308118202200618448842048048000108400802110400058540008240c1001230000001260080001810000200a20a800008200100740000000808a08010c5020a208150c00b10002140000210000000210012102540100100208c40210102802000702318110200500800000018a10100640000040100400200040000812940808000610048812850002008600108840002000100b08040000000218800200000502010200058910a02000748200a00052410c4a100000008800200800000140110008000408440100a5211881020a40280000801225060</t>
  </si>
  <si>
    <t>A35637_0529_8408600000048808050800358840012002802212200810c40d02a02002000100910008100602a0040800804241200214a152000810018000402000040208408048018000000008010800000202942000018500500202408800900802108610402000450442902100718002842000300a02012800910650d02800a0010290021080241010291820201040044a440202240052000a10010402e0805024a118010640c0070001010090040020000220a200040a00648048000400108000100a4000040060000061800080000001020a00204210801000a900000110508110c00c08000f08000040108c02010110100900148100850a00010940842100410f00048412242242002400110808100a0801040281000040000250200044001001044000010200200060000a000c00c40108310f00b0080a800040008250818102000140040342108a00212008000800010718900000a42902148218410700002002402508300600b0051a010002808140000108210000410102800058308100040440200808108810040400000402910408010202000400e08002008200410800000000b0004010</t>
  </si>
  <si>
    <t>A35637_0530_0808240440c00000418000440000110b00800018418240002d1200031210000824a000102c02a10010c0014281000044020800820840001805080a91a64260061860804204080004a500000410000f00000640208008c08040200002140800802010d02b0085810000035824080240010821040094aa00142040200012808310808800248040040308400440800902000000018d42408802402850150200112e02000a0814070081044081850054a040140200800e00010000200418100910410502000840400508018a02402048248042800402000102a40900040a1021001a100440a00400100002202140a0201020a40010000814024801a300100040012010808200202c1050044294044a218040900142a00412208a0001001821204000010a008100410010600010000010200300902008012100008440d10840c00002102000048000218a1810280030801001061a240d1054081014080815a04004240020064000804080a010500000208a10c0021210204004040001080004010040004840040800081050260000264810001805044290804a01091080800280020800045000</t>
  </si>
  <si>
    <t>A35637_0531_080080a91020a05010800820024000040a20a01000030020014200000030200001060ac12c0001044830000200081080800a000008c0081004000020a300c00c48400010100140200818e0020015004000004ad0805025240210020810000031044040200a000012508900202000300800608418618400502800048000310840600040308a0041a01060084880094804a318c10400000410c00a1841810800804251044220204240081000241080a30001860044021a000008002202000e0224a140008002400210002412910a0094051211004a000000842140450a1810000800220020061000045000080280005010040000285884004200001a00000804090280081804000015a410042800a0864060040004241220200000a408d52018400e4080000000800065a402042010118700440800850202040510608818200d0220090051081000200004030005a102818a0040004000a84041010000a05800020200014821000080a850100000408000508640140000010010810100402012800000458908400808902202048008100100010810a0285000010020224004244210220220</t>
  </si>
  <si>
    <t>A35637_0532_0202c0010004800a400100d0025251050004804810050240000084201005000860084040000000200060851084a900408110102810210810000302810002d10400048000e00040402c00548a42510400802200a00202018010000040042000002400900c0080204010041041a400042000112a10a02e0015020081030810014024050064810821200080085a010840948010300800600512900210008310140000c12002140440400b4245001210a34051020011000000064880844a208448010050042300158500018848000c00208340400102000900000102208200008048c5084a240000818100600140400000000618010800002100802002210118042000108012500110400a0a80080081205a400200400402208040408200102050050408310008100712000440200040042c0810240a01084200821000010884a00004020010211005040a810000000250608252610400500240002008000a4a810d0080240800001040050020014005880810040000290000000090020020284020aa0840011064ac0010200004010820000224244060895200001091000800000080810001</t>
  </si>
  <si>
    <t>A35637_0533_8742000d4050201010860014a808010440200200400000010440040202200a0880a000002000000708600740002002242800408c0080841010000000a410000900040400140000512010a18040110002050242000908400052e0231000011830080884060aa12010300210600102802000540400410000842440110200408450200c10402000040100040408d0044200025260000a010002900000400408400000002a40802442d0800845040040020070810824200214280011010220041000201014000040a100050002040700110200018b00040000642208552510000040000808300042010200600800142912048a08548812d10402258140018610c0080000080215010001000a00004a800700218400040800402840500c00c00210002108308102800950000000100940410c00310402950240850008110808c58802602000300000808600400000242000810810000102840158400000300200150640200600c00300000502a0210201040001020a400000958150300248002002000800312418040002102040000042110440602000c0800804810080064050004a00200071</t>
  </si>
  <si>
    <t>A35637_0534_0e08000000000100208400f00000012b0a050000000012202010400b58000400008c4804000000030080820a802010100100000008408a10002202010218c00b52410840808902248000a18000000500b0000030000001a00034a050440000808240000108a00248200840000140800802202a10540600902008112018410040042802000300208900010a02850000148058a00902408000842b4a042a08308040d0020020010040000281810084001271801840000a040440000012010008050950800a12102a00c08058800408008308c00040a1200210080000000030084a100000102050000a08800010000a02202208b0080051000a108200000102212c00000048550100202008c00542240342000200000000100008000900800840540800202302510012412800208b1a102408248400850000350402008848008000c0020040ac00110842900440002010000a08408040c02002010d00010400100a4211800a018208050500400340540010902800c0040805201a200108000400502840258208400000402c0090051050094081891044800a44000041221000004a00004040</t>
  </si>
  <si>
    <t>A35637_0535_0c40252402002840112010502010102040048148100550010102448200608a1800a010400b4804a100308c4024244210025000a01004240811080290000080091a00244040090800a500000818400d40048442000058040842d02200148000152048450040000208910800000100800040148c0080241a44014a012008200108200052200010302300100010800008802110810600012050500800640a1074044811000a200000700608018100008a08242718000000000440810100010412258900a0821870000805800881014080264080004004a900240050400000600200400702208118010800002110808152018010502000802600018200200c0060040080000a400800010c18412f08108002008050200452048008602000200800840200050202d08148002040642102448810010408000d40800000808518008000002108000008440050002a00050342400910602800c08108200200040240100008a00410010202a02800202000250000d0040040200810820010010200a112402850140610808800c1204080a60a30000800040000204870840024020a01230801010080</t>
  </si>
  <si>
    <t>A35637_0536_080a840000440a00400a00012810942400802500d00a02008010402102448908842202d10400a1810000041a200002108010410400a0060080064021a210a00408252000c08242052a10148a40050608008210410440802000000042040400210400002002200548100802018410000840002800a00600c40b40200340400612c10000842810240608000018500008110208508c02018150048900242008c1001210000a200000410840048950a02002502400842000010100008018000a1080a110302000610608250800900942b00008300018042052e00800108210a0840041010080205281010004080040801230000060aa00102940818408000850000050840258200400200e18050300010242008c0a040840040202000108900c08800042202610800012800500440048108108150200040040140202200100648000200902002518240800c00c08018000518058a40042102000008010602010d0080a80a440200700c0850050001a200208010802002240008048508b0040000094000a31a00040001040000201050a30020a040052a0201000211810020051040000010a00</t>
  </si>
  <si>
    <t>A35637_0537_080a04201024a91055210080000014084234001010041081800020014050201000041001044285240000001804010020ab02010200500210500000002000800550042800802208040410800a08110040000112e08200042402000042308a0814824000280020051a210442a12000d4000005090850880014000814214061080800054030080a040008010002002800100000c08808012010000108140f0000224010204080a502c1834004055010000261000010a04800084a00821890840041010004804210830865264040000000241000800a002000000818118500000040010600108040000200242410102800200900500408c0090a300250000010400012002210440500802000042400300100600600408140840a10102400052808150000908110800100200800200010408800e52000400102108202418202040810d48202000f00400010042442200512800d02800900800040442000408042540902000240408500042500040948210108840840c4240200844020011020041260031804280020081080204a000200400618000c52100802000200050040850a0000001080</t>
  </si>
  <si>
    <t>A35637_0538_0450a0a000a02100018018840258102900142202a00908210040b00000248d00050250002140208200808510c08040808102110100200602402100200000118200800000800800008808a10402402248102148100602058102408302202010200c0001090000800010844020010000021830000041041000074091200080040a402900108940408c10040c52000000840112518800852100040200200a00800008040442000000400208000510142900058018710012000102200140000b02a00000308002402100108008042808152208600400050000000010110600000a10850802100450500400008c40f0010825a000e40202900000900210e00108c12040748200000600000450110208000350a00a0201204024090804051810020a910000302400208008400802702200302818808a00c00308210440300200410042a08112040018008240140102000740000048848402040000048808800c00410008818300800800010042940000200710900412000002040010208548000800048800602300110c4a00020881a402900840402840842050008010c42042410008340040a0</t>
  </si>
  <si>
    <t>A35637_0539_0010018810200102112c00000008002240240440818040448850640808400b00610000100802100452000400602140208000300010200002800108100012800002602900c0020a418d10002042410008800152800808408042500018112800810800102200040400608300c12110000050042c1884a00080240001040a000c18800000200800508c00050210150142a00500000b1004010244001830000031201881070820000080001840854050030200201020040204020084a008208010040c02800848050a0080001011060010040081050860210014205000020090a01a04060200000040801a808402100008400a0040a410142000050000a0020a852000800a0001080001021810080014020880010000880044011a01a810640200050848000002108000858142442818602400440840400308100100200202202412002018000400848840000002812018610052042000802040148410b08000040008000152010000208002042300648000018c4a410002a0000090060a202800208108508510212000010900850110c00a0040040040800011a60050aa18110b0205241821</t>
  </si>
  <si>
    <t>A35637_0540_0c0a200002b00a4014010800840040050280004220800004000000095801210000001050070000044021020284081044210a01a400210208c02608848240000700618c00d02000100900810008000a08158602c00050008010800212002200210202010040b40108000100c0090220000214a018c1081240080000865a100802000040140000600810148040052202102000100012040500200800200200200c5800000000851800041a00080000005040020000000a01260090010800005080a012808100600400e0060a800002200108500000410852400200012800542c4001000025a252808100c0090070024000211014000201050015064091061000240080820820a000000810010200208102408000040840100802502010200048142040900042c1000881290220030244800090085090040a240150108510008040040008040100c1060041084a040000c08c0045080000800a31801040a800c0000800001030001001804234000000020820840a41010080204000090804814080805000090000204801024a040408110c1000004060294830000834041014020220054040</t>
  </si>
  <si>
    <t>A35637_0541_020080810040a210418d08240200440500b50048218200612550102012008410340008800202040002a00002440110c00802510000a0841000050080021260084000001024010864270094001040000081810200090a412c4020080810090080884014060005004a20820025001060210004820001820a850002002010810310400000402a50012100000000900400a02610008440400100242200402800d50040410e0080020a110012c0a000902040040410950208802200002200708142002950402b0040010010041240000a218000200210a40042300040140010002240112040000200008250010152840042210808240000040100000010100450008410c4010220061004200080030200844a01084a210000a40302650000618448400142000442218800000010002800448208108440042a02000202408240050000048000518200008600140400b18600600518e00c0200031034000004004250000021811210020080a81000810004860881001004010a202008d10400208000702202010010540000502c00002408a00618400100008040100400000208002b0000261860</t>
  </si>
  <si>
    <t>A35637_0542_0040810540c0020840021025220084020a20204060020a408540140018112000740c12010042000408c0880800001000010014210014220240020235021000801020001010a000412c00000808012500008102108908c00010040900600108a42600000040008302910d48000c00800a5041000004a00080030881020200001825a040400210448000010c00500100000012a00042a02d4080000a018008a50840802000002250000202010410a00118100800208010000440300000110900600042c48008002d0050001010004800840201800025815000815a000a00400440812008312600108418010040a08008000200100000852302102400a10b1000080004000810200021ac50010440012250c08040002100408150140810e0221090000084014070004004a01094004201891800000a110800242308c0000844200280824a708210e12c08400502010140400c0020a140900810012410800c00802000010400210352c18000402802058200a12200500c4aa0040a80050884040284080820840004a20890024000860a01800040084004801205a81000820850210000000000</t>
  </si>
  <si>
    <t>A35637_0543_8700000800900a0221031000280001240090a248008102040000242102240a08000c42102802a48058000040000000402008102308008058410108000410110a00000c0000081200800040000a040442a02500808000a40110448000000d0000200855004000820020844a210900d02b40508900a00c00110100002008a0810004000204010200090080801201020a042000208c08000040a08012002208000c02000400810700000848012c4004080a408600202608840402050002a08450400942840200100600600200010408108402000912002110a0081000800004025800000220000810000085000270284000281855200040210020830091090020a44080a00841201040000084294205245011014240041000005820821881080280024080800a300210008c00248b0014000020041a94080210205890025000a81000001020a10044000840080030a010600a0a61a81240014260020804280a80244084014080004200200000004854281810880a140800800300800500200412148800210100348c10400002100000408148240000502a10410000c08410402b0a00005a40</t>
  </si>
  <si>
    <t>A35637_0544_001224810220001a000a00240048010240000100110300012450400a0a05020004a008442048300500708408412100240048042300008040c02200948108200840000100000000700900000840000240008252010448802840000210000400800058800008000112900000050400b08010658010710440000a02008410100000800802c08008010508312208140008810202000042012000440b50018000542002000008048140100010012c0250000021230060a210412a00010640610a1804010020084200041060004285000091000a70800a802010200040042100c0821080000080050000020a000842c42000240000802000010c00000608110150600040240008008108c0a04090010801041261080800004000004030a10800004000264024a240008548810012d02000000600558000000002200408608200840800100800000300a02810800400908040410808c50102442a5060260024000000054080041810850080ac0080220a00281811060000084820800000020041014050880000280000004814250081005080000021000280000810000080840801080000005281</t>
  </si>
  <si>
    <t>A35637_0545_0740240c0220821240021020280004010014000041080000281024a100008400900018002102248352000512808900000300000b0031205005000a050440418200208000502208242800450058840102210000010000210800d40248208000100e02100b40008610108050410000300802000b10040a40000200852000110000440100e0804030060080205a010000a0810030070a800140840302140010408c0041044230805040091080040000020261081810241a500048a02200400a4004090214281221a51000000800010200834a20800020001204000801a800802040540148818400818040008040002010410018000402800800348002100342240012408042010510018000c4040a84a10840060060000220280001040090a040812408042602c0020000805004224004080800001054200a050012000f0220810240821a002408958000102540a0000280005260a110440048310518050000010002b0020200840a440010e0200040210010a012800340110000410500800c40102110142808218a4090080000001000881a84a000042000050518400202000202a18000e0</t>
  </si>
  <si>
    <t>A35637_0546_0208200050942800002000d4040001020a050250008010200000a0020020090041a600402000908200208a0004801210a04001810000000a110a0200000870010881a050602010010400310048102e42200410010002802c00c40010000c0840020800224010040000021200000030000a000400800000400408002000000442458000800802008f0010020000050820a002010108802000100140702000508c00152a40212000300118048002400018042010300010010140042442200012200100448848608400500212c40d00110200808840008800e0801000001094080280040a310000510040242c00008a5240010804801215010820001020014020280210010204a810142c00000c08008240608200e08042040a40040200912002c10a08008002d0080864240020a018112910000a08042008110440810042000900140110610400200a48000602300140910540200500100810010200610048010402a1230280030041805004a010008108100c5080000000001090084000200000a008000508610200402048948208410900812100408000508308a4220004010001044090</t>
  </si>
  <si>
    <t>A35637_0547_0c08c00000100000400800302810510202012400100008a4284044030014090020001a00050010235061001a400100840042400410000250810200a00008000010200412b00108048018040810450c00002050200200802100940b0a400108c52400150102858000008048c08c1010280a10000080004800080000025060840881015000231004840080a00200220a150042008550400000b4080011211860a210000008800300008840858002008840300810418840100400802108a00842050402300900000a08008000150800040208100052c10910900a08608008200402000500000400a0030000080040000274200000a64a110b02102058c0814024a800c0224071040840021281090804010a11040221804240810001080000a200800008a42350600d10802900048042200808300848152240800000300000e0054080a202010408502048140600100108010a10048012202240108400000808400c0201004a01001805004260220851810040024250080a040440508100000150100900050d00802010002c4005271081004080a11004280860830001240280204800035830</t>
  </si>
  <si>
    <t>A35637_0548_0e4a80241020081a302800208040800100010402010002008902102000448810040850010408102048a0010800800210025000061804064800204080014010814025854000020a00a900000210840002150148108410610400800800008200802800102800010000600050052410840108640008108002000100008600300340c0a000902240050400e50042c12200850002500a1a002040300908002800110010042402100218808018008400000900700000c08000d50840000102000c40208910342040150000010408542008000010108000610002400052550200448a12c1200820221011040000010014884a100200300800d00202042400110000840012000908040c00a42018042100008040000712e4010004281040000071081040010011820020814085801044000251201044000040024080a00a21801a202040040242600e08600410000d40000248018108002100348000040200048042002a00908012810a0804280200a048042018242042040900000100018a00048800008050000000408400040908b1811021040201a40020030814030060081811280210040000</t>
  </si>
  <si>
    <t>A35637_0549_8410808c40548200000418a18040110008142100000808e0a00094a040008100902010000c40b4211081010a200002c4001054210800004000010220021061010000a00010824000081094260084000820a00050000a008540a40140040800242800012840000048200140202500000100208500c00400c40308010348a0840200a00000205000281880065210210800830021841041000220880264820004000804090010040090041880211000230000200000840051230030860250004040200000800001280040001054004025840a010118c0001040080064840090880241044a10a002000240c02010c40012010a1804045a440908840002900000a02800100008500c0001aa02910000140240108300000400040100200810350408812a40a0260a600e4041801000a80000020004a008c00500200008010b00000040000840400010040018402c00800240f08618242802000112400008e4201204050800a012000812208900540910010810800402900040240010110000600000808940110200200e1801240a110042408050800142902108600308118410100200a0050060</t>
  </si>
  <si>
    <t>A35637_0550_0300800800408b02410a00618248400040000248c08042200042340a00000a0810200081000800001001810241000060021a200500048418d42800002002010802800900202010000010010e4210034800230a118012c42402442150200d00240648010002000610200d1a012040408150048500200800850000158400c00808450c0004800000a80040a400140000800110000000050010a0800020a108802000040000840200e00818208112500002300d00100252000002010012800440400900500008440200052412140800000110310100408050a0a00020260801004a500200a08000410800802800048100452500500000000400010342208000800800042a0a000a08402048510640240248808410808800000110002210600252010140040218c08000218812100012002400010000000c0800000a81880080010004000001040010004080094a802050118a0084004060825030240021000a442242042108100600000000242a1240880044000a100100000200000800018c00e00118218100012010050a08002040f10a08002800440a0050040050205004284084000090</t>
  </si>
  <si>
    <t>A35637_0551_8002800500240148140208900002540902000000810110000040800a0820040020a840850b08a00040800240052040048b00050000d0000040220204820a018158a0080064080200880040205a50000a240218018042a0a000d0804021881001a210810000010108800448610002008002012800910402010200000108a10448008100100000600108c00a00500200308212000940802110b0204000881801064085040830245a100010c0010020200a050608140008900d00002548800f1080204000000031a010002800100c08842108100200410c02002850200800702a0004004824830ac00100000002440200400000318002502008940242018008400540040a0000000865a000000400b10700518002810040700808440100808058402040040000408410050c10e00900000900018200c0040820221a000450400100002a02010010202040d02802a0000050844200204000000831a100c10440400a0884015020000040010014201a242200800402052048300018000440c0040000015044070010044a012000010140c1000045004200010014020824060814040010201810</t>
  </si>
  <si>
    <t>A35637_0552_010824000244005a302c1010001044000a00035051805000000250800020040000804a84024005244a31805000050000084840000815080001274001a012a08300a02802000800040010808002100902000000400002008400540200400800a0a400840802812400a00310a0814010080a34000040080284080800000a400210000400c0084200810004800010000024060020070204080010024801041090a00200050800240a30075040000024014a040208200c02c42000808000408400800800008110148410150800000002040008f00a02040400808200240800010812042f02010010a00902208412808250500400500602000040018100100812418150402202112108800850000000000500408100252010800108400a0084841044200211011000020084801094810a40a210708058c02202950500110840800802202240518200300e00002908910140218000408800802100248300440a08000008148000d00800202040842200000c08200600100808810410210300000002348000302800c12002010148242200008258410100800000212c18840a0810204200200200</t>
  </si>
  <si>
    <t>A35637_0553_8450000800000150640408242608050200318440010018808102000248402000340600800602802140100200000402242000150018a02200110008102258608600002040002242312210008002000408208200500040040412800a0245000801a00014210015254030001080084010284001021805a002450400000002d10010010040040048000200a02418c02000210010418008808440c0220a448d08008042440848018018810c02802000000a10052108002002102c00840010200640a10010242010240200140802510008148500200b4040044020810020230050840010094011225000090201041000800810800890a002000042040048010810440000a08800158410142008c00002100100a0030020004040000230210084241001034030820a30004000080240205000a000900a4280000a010440300152400912000000058208842040010802848500608740600100902048408000000800402808208008800850e00c02040a48102610402418c42440250208010302010142440b02100108a48008450448000000c00100812100802018100400a08040c0014805060281</t>
  </si>
  <si>
    <t>A35637_0554_010025001200281000201045805040200084a408100012052452a0000000070080004081000080000210091040041040800800020804240244050091001210021a00044000810041a400000a50800202100350008218810002208042040818100402000840202000d1820005804044a800000010800002842200058410010040400002240142102110908842002908000640f0000024840000030844001001200241280001820000080a200050040018100c10300c00000808102508200442810042002112600100400000810400018002408552a0890004004a110008a0a008110000810008300500002800340010040408448042000240a00042000800048010642852212000500048500240b4a40a010800c00010902800600908110240000008212008a0000a440000308240200000648000102602808018a08242802d00440008408910000408150442002352200852200000000140100800800a02000900000100a18400c10c1000024034210894204005090881061040040000004080a00201020014a00804000204010a00080a01800200200a44040020a610c02448a0a00241</t>
  </si>
  <si>
    <t>A35637_0555_844020a800c00810108008310812000008042000000f0020a010802010000100c0000210000201031820080044a142c00202110110002200c00048340040900400610000202010600d08010040500000100242400352008002802a0000801001080240020814000000000a25850004211021ae08118250100740a08100000912800c0080210244080001080a40040a058140a18648010850808200002100240808840602040010408410800802800a00348900a00c1a000040858300110a08600802340210000100a50052d02300a18540f00210000402100802400410400048800c0a11000a008208c40010c40902610000c1800a010600002102400000000d0074a80a000900008048000002102000c00140248042240000008900102e0211040020031000010000054084880015201090024a400808100400400000c52800c00358142a00010c1205200804800a90000024840030814a05020050a040450400808040c00112050000a00140018000042c1810030090010281881024290014030030201080840005074805840000801024000260000000810840044004090085251081</t>
  </si>
  <si>
    <t>A35637_0556_0210402800302000202100800000800002040008e1000000800000221201040000080880000000061040074020ac40800200708208008042000002312402818010402140040002300210240008042008200100200202250000042a00040c00918000402740a00200018602050150c0885201000835080a400102810200018008c50402c00100040908318800c00008800002410008200402000048000e00600240012600008048900c4084a140400210102400a0020000014010815a10081004050000a94001081040a018040248010648a10118002000900002408200842a00440140002610408800248842342808218000058000102800840408018100c1084230000804050021080010080a04011000010a810c40100a1245020880000040280210a200100000210c00000018240018c4261200040030260861004021081064005014200880880001090000211091050085850010000004060090040a91080004044240065800a000d0010810000884004200000020a502800318200000800300600c00200c02100a40000408900500048800608200400810712000c0090080830820</t>
  </si>
  <si>
    <t>A35637_0557_0012440150142040200100442800012000800000e08400812800c00300300000c00200000042000240a08340000000208840240000408808002008058502310008412000248112400300208810000440140102810150048042402000310200140040102c0005a04a00000200800044020a200400200010c4050005241a800000c1005080004210241081064010220010004080010004800200201244020804000004000014020800080241000280801000820804a202840348a02500010518200c40000318300210140818000800200508600248010410000042242808110002140500b0000a408c5001014000800000a108a48000110d0a002058d00410010500d4080a000b18e58042452600810210408900c4810090004004841820000a802808200008810042a00010500810012400208c10440042108200400008402010202310050800c1280215000800000a110240c1801080004200801860a01054000220200a100900240940040200610e0850804081000004000000030000a01040a81244280820880000020020a000300c48010442a0224014050001a842c4000204011050</t>
  </si>
  <si>
    <t>A35637_0558_0310008002200a10300008500008402002310040b0091820800004220811800020060090094210201251001040014000021000011000001810084081074a21084044000000824234800040a250042040902212e00608208012048908602410202418900900000000208100208000248102500010010a40002500a0004041824280a45000280200000085000891244a210440000100000c0044a01821091041a000400c00140008000240208800040018402100c08252c0050014054a20000080a140348840100508208c40040302042410200102010010002240008410000200842600108048110012218500700b0801a600050852402202000000b0890a00014020001210800030000240000a940108700000418800048202110400900208112042018000a10c42802c00048208100800210040002908800240800410002912100010640000400050000702000048400000042000600008002110112800902500900410408008210800a40110408008b08208000642102000410040c12000c0081000801040040250290a052100408400408042d0000030020000261091200020824800</t>
  </si>
  <si>
    <t>A35637_0559_084801215280084a65000004000a840008210402600e0880011000a04010030000240a000000010448c10410c40002102002040a00000202100002a00058a00448250400c0011a100008102000140c00940300800000218900008802200000400c0010200004210a00005064000060800840a210a4a24240010200001280000004040020801220030864040841000000800a100842408000040000408100a12608802900302610218008e0005224081064040014080801040210070210881200044044820000a01081004a94204000001841010a410040702242010c08810e10500400808452810100210040440108040000010c0241080284800261800080810000084810a600b42c00400000100010100a0085010090031801801015801a800900010008000008240d02000252252408d0221094010000210240004801a04000804040a70840045200004080051801015a000000a00a08412a10040408410d00810402410340c42050a02008248100058402440002000048000040052410002000008700c00200800e0004000a200110a4a102c0230a10020804280005044204001881</t>
  </si>
  <si>
    <t>A35637_0560_0012802000002210242908008008840100802000408200000100108842408010400c02112200a00050800400c1010000810804030095000a110842a1220200000800004090a018240400000050000640a0a00251050080884200880010a018000a00c52300210540000402000940840110010d0010201280024a20201030880a200140008300200510942a18000200010508500448c02d00008002600000408a5200030010200020051000005010a21224871825000001060820810060814800201204280a002a00e08448440000052040010252240800000300000100150050c0000000815010034200210080081000840800800084214080020021070080011044a84030041080040211014020050010060000200010004011290000000854200004021010030800840010090010010800a000000000100052010c12440440200840110a18108042140140118210800802058542440008002110040800910c40000040c0020804800050024240080014a042100008242000300c10040102208040250000d1001200220811a100810500248502042a0064820091200040290835020220</t>
  </si>
  <si>
    <t>A35637_0561_0a4021844004210a000b1000040044220080800a408402808810c4200010060040a042510208208108010800000410100002308c00252408400402a00110010000408040200a02252a0044001090004094005a20810044204000804a550400200408840200010258208010408510608048200a1000a018402000a02142000000a0080244821825a008040048842000910400500008052012608310000800f40800800a0284000000085001841040000041820050084800004004a308208148200402400a00402800040a1041000a11201200824004850024011804a30840a81040080220850200030084080004214200000050005000020810070020074040840200010a010000300010400440050350800a1001000020a900040008c18010450500000208118002008802d0aa00100908040800010d4030a408a00518000002040818000210408040110100a08040400850452442808200442500040e50c00000050410200010040042300200000618058802400000012108200e42800000400042500d18a02602840008042010a00600012400102300008b0010004a00284aa4831011</t>
  </si>
  <si>
    <t>A35637_0562_8002440810200802400a10c52048000a02902000c00800a0000000820264261081004810230025040001800a20884014a800008500102010802000300012800410a1200004010a108a08240010400400052048108d12400150308150002800c02642900840200200410240450912408212508b00040800800a00200440008d0081841000a010010c1020060a00004814804010030a802052000000402c1001000205024004044820091a818000f00140710408340448402040802000400100810502002010210000140a0050000031a10000020205091010084001a01044040080030005a00021800224200060084205081080044a012000018052d00518800042000308002308c08042952002000100818100618402708b0840001040004080000014000821000001051014010864070881025200080221a400408c50418000200900100000000002c40408112018010208e00100202a00448200118400100200240458108000042510c08000010800a40600000a48002400210c02000440508100002600202a00810740200002000000c4890230020841040031800045020000204000</t>
  </si>
  <si>
    <t>A35637_0563_0918018042000240200008040a0010000020220ac1040204044010000030a008e08200900300250440000000e0080204080204211810800800044a112000a1000040000020a242210010802802002602110000300850c40412400018058100408a08800802052302810052c02852240000400200902210002200308200800110808440308900100308640002000848040100408200208000c0880a258800c42800c1010014060001040224041290200821210884000000214801001210041045084000220044201080aa00450200a00148000700440800c40940202000300048010042810200a08040800950c08010208000600600040500050102708210410c02900940412a0040880205000805060ac0080200281004030204021084884041000284a552800418008910002110008400110400000800008242c00100850040700308010200010200900840b0a008208110450100600818000108312a02842200040252408100000010440058010d08040000100500802008100200c00002a40200200c08818810500300008742200e00802110100000340e18d4000211214030004a01</t>
  </si>
  <si>
    <t>A35637_0564_0a40002100308a0010a808842818000242808010610002400940100000142418050010000400208240000000000140208000418000a0020091040a80034811044a400842808000000600d00840000800040148600c0a802500500300400010950418002042040640908008008040002810400508b08400142000010000308808010840300000012500012210000402040012c00150818102402a0800820850020810080811275200000080241004090200a40820040804004a010400b1004000000030020a000508900840400548040100b00012802400a02808040700208400500842048442000a10408852000118408a0010a20881000211000201040044084044000200821041a412800a02002240200408050050e0000001811044080a410b02002000200400400100902a02508000240008810202a02000010148812100408800148018240642000508040412008b10400c1200080020000030005080260294810821884045801000881240000020200840200a010148e0820204a80000091a100a00000a0210220031830040881000200000004000291000004004080010071081</t>
  </si>
  <si>
    <t>A35637_0565_0000852000200010202008100040810748108712808902802000408102010000140848142000910008008218c00002608848202400108e0a84210800214ac0090240810240025004001010a800800400202010100800012842800158400100900208000a08a42252500818000400040012008908500840002800050602c1841225011000810a100110402000000c00802002400810008412000150210010050002810102800200300300002000240800040900418010002302800140418600008000442010310c00310002102408008010100040200050808802350a0060840080010a040110100200808912902240602100002600910040802240a0820840000040201034200004840040084034800070014000291240080050801000800045200281804a410208808500c40208010000000a00c42240300400108810a0044000000041810805240084000014a10020800200880200a900300500c0a01290080880a352000c48810400a0804014aa0824205000004200a500c00608a00042000202440218048040040d0024020870001804044000010000001000021080090205040880</t>
  </si>
  <si>
    <t>A35637_0566_0100248410302110208c0021825044080a00004010001000a040200108012008858402102400200410110100a4281010a040002500410810110008808500000002200052000000412810410802010808208042000208000000300850040808112452452508908500a0041a410000a4a800340200040e40150202008300c00002040040002212110010610200c00a0225814200005060810044000220000840004a000402000102100542000002100240640108010a00540000940010508040200410840912040000240802800d0220050241084ae00c1240810040a000e0aa10142008800340a00000012552000810100408000848140c42002000108202000100a4010a008218418012100400010512000008418050c00008418000810400002c00808000010510618140148040542900600802d10108202008210f00000910000910142b0004041a402208b0000800040060044080001040001001001801090020021040064a208c4004821024000081000200050020000041881a050800102840500210a02002010f02a40212010540002110c00108102a10450400000a0200220000</t>
  </si>
  <si>
    <t>A35637_0567_8010000110000200002700410040840100a4000020000000001040201844800080a400842440102200010312612d00400a1a150300f00000000000008402100200e00040040040340808210200410048312112108108a02000048040100d0804884080060080220290020084a11054a148210800558800010300240602010a40010510600048040410010018000208a00052400108a48000c0801014000820805294240080a608100400200002402050202800b00402500442010000000a0a44a04000035221041000081800270200000a20080000080000014234021890820015220001044210094804204004a000250610808018040a02348008000900000010240a5a008a00010610800c0000254000034040240080011a20010871001090240830800a000600e00c4070020204261804840080040a000100400200450102242a4050810000a040500140100210800c0821a402200000400200508a4000220a008000310412c1285210814000ae00152048000640810008300212a00540700a0001080000a81244094020020860861a008010442002510400000a0a05010a810012a1</t>
  </si>
  <si>
    <t>A35637_0568_8400040d40108000010800a02640040500242700108008002002000800048108140002000800010040210a08000140048050002300702400050000018042a00010010002000202152100400440402308000100010218c50002040012210008c10002500008208000010440208100002210212808002000050540a4241001004020a900208808450200008a1000240010a008908b0000200240a00840201894004090020291800851040081841020800040021004044240000834a400c0071081000000a35001a208018602500000010450008502008010200240000400540400050c0004014a508c0000041000200040281880a040100040040300400100200402140040250018002008412400800000908248808900b02202000000150810002c0004070241080000a00004a000002800112a08500600140740018440012102002808448000a4080000080830005280060221000020811801220000825200004004010a01034204005090200011241000004200064004001800001880a41220085a310c08340240800b0a14020240014081084080a218600e0814080800224a800440a0</t>
  </si>
  <si>
    <t>A35637_0569_0100c10d4080080011041000280014080090005810894285200080010010010810200a40014011a002000000002040048040010c08642050040340818500a08512040410448348702010a52000000200000040918850448010900040402008002012d0200080840a010258240010202048040910200000040a0000044801070004000200000044810001200041080a05a008110210400000908840100200640218910040100118500848448050002002212110440a10402040200058908d0200204014a140110110400a0a41200084004a600542808002000800002010050002000408042108010810200400800b10008c00710440502000a0021050000200811064020004051030000a040908100000210c5204005200820200a700000600100200052040400402810400640240018a18900058050002158042200918002410942000450000048000042002250700308200408000008240500000010000042508202000400608050150200802000900400010802a02100410000c5000880040a340002008042040800108100400008300208000d0801010010001005200040004000821</t>
  </si>
  <si>
    <t>A35637_0570_0048048400c00112010410c50800100802a10610308008800540500108040f00040000800248000040400108440c00808142400600108c1801004000060020021801000004004214891041080a14030a00004040004004a440000200402000502600140808008158808000440800148008412110040e0010004a01810200031880294220a008000008800c4201020801030010010025800020aa4004060050821840294001041821011241800090210814000010280211224821a000508c00218510400910248500802010800440b4200211004000210040aa0225861001a202c02100042200218400040000602102352818208c4040220020044a008450812940a08340400808102410000000202150400810040000048048010800502200c02440208000f00300050400842140008110650618000b4820831a000450642010800a50400b00108248110500802240500008040012300000218008c00a0a140602802510200040000040000048402008c00000140102300500c00800002052442900040810300008440e02a0050000005220004220001a050600440848000c0005015000</t>
  </si>
  <si>
    <t>A35637_0571_0610400900c02800350a10008040002902212000d0010000004210224804000055a842000048a0a10000040a640510700000200800c5080294024820004001024000a000b00b4040040881a002000002000100000600050040008858600000100000140a0020a410600150a00800400000140010010400000800a40348300208608812000000318a18142810800402048600208c00012800800002240000800018400240140110308a0020210080000804240081ac40800000a00240800140010040008200400400002400400100240040c10002818042540100400000c40018812400252400000240e1200090a81a00280021800a400942800400100040a10810002840108108042000812848008140000600050102002812410010a0044a002800202010200452c08000700218608100008012002002842012100a08c00842348008008400018400850c00012140c00c02a18540a42100600400840a00800002000218000800008c0294094001090800240010000880a440608010c0040000020a012018c10040110d0a018602200448640100340958210308600c4050000800830000</t>
  </si>
  <si>
    <t>A35637_0572_880800280044005004200020061080280810070020805000a002340102500500210850040008048600808800010040208110142308e0000010080884020020080a000050740a1000a210010040000300b0a20a00080860044044210800020024860000090a908448208d40c0000060820020000000884840010204a00020080065000204094a00020004200801040020054000071aa00000c42210010400142010500208842210d0040260010204035010a918448850102508010212108040c1000080810044010004200000204010240021071064810004a818208510910800500a02200000100348008400708802500a10800010042c0221051021000000084034010005020884020a80260800211811064080000014201a302500e42200850000050410008402e48002a00040700000908000400400a0004090004a058002c00050000010e1844a04094004240820011080010010200800a010a0021040040000010a110810200502300100208208200a0ad00002000000000448242800800010040110400000140540010100b10202010402002040100a1094a248050000a0000820</t>
  </si>
  <si>
    <t>A35637_0573_0858000c02b0004800880001200240020280a012000010008142240310008000312800010002110240400a4061000010220805a00041a24000000001051221005004080014021004000000821204000801001040010000810090a81201080840a60005250224261000004800001204804a010010402a10002008008148300202c10000008042410410908208000b0805020820094000a550002018300108210e00040100010100600800800100248202000210640410410000802600a00148002800040148102808240408000a40110258910202002112002002608600140002800c0801000281880a412500608000412100c0060001004811815030050020800000030860031004205a94240800000a200002a0041040010040870001885054000a84005080000281a500500100408700e08002000808240700d1884080801010004000030080820011004004040240090204000040005a04280090080290004800a00211040821a002442800002000b40c40812808000042110000400402002018008010812042400040812008c10600810800440042548410400e0005224000830020</t>
  </si>
  <si>
    <t>A35637_0574_8110008452208000500000200c12c40700912040408448018812408002218808400c40010640240000200148800100f4014000000880204040004a100652400018240d10000800012418408800000200000042a00050200000208000010600c1080004080210005001050224a402000018310508200a02142040042010000040008810808100310c00418210902802300002c00002a40100240010400c10540002810908242150810208c02440808848300008048048800102012218000008440c02700200600508800a1804000001004050030001000014800000a208008440042c0001204000800a800000c4011020a01011241040004081011011080000a150c00142402b00000810002100000218900800042812a00000002000500208000100840140808c10000110842b0004250000004001080000000a51801220844200090a000810c0000084084884221a80004a80a840a00012250408500018440042102050000410410d00108808148010008400800000000100010c40008000442008200d08100a4090200020200a100302a0000000a10005010060040084230001004020</t>
  </si>
  <si>
    <t>A35637_0575_820a400800408040100a00018008810648850002200400c08400100242402408002000150e00310000200918000810008300510808810602140b0001800010805041a002042200008a00b0a01214080000a110000c08402010000840308010802012000600012310000d0004280280820220001040200880220a048040700048208c00000008542110302858940000140602200310c40800100102000500058000500242008148110012208400500008002400442200412100050318800208040100900810202d00500242000c0000a118118010a0005010a002400010150640842248910012308800418500a00208140300a08c42000408b02508400102010002040008210e00300c10802802800000c00000008800008158008018000000110000042010a18012040440d00b02510100002248010000240002810048240000c0090010a000102c08000440912040710210802c02808a0000800805004214290005050000001a840412002140158400610808100608202048008440010012002a08110000200000812a42148018900042208050100008042000402408040100812302c0</t>
  </si>
  <si>
    <t>A35637_0576_080841804044004211a218448612400000808058b0011001004230204220200000040001024011004040090a042002b0a20804000800001284204800004000070245000000020010020014200084050001a040c00d50000802000000008010740402000c40a0220850080801080000230021060830a042810900810210c08518200810008840502018248410010102000402810410042050202048008700010008040400848002400000200840000008102010002000440e0200824a20840044210024280041810000004095000204040a400842a02810f4001a040008000410100400a02400910048a00002008258010a0011041200000800824010864a600010902800042508510808002008050402200910c02040908040200008240202040508200150610110000502442052010400200248050102100540000a50802150a0021a008010010800900100142000010600000002800000408400240600112100040040010910850410048000310100908010402008002502210e00200442802000050300f40040d00a00040000a0091ac08452008a1044820080285890030800050000</t>
  </si>
  <si>
    <t>A35637_0577_0058c0004000020051040805081080000030a00040801001891034a84a010810a52010802002102010108540248000640008412000018410402200000100200500808040008148102e08000800000808848210310040018d50000000100a10200402452040200502000608408c00002a1a74240020201211200090000800805801a100600010400000402002510102840102408008040110100010110010f0040004200285250280000800000000090021001001820800220894200200004004011000a04005810860884091000211004ac00012400800648010040c10408608800500100650410000000c02202300510300118a02152a00242000110110418400208218202210052400012900b02510508000c0000080080a040b08c02800c00d00002600008800050102802000040008000200050002818200310410050c0290000044a800202442000302050042000000040040a4290030081010040081000091a340800048202442408208212100002a0800080014831ab00412448100008000010210e0a010900108a0010090090005000260000014a308c1020201014800001220</t>
  </si>
  <si>
    <t>A35637_0578_0848842042000248000210b00410100608850500018202212012240802048400200840902340808008818210c12440c0281840000820a000840000000100808000008400040008310310600402810000150002c00500e02010002008042200912040002140342040910008a5011000001834041010800000090005024000801a440110c0084024a500042018402100b50002a0060a000940a0001221881005040850200200041040041020a00240201005010010080040070a200248018c10008140008040010f10d40010112008002108b08402c00410d08108418010842410000200008202300140042000000102000618200058950400800102800052c12800008840000900802840500c42002412008018042940d02008500200118058110a4030850091000020840060220a24080044064a000000a10400900148800000202a40400110002240012008040112808b02000402040140200108908248410040810002310402008440300100040408a10000040040810002600a0061054210881040ac00042002102a00310040300202808150040002418c00900010010640140018e0</t>
  </si>
  <si>
    <t>A35637_0579_0842600452402b00000400800c12142a0801040291004000090000804a112218008a1054070a018212200000400100a02800040018040010810400940600e0880021a00014824840210000820000044011800800000065205000200a000000000a4210060031804000061080081084211000a308400002040c40000002308c00000110a00808008010c50600802f00108002100042e00000a08008612908200200000000910412008000c50000402208402000b0020004000210211050031020080204800010020804a242010042010050a0021801884000001015210001080851004aa1210000000a040452108810002210002808912040812450400418010010708a4a400010848812012202810002c08d08408000802a4005241830804801000801000a200118010440102258502210500000002a00058418010400200000042000110808000a42900200112408400000410440800b1830000000201a040502040300808e4020a940a08000400100808452802208000040008208448000500100300e0001060244094884244a100110818000800040200a00212000c4010820000210</t>
  </si>
  <si>
    <t>A35637_0580_0000840002840808202e08108048500240108018000a4200045200a00800210045080010020214020a210002008d0204234000850010281a800100000640c1000081200044020020800830200a010040050002f00008800400008000048310408408000e0094030080884840200030290010000091a24080200001220a600210200542000800400000340240810208112640008100618400f40040008318410240010c0a200008110402408812e02008142808050200000800b02400900802e00142408800240010900200010008248250400008018540002b08002300200a48002140202400800200850840540b10348e08408c1851084000800860004221051220214a01000021020000020800015201805800084200011021820030804080224000244a008400000012200202302010552a02400148048200210400000110242308008400800018040c0a808108100000a1081030a350100800400600c40902000040800700c40910140002108000a12008840040212000008412c1005040ab0201010000004a140d00910100018902410800108200110d00010252d1244000020210</t>
  </si>
  <si>
    <t>A35637_0581_0108250040502010500108000802c4220001800020820804a900000018342600040e00802202948410010800858d4200280000ae1065a000010040300018000808002000040040112000202402800048010000210618040910000a00212000002248040848240050000012200410800040500000110018000408000100c00800800110048102018408010450000b0a800000000000002000208850148100800040502e0000034a618050240c00c00102600000c4005210240021000240041000841010814000a400e00200050108102710a10002810810100a0844a808008402100248242048310810202110800000310000440a00c42240008202008140008940802208640000910a10c10448000452900000040042102b42040a18602a42000000200400600200a0010080011210000021041000024881a008600040200002000142112810c0ac12840e08048200408008600100300242100b08802a0051260005240200054000004280a01200a21024040814000094840811005000001010084240220021a000940500010010000248440412100900410008218040100c4021854000</t>
  </si>
  <si>
    <t>A35637_0582_0b00c0200000001024241840840840080000000880840240a90024005264030800aa02400d40048018b0010a800402408000150208b0020281210a80800000021a040440000018202a00118812042000840000100208218000908140708608540052000000100200008c40248112a00100008800800200000a00200010018200210502d4205210ab08202800152808012542600010000900540000108200a4245001080200040011014844ac10002810008000c0a80885000200800080094041045030010a40201041205880020001060081040000001040020260050860a00040000020870000010021a140802350108408410200840002010218410008052812240010002010148402900400200000000c00002112f00800100408c0884895010200820810060001801020a240008f10802800042408108000310410c0080060020060040841840280094220855070821a00801020004204a108800410100008200202600800018010142102512200408052000340210018e00408040400e48108300010002800102040100410810108400002300258040310258840000c00a5004a00</t>
  </si>
  <si>
    <t>A35637_0583_0918040450040018008300002200c02000018000008500810802842000000500f52002412c00010400000002a08010a0094030091060801a04044004220030040000084204a202400c0045840241030800011030804a802400500018000200000400000040000000110108008050400b1840050020064a000200010108010900a1084000000a512600010a02440400802100000100a4a41204035a100c08202600000008800102100a42402040048010002e00e08c18040008a0a000900902600002100a0004810830a00a04210a000010400418848000200200048310410002d4050005840021891064000020aa0001010081244840090031041a200310402002800800108200612810050c0024800050011040041030280210a000840210d0280010260860020804a800900842200800c40412800108000510008c08a4254284005030010811020800224010024000040200000210090000200001881001014814005060010805080220011240080024005080214220a30000800004800020000004a10804020050040081205810801a012500102000200100c0020015020201820011</t>
  </si>
  <si>
    <t>A35637_0584_0000240400400000410010000408042c00008112000440802c50300000002100258402c12b00900442010a0001a002040210148000200000900200050100c10000c10000502200440008c0281200224010270000844240084060005804081000a45800280001000210030024080080881a402a0080225000000080240a000408e40502902048202008200008100a48a08010200400010010408010102810a00018c10040200502400710a50002300a00000800200a00800200800108208d40042802448300750110800a00110400802008218850010802100a00410810740000100048000508000942052500808000650100040200140900002040200000e00412302800200108c4804a000900008248400010242810408208110400b00410142008240142000108a0000240230064800804004240000004005241830000094044014024801044801000040010010a400200000040340202040c0051004010290004a012800050410012840908402510218800000000a10440008250808442600010000118348010412400a08052210808600800240002012000240008800a0200020090</t>
  </si>
  <si>
    <t>A35637_0585_8a0a24094000810001000041000a000642258042200808002c40000812110600000402000308010300300150810102140000018008612c18100402040250c0881800090004201000001040a41800240aa18100100108850002640002042e10200018900000918000018000602402802000010000342208002c08012010d08b10002000c08800110c0824840085090001210a300102400002b0004825a000c0a002400240a0a212900f10050040000810140500300040040042010402400218040000c0a14010001014020085000010000801020000080060214a050000240040100c4201801000030801814040a200000908502402100200248208100a40240000c48940100608902400100042842400410400012010000800008b1000840800004000011220050004880084881240031010ac00010600010100c08240008010102010042c00208c58100e0a002350608040012500800318508400250218810840102040818800802900102212040408200218802408a4010a018500000100f08018608500010040800400008002000912400000c42000100700800040010002b0204001</t>
  </si>
  <si>
    <t>A35637_0586_0840012042b00100200c0080080004210011051020010080040030034000a21004000004024200030030880080805040000801091004000a540842102010400800408c40100012510c0000201a100c00010442c00140c00000e0820204220074044001200801035000060084055210a14200a008300c1a40000001020881020064a81010211800000001840800020020010820050220084030001831040040081084244010000800085240005050804200001004a240000d00102218c1000825080204000000841081840080044820240a000240810102300110242500440040502940258400000a1204094220a80814840014a200852508018000e1041240000000020a158a0000801804280020040020041201204204210020000044000811014080000271020004041044010040080810801a100948a40048200008842100140042440200400010002c0095040000010824001010a04044200810280815200a100040100010c02c42000900042900d0a010840200a08242018648000510202910010f00502042800208110048008a40a1255010a240002400a5040a80080a100512f0</t>
  </si>
  <si>
    <t>A35637_0587_8000608050a00200010010018812012140902200818118c08002a48142400000200648040a00a0a40071085001a140000058400200142208810508002142010202048c00348012002210148240000040900100000250810400c0021800040044000a80004285810210804064881200004001081860240000000a80025041000aa02000200100200000c00240400100902510018010040800208100048000e00042100d0080000840004001800030a808450400412048440000300618c08000400400102812010100000010112002100200000300002840440902000100812210400802040408000c00040010600002008408900440002a0084060001840240204200a818600000500c08000200000010608102040010908308200600010440050300248040410910000842002842242010012000400302008300008c5280051004020250081010221890090820830000000025000050001261a01064000a002a00a02448b00c02640010000808008000210800410f0210a050410000000102a00202600000c40000d0240a91020281011001800200000800ae00008010940800342410c0</t>
  </si>
  <si>
    <t>A35637_0588_040220844230000a00820881005a00080a200700100000210440d00140000808000012810402050108c00242008152002a00040418000a50402100208040808058008402442110540008850802410800202000018f02800500f02800100000940602010602050410d00b02040c00002008152200008800c00700110040200818000000240040702810b0080005040814a30040021044804080880200a000600200050000008550008c4880090090000200a80000860801224805a400010010040110a0800001040044881040280085014081890a000042000a1a50840001024810024091a24021860280051084210a210108102040000400310008010c40010400b48300000608a02040512840300300008500a1001030001840801804085090200004000800824a440410140000112510808a0840230200000200021a440400708840000c18000012800200200002200108008800008850518210540400010d0000034040860020005040200835a908140618000c0835030011800804240280235001001004a800800048200410c0000801001000020a002200b0a010000000808000c1</t>
  </si>
  <si>
    <t>A35637_0589_0900042000100210048408010c1000080220054220000a040802442212100c00500440102400800510410000c1800050001a400208140040c4200800a108800842002d10e0280220a110208402d40408000212d18240058102000810100a00d02000d1014080050211004000200040a150050208100200040040012400110000802452308b40040108010442840000152010000000210040408802048200118058800702210408a00a08040850e00000250908012410140900210018410618602102800100002008108010000808240602008800e0001210800831a10004225050224091005080054880885010030804021024a400c42100010508200200402c00142102040900b0820840204081a700010148400000042802110508040000000202308100408010810400a0280010201080204005214025020010820844a85020a00841030004844000054030001000821205005200081a402500c0024200000001004850010081040020201020031030820081214a10044041020a81004044804054a008740210442000810410008112848840400252100400f4200290044005211880</t>
  </si>
  <si>
    <t>A35637_0590_860a200000000142000510808010840802008700000442450010400b00008010b40242402240012602800048800900202142410000008010552500a50048300110248802408140108810000600c0200014a040018008212000100100150100058a0000060a008018800340410910042040200000002212100140a0020230020080a000c08202618b00c0a200110400102008100048048100602042100200040008840040940412400848840140200310208900200218800440118018000010000d0200024200801841224ac52400102000400102208010040100310008002c00910c4001010240060a012042942200702200108010800a00200400400410602800108a0a500200702840050840840600808a08200100300948402608050050440602000008018b0004840010285010841010a818400800302440418010002902900100140108300000400a0a05040050844240241040a010048000e40000910408302000c10200c0a002000000158e1011080000244004001800025a212040008002050e00110e0a00000800804040040084801020211024880080844840060a10040220</t>
  </si>
  <si>
    <t>A35637_0591_0512808000602002208010118408002900802500008b4021201000230200280014021000020a202010210658040840508050200500402c02842e00000200000010200002e08802658a0054a200100002052100e00218a00410802250212000c0280ac10908218002000810648042608212102210400c08102702012012000008402040f00208718c0090a00a01260001040280001200010080005810081080a458000008200408200200a10002400808052118100640800200240308100302c0800010800a250400050c4000000220000840884004050000084024240025a610012040158100400000648902008a0030041010200080034001010030000284000064001054ad0001041040050220a308b10c02000410c02002418010400200042940a58202110042010010040200242108100000140200942540210c0020080020800804831020040010090804834041080281800020001241881040a400100442302112000102818c0224010001060050081000000200825050041000a910100a42242a0880000080244a11000021044004000040200000a00890821080200000800800</t>
  </si>
  <si>
    <t>A35637_0592_0008218010042042510c1080020084014a800000110450008040700808502818a0085000000084811010020a648040848918208808250000110e00800110c00102010400048000402100002202000200100248500c08002842900002700118102200810048040408010c10000002800242210a00c5a400000008840540010450000000a00358012218042040902900148200808140610000000100408000600c00842a00150100000402c0040250020815020094a002802640100110018c12a00000000b08000008800058002900202008500c0200000000204801220004a042400240b08340000610c1000260011214090834000a000048b00410010800002010a0a80000200094205a840000908108610002450400642218010408308c02010a00012050b0005820a84200a240440900100810800000202010118a4000800010a050002400a42240000408a48400910800202c00108202248000840c00042002008140000110808500908000240310202808000200000040f0020040200204aa10008800410810440842a00508008018202010500a10218008440000c5200021a21001</t>
  </si>
  <si>
    <t>A35637_0593_0902012510c00008058400400040042408810100a00500400002808850610008d0a202500840048110a10800040512002008300000008c40c00142102200100048002002a0010024010015041a04210204040210030a800800300208648a0020000011054281205850821084010080a008300408810200100a40000308008412058110d00240402800148048010002002010900000210c02440100012b1860a002550808840442210e4040a902902108208200810042800002a0014850880a21004200001005a400608000400242018400000000840010100008210008418000c10040010100008c0080284010280201800004a048440d02302000700c02002840400842400008010000d1050880001a118140240140d4800200040001840810084004800031031800081240225000a60014a00200020a802040010000808002840812008c10300052800100010500000358200412008208240108000c08400802010000418210408812000800508200600452952a0001020a90001044200004010270a100d0a802410240000502c08310000812048b4825a01800200004230a008200a0</t>
  </si>
  <si>
    <t>A35637_0594_000841880000005001000040a240000800040512000008448c0234001200040065080251004005014040824080200090024020040004201800050001061800840021201000000a040500c00600100108200400018310c1001220004004231081804000014020a410508010808000800818008018308440410140342140910000610100a00300400210100842c02000102000200848802400a02000042408402c0011050000000000880004810004200020000044200204040a040550100800c12800000140200008008000400208150050800710642c40248012202400b58c0800020004044840821001800050280204a800808810140d0221270000005045804080000000090821024a14040020a04801031020040090020a000018402602400800840300000302440002140840200900402000410040900448200108642052808118000000300e0800000001840000821081010020211064281881a640010040000000000000000800800852602000042440150040202150400542a00052002310002418f10010c40200002210c00040400400c08310010200308c4880004204000200</t>
  </si>
  <si>
    <t>A35637_0595_0452002000808840600200050e08050400002102200240c40500000800440010802408440c08250042400808200040000248000600212c1094014a80801000011a040012440000440900810008000208110040408c0240200000014a20081840200040040020001201080000084060020a400508148002800208302010208008c10140800000542108a5864091020001021840801240000030281004ac00002000400642200410710d0a44000204001014ac00140210000242100000200008800410848042412000800410010048050000208412400800c0000271a400608a02040002042212808040840912000148610a08000000100a0010024000085000011004001a410200008802040402010448010010a0204000024a51201080260000090a80a318208202a18810200008100500608010842040212600800140010c40600248018408402452802800242200900d08000000440210400410440810912000842208008a0204841034a04874230800080050084001a40020804040880020220004800810a402810500102000900000008142d40b18112210010840112e02a0020830</t>
  </si>
  <si>
    <t>A35637_0596_8c18042802e08000058510002418800800048210a00602040100c40200210200800608010200008000200040400510a40108150800302802042400802642508a0084800000a00000850841084040030034000a600842000800140a00100010010410c02142848048410300808912142110000300400240002a4235040001040000210010a250210200a4004015000a800010400002202010c08002108418c00600412900b02500810b1ac08010400008212d00108400812242000600100e0004a10000004000890824804880030834254800000201840050010040000844aa18802242008000800442210440808040502010300818100000300218800208040c0000094000aa10640a00012900208000400150000500448000110108640c18412400810100008a08842c10148800440000658c12040000258000a0021001a410140008112810008448400000a4060a40800a01000240000030860000280041084200074a408810008050c0011201020080000844010280001841014284891090a010418008010600002d48a02002200040e42450900800140418118002c5200815201010</t>
  </si>
  <si>
    <t>A35637_0597_0040002010408008140a08148000012100310040910d12e1000280a110018008010e08002a4010055030841004080204805020040010280a000c08012042700a00200100102802202808100848000240200000a08502040800008940602100800810400c02000002c1014840214200284000000091201040260201060010080a202010000040018900100200c0064a042408800100000c10542a0071880010281200220a250110100212a00840208248110400000008110100000000200408408150408210602c08c48400010d0814801090004a008402042048002000a4800051200280004a40805a812842000108408b0801041200214a20810a100000400502500210100408040c00510a4080201010821201001020215040841814281a040902800040400018008800400010500400840002902040808212000408012810000340502008000402052802100400100410242000302208000008010048000300300000200050048810008100452100a02c40c40002218442808408410c02902102058800900a4080220005001a410140e0a000302000340a0064020890040891040811</t>
  </si>
  <si>
    <t>A35637_0598_0848c4a000c02042008200142000800408208542200e0020001000084201030800020091010005800221080080084280280014041801040245040800a108810d0aa1000220090a10001824201081010000a14000081021280020a208000010000212940848018108910012012042d02840402118c42640802400000102900110240000440002010800200040500040108210000000200442100210648700200840510900000402810010042012148158042000a00000040240802010e10000402400c0200045000810000a100000040618008a40008440040a02042108840042800840000608c10008002800600a00100300000e0011010080000231010200001044a042002410100808510208300408008102040c0000011020810024001200250000810060081a008042100248212a0800861050000000024030064a000800c00010140018242802000b0aa48008200c0004a110940a4001240004a040940602012040108158002012200000000010110c00502b4000a410110410e02812100800608310040c0045290280000011095200040004080844000030804050204001a10860</t>
  </si>
  <si>
    <t>A35637_0599_0040810050940100000e0824a850110808148100010b0261000004821810021081004805204881221080820084000020a808200018002002012400842100000c50200042448800600000148842500802010240118300c0080090a10050220821261040020280210a000102200040140102208a00710800400000a10410100000242c4000814001080090080a00000000004810000841285010214240041010280881204884a700a0884200010080020011091081880001000004a602400108208800040208000400300000540800b0010890010000084060811004810000841080070820015080871041000000221810840025a24854004000204a000612402010e4290815880080060280250200000a610200a0a000940250702900108010000108140000218a08410002000058600000a40008010900210000610c0800a440d0824800021800021041010021010820091001880010080054200005820054000221860880020804804224004a418808000012c10008012148000c00008500040010100100040440100408a52040a10100010410808002440b1010a81204290a01020040</t>
  </si>
  <si>
    <t>A35637_0600_0000448400000a00240010008040c0020085004200020200884030000050250020221050090094004001044005081024021870800044024014240a210302500010e02140808818018210010440040000000500100842c00140400000600010152802010c48940200010a02008400c0080a20040084080294000004225a000140410000900118600c0080841a852200842500100c1040004030030250040020004800060281214080804200004000004015a00015020000000000a208a0000241000204a312302108902858140400808052118000050100600102408208312000400200000042600208040400100002212110152c4000020a018540218a48a08c10400a00052510410a00040002100650a00100452440000b0a000100c0800811020020a408100810002110208052012208c0804a41090210030060000084001250001040800041a240102000042048800040c00000808802240d00108808840900140402300840010040008200202310140200840100012000000010440c00002000640600402c00900d02112148200100000c1080821004010060041050084a202200c1</t>
  </si>
  <si>
    <t>A35637_0601_080040801000825010ab1800a440902640840140910008e1250010020005221000084a140702100200410c0820080200811a208110100048c02000000200800148c02800002208008010318850d00200000040000010c48050842808008808050210412a0231001000800000800044020020840041800004000814020040070aa0204004801200291041884240000090040210884085a102f0000070210800020a05080a200002100510008410000a50100a00300400842600108402400810808142f00900200200010400800940000508200918000512400008140010110202100202818208610e50010100800010000c18e0261080084001210081040041041200020801880040a20015034005001011000044a04030010004020881a410852800810202a00000a40000400142040a00c12050802602042202010150050002d0080840000824080001084200044881040020010080290800201084841240040000241001850060000050a010102408402640c00a40002100118a02608402102800440810008400000148040410608b0200a15000080004040081221840010001054840</t>
  </si>
  <si>
    <t>A35637_0602_010ac1010050224000a41060001a040240100048900810840040600048400410002008040100000002008a4040290080800040040024841080244280840021805085011090020800010095804814220894000020040000a812240212008010200018940002008300500010c10440242010110d0090080014080a20800081801000804260090844040060000200000004064a80000200a40004a000018118842018110040210602000d42400840802002448c08902400410008108208800710442402b00908142018050000502300a5804011070a84a44280a00024001020080081040801200810000a40800044231a05a20054a20200070200021010040a01800080004020211041201200044001010a400250040150500110600a0084001805040a008400500d00a12002c00b00518a08750608100440908100000010802040042800218118040000900700100048008340042010002208050100008040542900048140008142000000200110440e0040805895084221a40a010950208800100350000f00240602c02902340200900d0005214044081264280090281011020090024090</t>
  </si>
  <si>
    <t>A35637_0603_041040054020a942300008800040840a4094001221060840000010aa0040080000020241024200a44841021804800050801011a800700c52002e00812510500118802102c00002208000a0040200080034210080004a412850400a02508d00642408050608200500200102400100300900600900c00c1201044000020221800000a040800800012008800440400500308240b10000800012200310410600b0860000094ab00640000008050010400808610108348800500400250000108c02210040800048210010018002402408112210608240240000008002348a1854004040080804a21020000020005024000841240004040a400040148040208810000100600140208400048040002340200402010202200000200308450a10000000810002812100c00500240410800100212008800800400248b12200100040052042c08002000200000000042600008200500140240100c08008212000e10400400408810000000908e40d02000802000010b12410000500300602000010010400108810000100102210842240900100c0870041004230000241810041200a41040210004200</t>
  </si>
  <si>
    <t>A35637_0604_0050200c00640142302800c10418d0000081030201804800000060020004820001004080080810000801094220200080a010012208200e4a10020200001001851281200000225004020000805800000214a418000008218042e0801800000801080890010020240030031a000d40448300000110d4081001014ab02210018c02408000400a40002008c48a18010802212002410408040100840a48440100a40200042500008012018410240040308040400110018800000900000008000252200010400040012310000000d0004a14840001060260800040090a44810000081281280001011010860060204010a110150a08402040802100342402310440448000840240410008058002010f00000040800500802102000808302208b40048c0200094244a000040402410500a1024050020000004214080804810000841000020000070260020000a102240808308e08e50252000208212200008b02c02110d0201204081000820004214021020880004001a00294204014240080040281064080810030000801801020001240010021804811000280a00a11014005814090010000040</t>
  </si>
  <si>
    <t>A35637_0605_8a0205084054830005a000010a50c00e00110000a08110802000202008000800200010040402208548100c00800410000952008d18800612112042202300100042000042800218452110810800c02008300510a00400010102108812000600000008502000a0820061084000a010500a40400000a00842050008302502400818000100642018018008002450d0010000861080081801000080220020090001020084000801a10a200248240c10800000510008a00040050108058108010400202400040302318100008242050000950000200618400040902010400100800400c00102208402118110610800048040000d10902c0004210a04010040004021041040020200880090800a80040000060a81080021001044204011011000200ac50540900000308208000040f40808112000002000802400202000000008442010208808000c1014064811000210220841050001084210800834820010080a800248308002a00100600040948010310000400200050100000100000208040800402040400110002810040808808140508410010800400312008c0000020014220821010040</t>
  </si>
  <si>
    <t>A35637_0606_0048852c00348100000100410602000400000150300318a0000280821a000010210048112200840102108302040800000348040b00602600002900942440200040a00810100000218c0004a048840008002400808100412d10000108200010048008000040812402200808e1a10070020060081081824011200080801a01800a048000a00140100000008a0281000010204200814004a00040214050000004800045020800a41801040200040204891a040000242000800640118150500e00040010000200300000852a1000004a10000a908408440110942000510800e00602000700242008000808400112440000100900218808400e00002200c0091000250204230000a610400450840208210140110b0200080220080805291040881090040801841021840a41005010200070800040284291044214a110800202212400408200100010208002912408950110800602410002642010012600018400400040908210908100842540408908000500610000000b0284021040040200001000a10840230001801a412002240008e1001205084030200040000821200814000020a00040</t>
  </si>
  <si>
    <t>A35637_0607_0648818840040100500800112000450600a4205040025020a400000812308500802a4200000a040218310042210410000040040010a0080000050a00041080005804884080834060000020a40840010000840040800000281004221241a400c0844000004024a45a41041825041000010810040011000084204a100702110102202800148a12002018450248d00040142008100848840010702042110200400442c0200010200010815000a40280085065090840000084080020064040084201880010204040020085841044200820851030060805810220881050000020285a940200202040000002018100c40000000800000202c10242b08208208208218012900a02000400202002102c0801220a800010000d00308800400a0054a04200280204834000035084a800002000000110900000c1000a050400218900a00050508010040110a1040000024800051000034040005000000a000400318208050208112100418402008800600310348400a00450500900040300e18c4001801260000a012a00110000000000142008110a0040204050210040000071044010220000040801</t>
  </si>
  <si>
    <t>A35637_0608_0912c00500000000540400102a08840400000042010012c40902000808010008300258100402a1821080004080044020210021a800502012500a02a0804010801a600500100b02000118200850000242840002408040210400c4080800a80000005010070290810200025840041094001000a110042000810b00010000400040c08c42500302550110410210100a08a1a042400608208800200800040200842048010002008018408900800900c0004004081080860ac50808200100208500800000800810752808000002002148002000208802008000142100002008048800510800800000008008848440000010600000802048400200910100010810008d42048300240600040018002440212010100140240510000018000000340000000b4010814a700400600502c0200261010030a040810448808600200102000000a0820010a80025820a100102102312310a08240c00200008400208410802900400000202800042c00440102240018c00500200802b0090851020001801005080001a008000802250012408018008010110402100c0024204200081240080000004011020</t>
  </si>
  <si>
    <t>A35637_0609_824800001014001200230880285080040000000000890005245280800a502a10410802412102108042000c4244a012a00a08100818812802452700a40148800110850102f0020051a000210010100440000010000108200402042012100808e4020041040004011840000844050000aa00408008000c00042b08858400800150250800008202612110c40002002500110002700400800010200848408710a0040095280a01000050080021800044215800820000000880014800260081001000200200000210090021000a00200204221a008402a10100000008010400452000000440a4061ac18a4020804220280a10850001040250070010200a90800005210040a81a10001081884011020884001010810284081060200824a00000225000204204014020010204850054a20a108a00608600400800008200408400202002048300050408d00800c1040000200281040840010004011021811824225a040242200410018000000d00e40800008818452240040e08102600c10200c4a000140018202308140400002908110048810202802c12000010040000c0aa00440242118302c0</t>
  </si>
  <si>
    <t>A35637_0610_0002442c00400102648000800040c0000a01a408800250000400000140302008208048940000042002200e02000002600010040a0010845090280014044820020020241010280030211080084200000290240a200100058d10000848402410040210010300012050800200a1854230021045801815001240010000060820061a002102642042200400010808000a4024201050800064800000a010100010008800002300050048508440a00800040048100208110458110208800240000008448000008000210310848802040300100242408142002c40202008102200008010800042300502010108208052042200418c0815880000000204010200030281280080080004000021000085214210001030820240010000aa00310000042802c02000a0001a000212408010402040110400d50048010208100042410c1800010040025800a000812c00002040200500800a00c0054044010201201800281244004081800060024805814060010820090090001254000201020a500000000140000902100b18002040000808208240408000c00c1210090a01021044260001200284824001</t>
  </si>
  <si>
    <t>A35637_0611_8400802400800118640000e42010010400218648b0094a21041004a90005040001a010000440140002418052002040640210000008240a0a10084810060081014000081094285000000844820000004004200a808000000852000802012710018640000f0014040080004001014000004025001830000891030084800a51801000a510800908008900140450c0210081a148a10000c10000500000008000008008102242a08050a0080a00090260020240010055200001060a90210000021004200080a140102500002a58000440000210800908410000240248002900008040102940018442700010802100048100008110000052800a0004064a00801800a400240800100410a10440402a02112050000608648500c00012010800a4880a44220014000a808000018000a08308212908002448000008002400800340c1a000000042400518002000500640100010218110210040440110210010000400842102812400018312040002302200000c10008000800440902042a0010004054050000220221831880010034000a308100100a12102200250708108640e0050054000004031</t>
  </si>
  <si>
    <t>A35637_0612_0258012c1040a040200800400800152000850002b00400202802108800102208818000050808812000200a00000500100a0040800005080881200200060a400b4000001220001040081001204004084a11a21a218008042100542100040000910a0041040a008100118002000040840040208e08000402400008010000610202600012c00040500900050800c10448240042200948800400340900010410118800100000040602410558000100a02240048118a42810000500202400900500250002040212300218010000810042300450000812002850448108202008000000040202048100308042000040502a0240a71090220a11220000825821041001040000014a24010064021a400100000702400008c02c40840300400200408850800100a00200200210808852000140540000000410142800300400e0001ae00440300208440700c40240002c00318010408642400840100900100118002448110840200400e00248012100c42212002208800442012108002400118412408402000842050418700808810240008400000408002102c0030000270020280000030804015290</t>
  </si>
  <si>
    <t>A35637_0613_0f10258440802a0011220060a002040140000400400600002010c4005215800000200814010084220090041804080000201231880804040004000201a44091091a01080080890065000060020854220a118440208300002402200840042410810040140c08100242400100410400000200550800400a0044210014a20ae1004081841220200820040801081255024200a040818102400500248152148a00a0a010000100900202100008000110302040748100c00242410c4010811200000a04014084a840450818300442810000018400018110c0040040080810231015080004240000a14071000a000000b08008310c00410810002400012000908008000940008250202410e12e1204040200820800040221a800140050410410f02a10102048000040218108802800d00300040008440a48150842000100708100200012a42202002200200040402008010442000048000402600008000000200048500242842440818608600c00000a00510100800040d00048052210108040810c00240108100c0820060004204a810200a00d0a60a00230000814000844224000000804031231</t>
  </si>
  <si>
    <t>A35637_0614_0408400000108150402708a4000800004835000a000408800040602300008408010018040400050408600f0065090094234211001034a81005290000a04030021000800000800200000821040280030085814801881200050094005200280040021a00080000000890010240000010820015281020041004080010811040074800015280800260070040801a80030030850041810881280020804201090000000050060a808210c10000812c02602810010400308208800842202540908850e0814060810800010000001200054a200012108848052140c0080005a300858202410400140002008000a1241224a04000000894840814280a20800041005080884000030000800801004a042048048042e00a10400800300b18002018140852012040b00140400208002040a40002000000c0020091000001021000884800040080a01050281810a41001090080a240010010210000300002510108502a5041220004011030050824a15290094000a000002c10112008850008210900212012400208108100c0880884050235020260000ac40002000900300400a0084001000004260200</t>
  </si>
  <si>
    <t>A35637_0615_8200000050900a02310108042240100c4820200080880800085090080221861000020000210080014a00030284044020090060031801060ac00000b00000100000c1281090000040a400002a08010642110000c00200c10800e4a20a010008108010850840308418000652200050200118402400002408000040010110100010218452000012000800142010110c02800242808412042000840148052008502002402a4084001001040820810000094060a000248000100d0081000a300050240800440148510b00908240002a0080224800840200880200000a010500040812000408300618008c00202800440808102d1001821a01200004051000080220284034025060021891004000010810070a008440810010000000300e08000c0000010210a45010884000a04010210060800801a45040004a000400c00902e00000a00a00240008408602400140000510000250a10810408040010400d1200001010205800a010240000400c08002500b00e40408840500812110810d58000812040348042100a08010040800050040008208c0041220884020800004000205040200040810</t>
  </si>
  <si>
    <t>A35637_0616_0800c1800030004200810090aa0844024021810881001244010064010a018008000252d00a4020001090040041840080a90805001044841011210200231a50060840004004000a212c00500052112608100258008508800100108118042010b5040000080030024040010001090200000040001821020241060884050a400612010000c0010211ae08242002000a00000240900c10200800002108208810040010c10040108140410a00440100c4a01200a800200010840800040008310142410000f08002248010d18048100100000040008010a0290204201840060024000a000800808700c0081a002000048050018000402e0084000000840000010ae40450100018200d08e08000040400200002000c5080a10004a100150c10408000402000b50002610900448000602a10310418000000d1010080a458008040208440040840040a0861020001000080060041011000000020890810810880060a010440918010200002808442902100010210008e1a000840200010a0091020240080000254001001281a410608240040a08002002842d0830010000000001201080820a10040</t>
  </si>
  <si>
    <t>A35637_0617_0c48850102600002410200112200042108102210000a5000254090001820000054001210000881004800010805044030001800220071800050024081030a01810240a002840008400700008040110840108040800e10600010500210118500240008140900240002b18002400800400000202000c0801081214880001a00844860a01014204a102a10800a0204034020a218018452400010800100040908200248040002202000c00010240940108040058200402240152002a00048308410a00902002010102d08a52008000848850218400242208000008310602810a00200042d48010002300550000002a4820a202210c0281004204000a002508808848800100010208018050000040302108302308010802812040048000800912400100200800200c00000810002000810010308508240000802108010008202010400608a02140108800040010408150018100200218802008048440200c00e00110400908240800b58400000508100252b0801880095004030821050801001214000810840021890040a010202010552000210250000a0a20000000004001044284000a30800</t>
  </si>
  <si>
    <t>A35637_0618_841005804040030800891024220000004021a000410008008c00000112402810a42802002e0220010800841200081000000024800000040a10004000a140510608048410100042018600010818402d0200814090001044200010a100400000700440c42108a00100000110848000c40812208900852018500002040608100442a0081050090200240824025880090a800008500802250810148002010500010a50900e08a0240000041081000240200210001051000010020001804050820084050000800064810820040005040020a058610010008040908100202200302600100000010300100d0001a140040048748000a4080884090000010200080a208400400000608000100208002002840118400112010800c0010025010001061200200a810010300518240042000152450210a1084011060280000a000800008040208150012100c02000900802342248800248800500002002000600d08200002e00010008500f10a00150042b0a00021020000214044021010041820a01004000025005050880844010000800a01021805020044244000020080040040884024210805041</t>
  </si>
  <si>
    <t>A35637_0619_0148810d00600310040818110400c0210080a440010012000d00000250000010040a42000000018000800552800002448208318400940010110108900050200602410042548000300108f42448000b0a008752208900240000600000008010e10018002000812202300c00400400a0800841030080084a800202940000200042000c10108002040100010a1004040000020001025040a10050010a048208a50210100400202202400340a0a84090014201aa1004044001000010210821030a202942100a52040b00100000002100008700100108c10042b0004024040840084080000081a000400c12400002200000242800a1040000000804200211051aa00100300140500208300400802a0200001840800801a41000820804a018010400000240010112000802612102100042008010a08400002e08008008300040a00c00c00102400018908842400048040000100700602042a4200804000034200240220210050020820a042000600350048200212440000a08202458008000208540900800050c08440050012802000002400c02400010d00202010800802048140100a1040840</t>
  </si>
  <si>
    <t>A35637_0620_0748202042040040002018040000000a00a00102000200600010500800000508210040000040018440410a00040102502850600000110400450640110400200100440c00a0801a400a00410218040040a0000800805004a800048000042400e40410100a0230030080085225205200014000a600b40400000108000648800810000400c0810840810041880800280a012010b18100c02400908000042108540000800002908200908310400400600b10058110c00400100100112300000542410842642008408408542248410008212300008302218d00040a4024841041005210000a202210210242802000208208118a0040204050010004031200000821800094001a110800248c0a00004a10801050030044804000a01810800084a840c4010a840400100400408400a00110042410410a10c0020211044080044220080204010040010011080a000508248042e00200048010840100300d08908a0000070800020a400c0080281080804210a800418050000a0000005030810000810030001060001831204051000a200740c10108448000002210008a10400010900200a4001000</t>
  </si>
  <si>
    <t>A35637_0621_061004280210001a100300008808452002018000910200400000408040308a10a0024284200820230a80004880080004801800280000044011084800201220861084050014000a100108400800900100a0200870805201004080014800061800005884010030a000000802000400302050002c10050c12002802b02058000348840500848210008000210600000000002240018010202412c00840002710140a00110e0aa0a400c00802010000440040048200052008442100158300100200008512002948400408010408c42700000700c1084004a05000810044001081aa50000b0880810040010021005050000060000001800804044004031280011201800084a000008500418200c42502902400200a08610900c0021040240810a600400040000058200142240102200042010110108800840102340450110b0000841040001010ac00050000042000a4a440c1011081800004005a00a808000008840100112040408442240040048008140108410000d0040201030aa00000008c02142940008500042440000040202442110010a4210000000240a008b0aa0214060a01004040</t>
  </si>
  <si>
    <t>A35637_0622_000040201224a818008010040018810a00218108110040848800008340010000300a00002840100240008018218802000202250308400800800600200200000c12008040742000248410202440000d00040008518c42010802c00018508208c0820051200004210200025000250000010001081041040a040800150000200042c10810000050100000302840050042100002410500050800040012248e10202418152000812640700a00212800a02018210400c10008040008218002000818258002000140700000500800012302040152410010400000140242402900d00808450040810012800c40200540a0000804050804ac40040b0a80044000805000000030a91000a200c00810100b0004a008600018208150800002100000400a0a010400218440d10102402000408a0211261004240a800000040600800140040800948a0234080040a000102000a0a102810200448100142900100010a40000440800248250210002048800100a40300a10000000010202b58000110208600040600010400418008a18802102308050008000800110402058240518a4020000044800005011</t>
  </si>
  <si>
    <t>A35637_0623_8010000400848300400000400a0a11080201211a000000a10402100100140000900a50100300800210d10500242040040302440210842008042c08900200a0080a618410240100512800810010002400048310410018618c0060020841010095020a55000000041800850060a400e0800005a810802610142902a00102008040040010000052340c10042400c00000840000110c4200001090011224200081060841000a008408200542010440108908340418008052c0004800000a110708410800540842010a10048848510b0230a100600040802010000248608018000200d40008a48002108010008102100112202818400c0a842442250402800000042900900800150000100002410200002140500a00840402200908008510840000140508210108200102e00040400110158800500808002200010210008000000002300b1060050055801000004a152502800a0280015014280204a10841a05080010031221000890a000040000a00202008048a50010c08000448210008052142640058102000600400040802a02000300502000c40c0a04810071000000201240004004040</t>
  </si>
  <si>
    <t>A35637_0624_000a800940840800402600058000400200100140a00002200100a00310440400300a00000340808040a18c0001810000a04041020800a20a040800848100800000840102c4004a508200600250000402010400810110048142940008050208000c58840500808400b0081000280040020a110000408648102000058148000402400810002802010800040212010048008608110200000010140210000200210600000942000400800600448010100a40208118058c00000700040100010a00050040440000040700010000840a0221200040050841000020a050702408800040810002300400610600850900808a00140008400010010200010100400148240440402042110900300c1810000001800090024044801240ab10618110000002800200008250400c0001000000880020010041a00001220080044200030000010004024220a010000448100b02008000008000800400600a08002a00018008d0014831050041021080054070001a000e0020805004020210844a110400602400e00008102600210040850942002002418000a0a810000000310800100010c00100040208b0</t>
  </si>
  <si>
    <t>A35637_0625_050200a442008000400008000202002800808640110218008042500208000300350c5000000080040210021a640040000100002808010840102900300110400248040110200142108910802010040200812000b00040400100502a0010a208d02c40810308850140500400a0050024090a108000042a00002000800000800100048012840040210200a08002002c0001840200001060001200a008140910800800100548240202800102802050142210218000418250010c0004200050000001a01080280210001880024001244a140212808a42040100702008648410140600502408202042010052e42000e02840010208810c0880010000020a200702800800008b50008100048c1a41050805a000a0060001080080a108140000518008c00b40100740000a00202000000300040810050c0811050000020a508c0801001004a000412a10100202110000800008000c02050810700148400010018008412000812242018400008900040a5241020000a812000a08210240008050808000100910110a0020084840000a140010e10540412c5080200200840030a20000020820020800</t>
  </si>
  <si>
    <t>A35637_0626_8812c0801010a040100300600002402048052302808040002140200250112000042410010540148412318148200440a00010000000800208000800810402418a0881814210a008000400308208840008100408010208c4000220284a04241800240004000200a318200a1001a012042048240108800a00540d00100110000640012800c00140412a00a4004090000004a00280040a210812100b48042000000c4010004a000110808018400000808a40258410d02012000100300200a0001020880000290240811001881850240080040a000650442000a00900000a0825020014280004264010040080840010081820271001201a50240814011880020a400110402008640c10450400010040000052000448842140842000502010200a0001204095240810854005a840200200248800212a0a000702100100010100a10800500800202e0055000084224081804010830280004080220a018010540408840708808100210442440402808210110200a00002100108000000508c10600400208000010110040018002440040410800350c08c02208200018700218c0a440a0234804200</t>
  </si>
  <si>
    <t>A35637_0627_001a01000244010210021081200084080a010550000050640100200900000000040208500a0200a202800800408010d4810821201005020a800000012400108100e12002a00002110108d10002000108800602200440248400140118012000500642400a0000004000084a44804200011030210011200040064200001a400700800000002008500208218c12002000210608b00e4085a012e00010108d0045060001010010a20a00880221a050842900000e08208010000500200518008112002000040b02600010200e0800014084a400110540a4280000004041001820804a85200804024080800024080000a212440c1040a000800108912042000000412010802208000c00e00210010040148200000102010910340000108018a0001280084a810000408000810110948000042e10852002000a40008008200c18000110948050200d00040002410a0820001820801044a802000240102a00a48802012600040002500000c00400648002050a1011000810220000045020094080080280a00a000510c00c0044024021025200000225050290831020011810024800010000a44040</t>
  </si>
  <si>
    <t>A35637_0628_0048c02012000900002800e08e10140908800002400800008410040a12400200202440d40002200100800240610c0040280001851020880800064005005000071a84200040200044020810004004004000a10280804060200004a24805001800024000084800040a900840a12040002000208000810012910000208600a00c18008142000802242100400448050b02040610000a0000200000004874860010020040224011a00000091240050044890040000000a21044290090005030044020200040221211a10024021014030001004041044a000850002010300000202410100a0a000400600c42000502040800242b10610202000000010240000d10000540240802400500910050d4050095010891080044004220084210821040a600000000108658200100000100340a0220040010001054204010834201081200a11080011204020000005240080a252508218400400942008042040100c52c42802248000208b0861041040000000040000074824800000a012250700050000000708008602e08202e00c50102008000400600058d4044800014801004a008002c40210110c0</t>
  </si>
  <si>
    <t>A35637_0629_025805a04044a002000010040000440900800102010000010800000a42400400908442052000a18210d00048a00902b0080014081030000014010a000540200108400810000102010000452848c00a0000050831004a042010500348502210200200c0200010000aa0804024841010000035000810a80a000400108202108640008000408840240100048410450400000000c00808040010c0005a20a000010200d00048308610000250658410040010002b10248802d00900802042010c00c5055200221800240880084084204210210200020200040024801850060020a202000142300608100900800800208240500000c5001201080a010040c10400210512000152600318a0841085004a010200000400040510508002210810800008500c0090a51040845820085030000a440100a50000050502a10202e0001064080010001a01811051885000010224a018000202808100902100048000f50208010408152540000a0220894004090014aa00c5021a002800000212400000c1880084aa00140010408a00d0020010010081845040001080000220261004000810030084200040</t>
  </si>
  <si>
    <t>A35637_0630_8c42000500e0201020ac00002040000240840042400100258140b08000410818200040540400810400a0041a042850a0221a700000010008450000900202800000440800440202500508a0860811004800020040094041081240004001000011881a50000001041060820084080010004060020050201a140108100108218a1060004004800000040080024000244080040a200500408412000900600900002802410600018018100040010800a48008040808a02002052000000018600400802902b4204000080014204001080014231080810080001004805a510800048a00002300208458400402c00400008858600200b02242000100b08008900c02408140200302210000410200400402000110100840812400042050018000350400c00200112242c10808208d0004800020281870080000000220a018208000802910c00a42402008602202110e00002152410250800000200208440410202850112c0210000090020840240000021000290070041084280001260020850045850004000a60040891884080000000034890880080000020294801011005201280200080261080</t>
  </si>
  <si>
    <t>A35637_0631_810800094040800810000811aa40c00440102210818440000440400800100800748200c00800a0800001040a000010008840048518012a10400200a5800070030040004040a000018c10040202000900010040000008208902000002050810c00e00900100000148c0881a042100042202010610a0004014004020044a40004020200200094201a00044240015010201800041800000881000830a252200048848400000810008810200800050100048102200c12408000d4004230a800002000d12400210200600242042840040058012800302600400540000108100642002000800052502b0860aa02140348010400810100400110d0000030011805004000080084814280090804851000080021a408000010002c02350008918010800052040808440800000400d0020a912008800040000510000800118500b40000440840000000800a1000a81000a00221031844000810040001010080024800001280000851250010a040000008200510800d1840001234815020261800880080000230020a500002048000402a0004021090204800264220041201011001094200214a00001</t>
  </si>
  <si>
    <t>A35637_0632_004820800074081040080014024050004015040a000e42800010a0821001071040800801200004220a000b0000a010002802400400908410800c0030000800010a40000014000011080860080a900340108012400008c42002608040402b10840c08002348302508700000008000000302040008452008012d00812018208e40240c00208210012010842c00440e0211a20a00001041284010a100002100408c1010200005070a40080084041210004000830834004800044a810710d0030000240010081a00a60084a400840108050308300818802810342140402400a00018500408002140600042400852002b00150000840010440208000400c00d0000000080005220801861805804080000210080014a60201014a808008300008650402000042002118012a00100800852000408700808100002000210210000010800808008240c08802210000000118002600400800000e00000550200718a1840084210830040801001001064004000a400052002100048810010410240000050840a00012300000802952a4005a40000801a000010240048118018b0000250020000800280</t>
  </si>
  <si>
    <t>A35637_0633_0058408002a02910052000a40402410008240002400008200440002812048010810240100e02102018000000c18042800002610400000008012c00150040100e52400110202350040800812010400440010008818e0000004044804001a500008840000148840148308508800402c40100102010840440042b00808410418800c1291000281040a00820020a002000340412000800200102602a52602010148008010800808200500200240d0204000021891004261801014a042242000c00600800540000200000202c4204210020231230000ae1011050800200800800044200290a040002608400e00100808108248300012000012102140400c0080021081004081015a00011081800040a200200010308450102340000400200440040042802000442500540400040f00058100000a4000010044021010020020004091010080870aa00c0081000024004840a30024805a100040900340800800408502000012042500008800050902000448a00808012410102002500800410008802402910202000018608440402010600c0025080801200001021050061080a80000290000030</t>
  </si>
  <si>
    <t>A35637_0634_020000055010a200012008948042850c0201a052100850612100640008150300048800400c0095040061040000844220a300642408908812440208050002110b12e40000000340440910500400000208250112008400208000640800240200140800850402242602c0010000084024a000202400a0821891000201000a108548400840408242040008508050500500a0025a200400042410a40840310c1000064ac00000a08040008040802150502048100400000c0041220815040830000040054210000825000051004040250081010040040885090000010000280000021a100102000108f0804020255084004011801834024005064020a01880001a400100440800040000210812100c0210211030005000084030800a200618642000c12608000340200800450410008140010200008600540800250248c1000001040084221800090080220091200204a54040000000004050800810010040804291000205040a20820a05805000880a01280000800250080020010000054a410400442040112000010e00c0014020000a00840001a802100310408a1084060004060000241800</t>
  </si>
  <si>
    <t>A35637_0635_0c00008040000002000408312e0081044000a408c0084a208000c0020a10201001041004084800021a50805045010280800211010000aa0000010084814a418000800800900202610000208440000b08102310800d40040100900150000400712408c0000000854051005800800000801040820000020804010a040052218312200140a02002110408202200c42040040042008a0000a41020294230050060a210010c42900202000440000042500000100000010410c00900300552b1000000a452200018202d00a0840015004094041060004081004010004040221880000a04244080a400000200000d0290010a018c08200a1010010001040800071081200284005200a800002a10540500800300618410442c00402900102a00900402800002200608100100040c00100200448000a4001001014204005010891020080024010061000820845040000891000a80811005a002408100000010610e0004054024060200000081294210210a418400018048002400012218908010000440e0211001281800840044000a14001001030021011020280040801051000200020080a00221</t>
  </si>
  <si>
    <t>A35637_0636_0740e58000000042400600b00040100800a0800030055281284010820000080010a61800030880010080040861880004000850000000a008800340802000a00850210100040240340000900a18000240810100418a10000c02402810410008102810802442010000e18500e1040024000850800044024004030084840030081080090000805a012410810c10500800110708400248c00050000240040c00210408442c0001020000001a208c10a0001040020040800815060000874800090200084064090200800081a402000008800700f08002202800200842112210100000000948b0200810001244010024881a200200140000900208208040118408452102602000342200040240402008900042800012248000440a48500c00140042510000218700100540010840c00010440c0800040285014081200000820220245200021240021000a042100048242512b00018640010048a0001031000001200230010821020804000041000a00041000800041a500908100402310040008000548800108000302210400c08012010608100840150c02000100600a5020080040001000090</t>
  </si>
  <si>
    <t>A35637_0637_010060000000004815251000860a00210805021040894a05801280a202012310100010102648042440018910850102200040600d00440000110302800418118008808102300800102400058010040142010540c10000c00802008100000000750240800400102018000b02040040000002308100702602950300042050000010008410802800018800108818900c0a200108710450800c02408348402a00000200002008148050100d1820041004081000a00044844201280210000881800064a440500200042200012048500900a00100210640040000442002208c0024801850280000200051804080800090080801a21004024045200820270070880880a100242010242008802050c00240a00410008a0a010550000108000100b00e00050848050408200640000050800018100000200008c10200a0a10801001a000002042a00400410010412400100200400408000258110800300700c08142208140200310042010000002042400a00010808000808902642840008008400602000000000350300940800040108840140c0804020210200084201021040000240000210000ab0</t>
  </si>
  <si>
    <t>A35637_0638_034ac00800100100542400210800140100808242008000000800000300640600000008000400000158000602600450240800208b08402258c50902150000e0010a600100d42008048000808040c0080000004810000084800090204a010910850000052102810412600e1a44810020804020050030080000040a040140010508240140008208218410008200010b0220074090004221080080224844041860081810000000800001820200a94054020200a91084040215000004840a50040a802812100000010800802408410202008302108848008442a08312400200018c0090020001000a800a00242c00502050000000010600500040840200808540802000800118450000400002c50c0800a240c10c1040000080030011080880a640100100900200400a00402052048850008018042400000440000008208a48202110900040600010510002840800050202200400418042b00008408110250418800200000012e10000c48442840800548a10040000500b00200248500b0204850244810200040014220001004830224001040005090084800041260020200801060224010000</t>
  </si>
  <si>
    <t>A35637_0639_8008042000a0010000020010001a50054084214041820884280020084045010880284a100002148200000008a40c52440048400210c0041000200820215800800884214000210801050035000850044200000001860080084040000234800084804000000205000290090084081280a00a440008402000902d08200118800608002052b42000000e00000442400202300600410112440c00200100648010042002050000802140110008c0800064224020a00000881800204000a10000841a01010260020801880010041ac40800208000118200042002400142502000040200110408240618100400042902348000142118400c0210260001054051074020281000a00260820081800285040801850a000050a1844224a212100300802058540208910008208018042000000000110900048a00040802102240c10052810800400200000018048000d40c0031010040014025001084a818242e00040212000000048400010410202100108018010100410e02810902042240000002440012402b1010011000805004014004814280001280844034a250208208440e00100800000240d0</t>
  </si>
  <si>
    <t>A35637_0640_010200840004021800801860000010090090024a41001004040084094050a50880005000040021850a80801220081080800240210080884a400208018612218048c0200284201004a108040012c42c00800240708808200810608108008e00602850102a02002400200008208050c40000100a0090001840004810840080004200a500100b4804000820204240210811000280800204a040840012348a0880a40010014820024090090084045004205221080800820004004a340600500b1245241030010004880030820a00244005040a810208a40000402200402200102402412202112018200812242812e4005001890004200080010205a10851001800000080a140218400400248010242802302100000c40510000802408000d08800010200000010c10c08848110042000018200400818002000000400608312000412400942040110000800140508b1024220820000000044220a000100402010802202012012510a00600000108010242000412400812040840210c00102a08010100858400a10c40a0200080000800a00864000001200280804200021820891224004860020</t>
  </si>
  <si>
    <t>A35637_0641_8802410912900040700e0004805201034020840830010004050064091211ac1024a408c02902102318008040010500042110450008000602100300100110100052400c00808210200408000008000c08048000418040200100048a40040808202c0004004291a452000008a00400000110018008940000542008800400118000a42800440150102600f08008142c00110600c0040000a050c40a00100a00402208042802250400800c00200100a4010830a900240208812400a00400700200818800240008118b1000221240020800a048100c40000410200002000000900a0250084214801000070ac50850100908742200812210812100048050200400858400202342040608008c4a850100010448408200810850248142600808000000400808a0805a10840220004000010011800014a408900c00840140c18010a00510400100008008410650400100800000308a00e00c42008018412400950000400808008308c08202402410000900508800808048000800000010010112010012600008150a00a0005284020200844210050020004040010a200a0000001881240a34010221</t>
  </si>
  <si>
    <t>A35637_0642_8040c08000240840010c10158a0080010024020000005001011294005a602c00308008800108112610410018800000d02250040100340442000002000548500602400000c4005001a00024000a50240000020840080080204044004040201011080001080005004020004000ad00108012202300408210942540a0250070084a81090020880074a000a42408440002000000200518200400140900602010802040940002000048000002018052108300008010010e0000070a912440018140040c10102800140200318a0800000211a10800011081081040aa1000851880a000802042012010500048e0004000005030020004804210000804240010800005201020890a200c08c50c0a05010084000800081004010000000010800885084a402340b12012200600210142000010148800040842800000000040900100010040e0801a040010150400500302042118000242002410140110308a00000400102c0000845000814ae02910140242000010500000050800000312008100c40840008952002100000010842200940440810810c4280014000211040040061010020020850a60</t>
  </si>
  <si>
    <t>A35637_0643_040aa0090224200240000860000851020024210ac00000c1011060001a21881041000a042140000008b00008800102200a48540300440600002200940208300a1000850004894814081060040a05084290021a110002408840002100040100302450c4010010801080000a04844250824a000800000c02102040802348200212242000e00240240500c4001004040005200800880020884040200020ad0820880285034001a25a010140010802000840112008102440100708000100600600842800208002008618010048000a0004030010084061840200a042448d1091000004090801840000801200080200080a210408800010410208048042010840018140442800042900800608000048900008218000000810002042418208518040400c08948000000148200100402800210018658042002b0095a01220054a01011010a008008200312008c00342018050800012210000040000100010500808540c02008008200010810810a08000042508800202450842050342a0821020005010005000200030284a002e00810442108800042400200000152108018218010c0010050261</t>
  </si>
  <si>
    <t>A35637_0644_0150040150100140610010902040000a0a800200300000c0000020201040880080204000020201020240800a00014254080001800014085040200835801081024080041010011a050a00400010010802200510f00400840902208210210600010c50410248940042010002008000a02100552500c00e00010002a4044201090001a500900250600018000010040308002508110010008040002102010208440400440040100410300c42210400200002110008a4280214090210215a100610640800c0210040041014880090294804065ac00042402000a08240118008600a10412200040002a0001040a040208008008400358408800100010140210052c00000108040100300008210d02300a00018a10008400040300000040400848800d0244a20825a400050818c00148802008210002040412000a0240810880040a142140840000c08c40240810c4030011011000000200044000a612c00a0000a000242000400300010400c40000140102400100640810008008000200210c00140000942502400000018010800000048a0090880a440800202202800c00000040a0090011840</t>
  </si>
  <si>
    <t>A35637_0645_820021200280880041001044041014080a21001010801ac00402100208012110b10402002840140200108340a0ac00048218000510542000d0200810070000081081a050508258002000608440000808a48000400500648d0230001a040c08b0200005004801014841844000001080020024a00001a010410d4004241a21044064080240820a60080000000011014000001890070000a44020001800020000820280000004200a10040080200230811020071800280880000a008000500008608000908a00758400300200040200200010f0840024250004a11a21080830201a00000090010031085205810000831031a000408040100a0284a000100808810112840008412018b10050440040108100008308402810a4830060200821041280020204010080085080284000080054040000a00010240001024040020240200004280200840020a00044040011211800040060004004024810090081240040080a25200000000804a000300812400208510000910500200600800c4041000050010a012208158200010800008208410802418502e0a14004200000820a00000090040021</t>
  </si>
  <si>
    <t>A35637_0646_0010250c4004820a548808050410102402012310000202a0a94280810a100008002000d10648108050e00c00012c10102100008600102c00052102000008f08442000012840800650010a0280214200801014080010804080094020060240820800040060214060a00085804881050010810001060a20004000ab00510010258012900102808050600448010142040040450800310a10100000002010000048002900008140208510200010000002240308800140a0040244894840010010800805040a000000008240a48400140110010218800448912100840340500010802040142000112600a08000040e40108402010502048542200010018200000200810a0201850a10020281080024000a000c1060004090044a81000080800a04004060221025010040204000240804800090801045000004004034000084000881000091041820081000080050235820210825a04a040040010100500118a00002600050202a00448012002600200600000800018050002008208800850818500000218100808812640102008000218808a4841a040a00218608400100800000540002410a0</t>
  </si>
  <si>
    <t>A35637_0647_800004044020801a21220024804804230810a04201080201a010200300400008802252440000b18000200d0a600000b40040008400510218440002212510a00d18808840408200140c00000400000040002242008640452000802a02318010800008000200250600000100200c00848102050000250200002e0881200280004804a00200205000a300412c50c4000821804850884004000030000a000f00800e00800a00202008c08200042402840b0a040600150200402e48110310100b02a18040908040302310208002140508002008000a0280011040000051010041000011080080830801800a24240000201220001005020081210030a21250890a04880040a010208908008200002240800058010e0a010840602800148400210640c0264011001880080284a40004001020090010000201000a00201a410000408012000200000808648e0001000000000221040200210260034000231020240a010100000040a0821820204000890800210091800040280001050261080a010000048000050c10010408042042108008000018a40900d00100000008242200c4080800844001</t>
  </si>
  <si>
    <t>A35637_0648_8610800140d0a00004220001201890204004020021004a010100d02040042810548010400308040012308800000002100940002800b0004085004880204860004844800230020060831005240200030000240a110102a00102a0084000a00000800000234001065010010000240280200021210844001a400000310040000450000050802000118408608200000c08048012018100040110a48108150810000000400040040400200200800840808000600400008c58002002848100b00b08a00c1050811a002300c1205080004a050102000242a02100000300100008902002002002350410410300000840502210100018210200510800000418000000c4200284a01a152210518002002a00042312010c50c08100802108000610250000000a40008400508602400c0200890850800010080a802000000402a00908a10440042102000000000858050200a0a000208100010150600002440408212618400e0090a000808042050042c40a4021220840240090240025a000518100610810048902048000148840440a0080840030004044000090085200001065000095090080810271</t>
  </si>
  <si>
    <t>A35637_0649_0b00c00000640200000000102c1880040800a01ac1040a202410800110208d00800000040a00010150908b0240ac00540840202108212440000c02800212900e02200010902042302310c4884000014000000a20051004055060a800010100048e00502008312218008358040000008000440800952c0080040a05800a200a0040040004014a210810050e0010040030805800840001800080024050040005000201080a21000040000a218410842802500d1850000204064880830240884040010024014004801844000841060010031010040000044024204a008008000040c5020800800091020045000044281241841021044844204211010080034204004040001a000000200240c00a48140252008450008900a0034a008008200040840102a0250010084a40a04050205824a900d0080000004000004010040280000240091810280041800a042800040608210800000000008000440c0084021840200200010a40001804000000000810a400002850800300000410a00710000800440302040800800a0201090200800020084200a41084214230051010244210204021250821</t>
  </si>
  <si>
    <t>A35637_0650_0800240000000008240a00508c00410c40008440800a0020040230a052600000000c00400000240208d0005000004230090004201060a85000040ab00542408000048042200012008208d4a210010c4200221040080041010004810004800061040000000a20210a008140800140a0820030a010918042002748808018a00900002410040108150518400002152908350200100800c10012402000542c0895805000020aa48542200210040400208310308a0011040210004081004040860000850020000010080010200a840642a0010000880a040140c00102000d1020245200070a210000308418a40000d4010000a900000800540000852400008810e00002048902010108410002900000910640100042a40010002102000400502800002002000240c08258018050240018510600000a0810024014a048500240c08840008910300810802200010540b00010100002850812e4004220a018002600010200b0211000084801041200000a210a08000800500b0234a40000840080210010000004a100002008000302010100610602000000400958100a18008242000c42818240e0</t>
  </si>
  <si>
    <t>A35637_0651_0c0200000044a04065a008212400800208112200110418450400148a10400208e42012110400a0050070080885000040824020001080000055220205041000045000804020aa4004001010280a500600200440310218a10002240100408900008450800900008348418000008402442012240100212212010a0201200880890001804054000201060020000ac1210214050080880004a150040810600510012c00000000048600010b0044000244201020050844800045020880005a200408002110a00008000010950600002048810012000800000d00500200600800110040500800a18040000218050412008202302008640a00040c00012002810c5000010000810040040080020000010204a018b00040c00810e4010054220080005850024a808100100808040500040108408110440008900c00200400808002c10010202b0014a80000021040080090010021814a408c50000b0a200800a02a42150002118408008050200400342112000800010010052100040000500342202840a42010200418400040c0000800041090814a21a042c0a01010211094820a00004800000000</t>
  </si>
  <si>
    <t>A35637_0652_0910048040000200540300010000c40508940000200618c0000220211044020005280804040020060800014a20811080220260001064261050014a918002118208212410c42312018200200000002400200002100010a00c00100800458300408c00010700048100000400a00910008202010000f02c1080010a04844800021a200000248218100500d10000802040a50042010008000002400a00200c08500000102208000502000000012110a4880020831080200040000280041a210d0a04801004020a01240084ac02010440100040208200410400000108102000c48002100a0800005a010150808442000150040d08a02c4080004a100410010c00400d02842010100000508200000802100000700218012c02008202050c00012000940000840142400018010052102950000018c0a010040108000240408c0a04080210004000001040025800204081010210090020040214000000051850885044220a210400908102a4004050aa10550110608040d0020810810220804041801044000a208800208000c0040230001801005200281084020000860061001005094200001280</t>
  </si>
  <si>
    <t>A35637_0653_0508410940100200042808112840002b0010221a808c00c52000840048000100018000000200810410608c5a41014040825034000880824004040820200290021080000250a00005000820040010290220001060810800000000801000010025200a100208202100200640448050100000700810342400000b00050540000802640412000040300a1001021a110440100300818918c00002200040640110400040010c00208542800040842c0000281a000200208010000f0230861800021a242000c02000650000400a18142008012500008000200000b00002052010442200002040840200108840208802048a10010018c42052400c0800a042800000e00000a4801800240025084a800808112042000000048052600150008910008000050002202010900a00000000800240000400010a0080000000a600200248008c00c40058708000110408100408800002910008000d00040a0001220080a800112108000300310542042c0080010a240210510840110408000000a1084824811014880801040045881a840400100200108000a0080010084011080001a85884250810020000</t>
  </si>
  <si>
    <t>A35637_0654_8408810050100200140000e0001a500000108150018c02212000202200012000818058100400a1060000024061000200800860200010081080080094200000090a800400a00808400500c10400150200950212408b00002d12a02900208810a0025001000001811a000300018400008018648608008048540240100450c0810a840812000150240108d1001a01080001014800841a20a05040a000502400540052102442810100000040000000608008650000210400150a08010000000400442802802240002200d58000900a00040408210002a02400500040000200100e08100002248000608000e12800040012440000512a00800440008702008440a00900a4280a002b00000000412048202100000300000902600802040000058012110900040602818000212100600040400800d0024040030801005010804a808010700008208100110252400302008500900210000000500a1010a20000260005050201a000200200a40502402200050510a00c0a44000a910240100010000802000240312008000a0a850148042002200c10452000008802300000f50010142500142502c0</t>
  </si>
  <si>
    <t>A35637_0655_8008202100040900440400000000100100908202c08312458c00448240000800218418102440000000a0004040810280200211080090284001080020200001020020a450808018348910810008402040940700800440e10052408048400210950002800140300042108318610400200808240a00400000400200300008100c4204810030a10040a100252a40000140102118500812810402140042008e08000000110b02000008c0015000044024011201840024040a000000a00048000840010450100800410400a00c02002600802218218102200102048000318110b00448042940810140700540000840100110050000408010110808010402008018842042400002000c0050a05080210021040000821a408000042808110808102000c40002058010010c10210450300a40208508a00402c42c08800600400000240000d40040112000908a00810a00040008000a0804200240201a012500610002100048140418500500000c00000a0044240001a41a400202200002800002850040a4aa00000200618418840400808048200000842140202040502510202612100f0800004a01</t>
  </si>
  <si>
    <t>A35637_0656_0000240050040210002010500458010540242200000100c00402400908040118310c48100148018500200600440002108a08202008602c40500c0000000a000b12642802400a00400010000210d0010aa0054081001a810440300100308800218000042040000402018900002c40240200000300c4a00a900c08802508008800200040400a0204a208840040100100a0010001081204805004a000002400818840002148008000100548008400008108048000100812412602802450300900808500808112100218300240402c02110240508102812102000008002800600e0081040221800020885044294290a000012c00000202000000240242100912800002040a0200881040221204030080a240318808208102300848602600c0200040080200810a900002208000500308000100000200900040a0240001010a80051080220a608200840202802400100010d00840a0a10000085031880040a440c10142240008a0050041205024020844820800a41201294024005001800800044060814040201804080a902000002412000e40418510102100200c1804a040c5014010a10a41</t>
  </si>
  <si>
    <t>A35637_0657_0000250502c02818412408100010810500100400c0020021010224804200000044061000080084031210081024254244081000800840020200244000054850000a000800040100000800152402040740108000800808608100808302402210100c58142000048000410802818010300240000200808240040602800312210018200810940302400808210210000800048050418800210110008000000300240048000042a42008000242612900b00a08018008002402000848800210018002c12412c02840140010c48248800800a10000310440402440a0a000102208a50010002148312042010600440002000b08040400602000810200010410608802008010602000400910c10010000602108002800242258000102902210800000048140340010010000008050802a0010840820084a040502d0881064010045044240000001021250001200200000a04804850824ae08800008200010900908810040908048118400208a40040200100610400b1205200020001050a008610802140800a1024040804004a040800000112500440800910642a0050020090240000060020040200</t>
  </si>
  <si>
    <t>A35637_0658_001881804000011020031001080240010010a05000020a01010220820810051010804005204801811210010045000040a158008600202412002000802048200950a0004040024040880054080a050100818302218c18210110000012300e0844800084020085020830000aa0001004830004a010502048102000000200200308000d02900210418100150058402408800200410110400002500810010310e0000014010080041a000208042040900800018500000818800000012040018042000800508a0a00ac1041000200200220000800030a658102240000000c08100850110008040202800602800000e00840400300818c0200020294000810010000a410302310200a1800800804000095040040010801884240820a45000041820000044210a000008008002842808240010010510c08c00002010248c0000020a100840000008110008c12040042810012100510010402a40048408308052440402040008740810800c0014200014824040811080290070a00020240884060800000810a012410410000140140040702000408250010a00200508000b0a00080020221a41200</t>
  </si>
  <si>
    <t>A35637_0659_050081004020820a04090021220285240804050240000080095294804a11a00090004000220810240001800220054040801221210060020840000230801a408648c00812100300540a08208a00440100812408300000040102102040000410000200140800000510d0051800250000014050a80060000010004020000001005200a40050800020ad1800000090000a800002200410a0010210004a140108940248000202110200000e00408d0220a04005800094004801000a008000a1005800081020001044290020264000010880a000e0000000014244080804840020084201024015011211001001000080820020a000402208900000840600400b0a000000600a50240100040810012040000002208150018500c08800400210910200d1000801840000880a400800002940140e0895201a01204024810030000a04844000811005840015a00a402100008410800c40202000800250442c00400212910440100248908442000900042200310800240058000000a4840281814084081010010810000084824850040281200050814000211004200a208018010002802808a1014000</t>
  </si>
  <si>
    <t>A35637_0660_0a02240002002010408100318000c0080a04014a010200802000040210008100640a08802048050040400a4040a040c0805821a500c10002c02800042112000108418940100000200910000040012c00302600010e0080201000880044260800824001080021801800000a450140000910640800842a18440042a18040e0071044004240281010020060a800142002a02010500500048842000018210000142000800800150340810440400c00c02b00600400240210000040000610a08042802c12308100000210500600100240812200210410000040240000042000002000110b0094860080005001200074021851a200000008d02148108008808010008010400300008400010212c00a4001201a10800280010000024024860000a400102d08150000100c42802110040a10158300000e50000c08140112900140212050900018002008440840410048210000008f02c10002308200002000048002840340000500000400c0850004090200860011000201294000010800021020010220020850a510b02a02140e0031000031801004080044084241000820021280080204a51211</t>
  </si>
  <si>
    <t>A35637_0661_001a40090090080810211044221240200281a040010008802840840000010600048c1005010821034a400802408c5020a002450000c0ae00902148940000808100002002d00202050a0081000801084010034a40810280804024005a018810412000050408840102100040c08000008810000610000040902600200000218050010500202848742400900048402b02008000500a0004200080030800040020024a852448040100810218200000140140110a08300c52902100000450000110240400648000100900b1240884010200001a21020805a50000020231001000805a150402a1a712000400410812200b02118100050c02410800102410d1000064284080820005810000840000000280800220005a402410240040150000810010400400818248400442400c02042810400500502200052e48208202000800a08000908200010408e02000c00508000008a0014840200234805000240000a200000940100142900050012500040040200010210008902200a00408000010440052100118008008208400440048340500810c10800c0000020800201011284800070090200000</t>
  </si>
  <si>
    <t>A35637_0662_0602240402200200500108140408000108310018900802618440500240602300240200800302002340d10008010800440240508110850452100208902340210050a00400008202008008c0084a012d00010400000352608000400802048810a0880010040000020080004040040004290045000084885005080000814a01051240211040201001090080000a01000801050850080021001054220075040010aa0000090010021810080a64200034204a35080010804a040308050000400800800850108110440700042208000440102000300010000042000012002400452048000f00018418500202842000602002458810200802400102840000100c10200100008000208208300c4010250804a040e18512840000808a08100200402010012840048152500940800c00200300010200450018812002100640210a0200a84214884044a200600040000c0030064000040804a500000a02258200840200400c40010210c08212000000902918110808058258852842200400a08000a40140748a0000811090060080020804a342008a1a000400348010302000b10c0200200825200020</t>
  </si>
  <si>
    <t>A35637_0663_0000802010c02048442010b08800050400040500400c10000140802200000a10000402010440802248000002800800c0031060810001001251000200a35a000000242452800100000a00200248852302002110908902800400b4000824a000000a0a00000a940000908440002812a0080020001004804800010804024011001000000004020840830000044000000200240a410240400c5060200824010850820a440a08000000100f0280041020810020021881a050940800010408100600240140c0a24261a00000024050280000001a810818200010740100000008a00600d40a0001204a210158858042008a48102110000412040200a12518210010408900808010350800400002810002300008200408840442c40000310010840012840708308100e0801204ac0000285200001810a01a800500042040108842400810408200400100200000100b4010015000090884004010294020001091a000410400b00142018200000010102018008c00000400042248000508010040c10110000000008600610808800c08000208100c4200240060015204030004005a00214080020041</t>
  </si>
  <si>
    <t>A35637_0664_0002612810202000158800842e02502200040050800000648500140142400410d1080280280284000830004280a400d0010030800000a250040002a00400200008040942402a40318c0821800800010010a400a00050050500e00110008900900800140500808002208e1a00211044010021a91050000011204881a540800908240410000000418200e5060a440008140500a00310400002100212012610418000840600900542e00008018050000142008800c08458400e02000000e10408010042140100200400740218c00002308010018202a10010800018242300058400142400040000800000400012002818250518402c0281050080025a000040c50100040000410510300400000102250008010e00010c02202000602708358e0a000000a4200040040220810260881010840051005001004000011000880280001000200a41a90044200a810a00200102200c4000000000000200081010a008100a08000212000010250500200a02042800a00240050100000552318008a0a50084004024000060045201020024050010080800a44200010a140c0000080040000001815080</t>
  </si>
  <si>
    <t>A35637_0665_0210c1a900800018640b0030225050000004a40041014000005040814001210080004810050280030240880081200060204000040804a200000040002640818240250402000800400c00600208800002008412010110802812208840502010a02c02000100002100210010010002800000440200640040040440102010900518808c42808000400408840e00410808210150200c18240412100a10608000002c00900900202050200040e1000080080040000814280004204214210020064000804004014804a500252440000400208248d0010085200244a30801000061200080070a20010041814280044000080804000000005001200224a208408700008d40000248040610402200c12800300400900440002050300a10200d00802850112400b08240100308440002a00900702a0045800a01010084801a30014a002540200318108610000408412042202102100002410840c08002010008240400c4080000004000805001084200005204800080000001020000000061020001040200080001000050a61a10244080814201081a202802000100450a00110a5040210804200030</t>
  </si>
  <si>
    <t>A35637_0666_0000602500048810208300a00458000200a00000900040800400340100408800008200840940048000008212058802040208550c0811000ac50040208010c10100810400b4891800820820021290000a00230a01020000084020280a200208152042810c00902010a1060ac12410008050100100008c00012040048248700408818042100000200100010800800008218000010200840000d08000000000652410400140100000508550a02412a4030050801001040004004001200000020245a440942010010b0824000010040080004801844801010030000200000030884201240000820040061020840020811a00870000000080010290014a11004080a010142240110c0030a008440900018010208402202850400018100300450010000800000210900c4020210040080230a20000800811000281221a408002050042908a4821a000010802100200b00002300410448100d0a010040910500042100102248200000c5880010010000000291080280000004200850801080820004094034a35281000040041050001020840820804001000000a00040860240040044821200051</t>
  </si>
  <si>
    <t>A35637_0667_0202050902840140200c0084040a050848040200218110010510400148118000c1821054000a00260010811000241000a108010408008800042000140100a08048200012608208010210708000500c0290810280004080a100e40a0075020020880ac10040110010100c1000a000c08050200c08c18210002040040410008a00058012440040448d00518802100240300110900e4260010040290244080881080014000090241201830041000000001820800021080044220210a008200408e00940542300002808210000940400000240008048040000a0a010248c18550008800600802150000a4041084210200010a400a00000840102010212600918010d00840008242000110210040000040400200500000100348800200510258000100802a08000208008000010700a08002200600648000400300008000048200912240202018800408812942600108418010000c12940c02048110210040200042048000300000840e5a002040852000f18500402100d0000261aa1060220a00080a000300800040a4014280a01004040021804201040011000020804a04201200880000a50</t>
  </si>
  <si>
    <t>A35637_0668_0000058400600942210008018202402002208010c00202000400000248340510200800d0040a10221211860804804200a01040a800240e02110d0004010000090084280084094a04a010a12c40010808018450408408208140002000018100840408440000240048800a10640010040100040010c02008502000010002000042c0a040402010008200000002140c00240040000042010810442808118000010650c00d00342212018342218102002802402000018800000040900010a0054800001080000a240008100c4ac00b40808008010010440000000240648d10802018c0010010800281020041040040200810040004245a440a00902400208610a4810040021030240025080085010200000820880a402510100002508900148208800e0081241a800502010012900040002110202042050b08002000800218800d00042812000000d0084014200a008700708048002840108010100300812650000440942150000340840102440200208500c00810800000010112900042802540942b00140600000008100140000408c10008818812a00010002c0044881000050024a10001</t>
  </si>
  <si>
    <t>A35637_0669_0550848400400800102008900200412000012010008000400810300000408010010402840108302010210208050840008a10400400052240510800000100008b4080810040801001081800221844040000001a200802000010100000708f0020800000200284054091040204001040880020010800801810200805001001820020004000214a200000508058d40600000100210100050c1000820244000091a00050060091820001050060254004080200080041200010000021250001860220a80040880834a900c40000d12040a00010418308052010102040100510002600400c4000830280035024a100042010002e1000860011000814820061081085a012108840440a0000004a04020814055070040001800200224240000811065011004000001000810880804000a00200280831001044080094000000805040244290824001a00004084210204805214260811000010060804000801820021001214080a20221001080280020a100058200810808112808108342410010810010240250040d0000a000040002202100000400212040c0200804880041aa0000004005841a80</t>
  </si>
  <si>
    <t>A35637_0670_0340000810b40200002810002400900042002000010400442100540212518010000202400d0024051020811060210240a900010000050a08c02008210000208402450102400248008400140012c0210a040100500510010000040240012010000048840300210440400f40818150842002300018240802440000800010300c48200850500010000e00e0040001284000005200091044050230030000830020800a100e0081000090064000204000080205000800000815000010004260000080000260a010110000108418c0240805a41020011a80041070201050060015a21014080a148200408012610800000140008800810402902100000210808008418040200048012010102812002400200008a00550200152208100000510010e4001200a200602100250050000000148502000142600852000248010100018e0800210200000a21030084891080000a30000000201ad00848108018c00350802040202008208c0820844211004011020040870805204000080a502200408802010500800100218410250400302002052a00800008040000040400000d4000040000034800010</t>
  </si>
  <si>
    <t>A35637_0671_034081240224030200a110200c5884030a018058000048840912800010048400842240540e0001200881041041210004a24030080804220001084a300518400040c00042c00000602d00042000c00040000742900202c18400100002000d08400400040240210050610400000040b0a80824280014204280010011a110a10800410802a0091020a010000052802642802010008040a0a402008042540110900010040100800002608c0a400010400910002a0860064200080280800880010044200084084800a00080a000012102150400300808a0014200a008200700110400110108a1070a408000800010200042408f10018a00100500a00458200002a18840c00308010400812000012e4200260850004000004020800a250400240242140802800000010008c00810008002012618908400812000008010118400410002600002200008508008c02102908002000108800010002210100100212a4800234a040002810a1025040230031804240810800014280011074010841020800044030064000810080045080034020ac00810050410442002610518002e10940f02002400c0</t>
  </si>
  <si>
    <t>A35637_0672_0008802100900200158100c0021001250004a442000040800042342900208208640408d00e00010140d1084a00040200a900012010902418840900000608200000400042042a0020010010004a010208240200d10740408010102010200600a10008110008b00512a08902000950100050400200040640000140a4021001094265a00240800001210850800a00200200000a118408000040600840140008010002002600052018800102640c0004211a010a00202248d40900b0a31060005a810040c40140010100000810900202102302c1000800000000820040a510e00400000108842200400400402000200200112800410840140a00050102200118200040240140008500002802800102a1804280834021a00200a24a000200800840502102000240408600000440500802350c0805080000080024070801830081881010231004840040a002000108050008e0820804000010800010021081000040044890a04201080a000000d0805000000004080a500940002000100040008140200b0050020804240804220200850a40081021080030201020801010001814044011a40020</t>
  </si>
  <si>
    <t>A35637_0673_8910802002002042240010810800400e4a042000b0800004001040a042010b10000c1280010880a002300800a00002000100650108042050050b02910112108308c08002200110000508a1044a110c0a80000860000aa52040000100408610400800002302002110800102640c42500a00058c00218008400e00018640810610200540900858150200840040002d02800300310e4044800084000811010001000000020090044001080a24200040010a400000218400050008050410000800040402000140200800012612000000840040200908010040802810000a0000ac10150600a08058100008a0014000000a218c1850001014000291030050001845051084210220281070824800000a800000108118052400200842408210202000112340000042c0814020801000000800000800000a01010084820070010280880070810014800000004014004a008410c10002258800100008240a0800a00a94000011000a80001200a400940b40040300c0000250200011020800060801884080820054211004a01000014020a008100110c0010220014800001060000080230024000a01</t>
  </si>
  <si>
    <t>A35637_0674_0810000402800040240418040c10800048810008500800040d42448208008200000a1a042200018100008740818040a00000000108412400c10048210242400208008100802b02000008008042010642002218118d4004080000020271021010a018010802940352008200040500040008042200318010c00e0820000210090000000020000a118300202200800b00110302208040642900400810248900a00240512400102048400852a00800000110040000a0245a002042100300408102e08010008012008000418000010000b02042300018042000e0804811200085004004290015a008600040008410300048102c1884ac1041250201a402000100410400c4890840281800800251000221a400000842a4a00280001815081000080890044805001021020a208800440100008810508012842048008100000510600800800a08450100608400000100840500a00300c48842002102040700450012440a0020824a500140a0080030010000200090845000020a140212c0004020081224000a200108010a1a00040801040081004241014080a00804a10004864050284081230211</t>
  </si>
  <si>
    <t>A35637_0675_0a42c18012c00200700d08148402112000240140310e08408012a0011064280060000a80280284025060810084054000004070061890800801000280014090000a410100400840010008050000052700800710400e00000900400040050108b0220884010010200a81825820084084015010011000084000200204841a310442000d02940902002100100252500e02042140108508a4a01000a010400300200000840100100000108110a08c10240218442c10012a0014024030024280820204004004080214810845220a10000a10211a000412a10100a00840010c00002400100400200110810802008040440010450018548640400140808140010142e12000100052540018800a0000000801004a000040008910202200208800a00400412408848152500402010840e0031000a208000440500000900600800600810412000002200100240800140200200002300800048010500100402e0080880200220020060001840201080040000824000824001040204a000400f0000004240020200a018100a1080000200804074000000044281000800a110c0011084800240294204880</t>
  </si>
  <si>
    <t>A35637_0676_054020040044001200010010000801000805021200884261a04000211000080040a610800400a40008410400040002148012318810010a40100848140512000918a02000800902202208c0000080214884800200080044a140002000600d0020041000010a050148100410c40840b08a4a402400048400950000100000508112000800c4010a00801060001a010400308000510252600410000100010000d42002010a0225051200010200210250824804021000281814094005065041024080840010034800251840204080200090040080020845000054021a002810200640440840900240808510a10c02802310000000f08850110402200652408312000050042948340d00000650010c48810408c00a00200042900010140100808200000748240200300202a0a04004291230000001880845200030a44a000308010840000a1000250080004a040240148400d10d02048000002048500018500010010400000548808900010042208202448d00040a02840d0021a15281020041081240021020a008342808002148808000100800010510200800010108a0004a54210000804001</t>
  </si>
  <si>
    <t>A35637_0677_0808000810b48050440400040840002a02808140500000408400240200008f00000840102e42000410400218400400800102700200440000000040310000810242000100c08800100510050412042800a0220a100240c0a800108010140100400e1001070000025a218d0820a040802040000b18000a08100202a02200500108810000502a00400410202802040048200050600900a18002200802000010400040800040a1020880000005014240214000a008802210400c0a802342a10008012942542302000018208640140248050100c10100000d10200000000000140a08440200040512800600802100900248450200010442010108908208200800002c0040081a040000002640140000842708800140a08810842210110408400040002002202752008c00c00040400842000210048400010108202000300000208000440002000500550000400340040010a1800a41011204881810241825080000220801041040010000800040804014010020a240400000208048200a0840000060800021000041201290260001a01860064880014004001a408800e42610c1020014835210</t>
  </si>
  <si>
    <t>A35637_0678_8000400012000000102618008242812408200000e0000041080080890061220024260800010810a050808508200000900040000000940000042500800508000018c40000408800442b0041001814000a000552208102000400202208000208800840810a00048010d00110c02000042800058400402452002c08210610b00200800800100210200c00800e00010140a4a010a0001064201210000014200084084001210010000211004a410040100040502800812040c02202100002c10e0a410c00042012410800010800410000010000300000800000000018048010d02000d00900812240318c4004800040a840200010142000000800252200900040602810000940208000c00808010308100002000240a4204000284220011000244014250000004a30800200280044080001830020aa00000242040442418500240140840000200000142218802c40110010500950202110448a02058c0805040a800100902108008b40410800700008210408808040010a08808212800000a1010224a000340e00a00042c0080204a052410602c0044060224860080000881280020230854070</t>
  </si>
  <si>
    <t>A35637_0679_0010000002000112400400140012010800000508000410808040600142018510102a10100200040110000210008540140810018500948010000a02202042308000010800a4020040a900f08800040500048000200800a0214080080a018210450408410208048200b18202c00042500002418000300418000140000540e00612402c4080200814010040a208000000012502c1804201800080810015040000840010000030030a010402840110100848510800550000c12600800200808208a58110102008240600400000142240802050000942000810c0001004211880240a00060a108110200400408500048050710008248008c02002302000c00600008040c0801061810054281810014831000070821a002100140040100200a4840204250080211a208002c0010000804a04810001200214000000800280024040085010810a008010048848140000310208a18000218402508002050000502410840800a00040008158400c40200000040008910212802000258408900000000440100a08042000058210c5280805000050880840010024880014260041261280230020020010</t>
  </si>
  <si>
    <t>A35637_0680_0712802110808012600810a1000040094800001a610050002110e00b1000a800940000040600000018800000208940600118010218008c5814000200811090801a20290060a000400110812a0201004294a208700a0021240080000251020820200095000a000018000040402000100200018208400410002000900040d00008448010040b42600400000050012108000000218002802000400848108510000240d42240200002000040240000200010510d0020805091244210000041811060000030000210aa18400042940800800512300000208002040800200100010010d00a4020a408108200012442000000000410840000012808018252000142412000b0a000000908802018000600050000000402c4004220881020001800265a000100300408a00010052402c0210a202018100400000440840242000040400040502a02000408000010040f4000000001811a650800000040008300350000502500052252800810040812002240008000b40000050902808400200102610810000100502c0011864844094090a40281040040a90000010200000014a00210024200040040</t>
  </si>
  <si>
    <t>A35637_0681_0210402510400800110a0001004a84280284221080054a000000248052040400108250010000808000018058e1800290200844030814820004080024800071805280a042408918040000902a4080004210841011050881050290201014000074ac00400240000010208c0805200224a000100000212a18810000100348200208040002542a02012510800610000440a0054080081a000500640008618010c08000010102848610000158400000a08202200018448040440a08010100300358240000208002440400400000c0004010821ae0871065a81020080000800844000884000a040200000340402800100008000a0061861a900108a52400a00408608100008800200010808042902100902000000812612540400000252200158a0a010042002012000000048440202108300400140c4040250a80240a800100818400042102100800540000010500008250008c0a002510602040340800000010800840000100e00000602102c4011041820030a000010000010150000d0a00000084810a40001000000010210000214211081000004234284260060040004a400000a4054210</t>
  </si>
  <si>
    <t>A35637_0682_001aa18000000048000000118050900400a00248800000012902040318000c0031000010264005040a010800202500300000218110802200040800110108018300000100802252208500400e40100c00200052a10d5280a00020005000240804020a400a40a02440408000002400400000240118312018012208802000910802a0800030800044881000204285004211011000060021004004214000a900900200800942818000000448000042400a00510300840402050000212348000048440102600102000100c52442002c4a012000000d4860a040000000440210350818010100000108e0000000045000aa40042000108c1004010805200021025000a002400a02040000208a02100c0810a002018c00a00900940200102000248048040508100508008a08000852840a12000110548442c02040042540800b02210100008008000200000002400102910012010910810400800108600e0000000040040031240020010880084000224800a600000c0014030220a640000a1201250004000030a400840c00000602b10048300042258500000040412f1800a208002d00800700a0</t>
  </si>
  <si>
    <t>A35637_0683_014001041000820010291800060a040a08000010818040040842048310400218e0080085280221874851000804a01230800211ab00a0044880004200a200610302010010800100350200002002000a00140608000010200900040008310008410012012008040500118100002042502010202b08400440100000100400b00c0804000020004840081801820085000091a008110a48012000e08210242100058418802408810500000a0024090010aa1020820840884014004200200000810224811020a202018000002c08140508302018200a0060804044201000080080881810280004024050801220211240820014231014a448000242000200018a00400150940100042000418000c1020001060001015841045030091200010031ae18000c00908212000110800140400808000a00b08a1044000001021000800240041040890a148808250010000000000418200d42400810d00a10002010412012410440308000300c4081a100802848502108200400400000342008000908040052d08300400708240218000100808000310100008c42200042018600610010500002a0820080</t>
  </si>
  <si>
    <t>A35637_0684_0310840940048100210400600618d40100242000018000240c50808a0000021004204010210a00014010004000000060884a210a00400640110948800340600008800c10102250008400142400142108a40200000200048040008208408400300000100140012452600000200010800902200a0014000040020224a500400212000400402900010010a08042002d00a10200508448c00002400040052a00002012500d0020a01800870a240100600102140200100c00d00a00140440410048000400000008248800a0ac1804200025005800041000844084010071001001801804040011a040c08448000000842302710808040800040040900048400002010110102910000010402050000200210250008018412100648002002900500252440800800042208410802100000040412018452002402100010000000242a02410208102108000200600000840040402010040818042202000208608e0005881280a200550800900c0281004800004811040200095000800230080860861a100342a0814810800a000100400340218210040040002100152100810a0020080204000804000</t>
  </si>
  <si>
    <t>A35637_0685_0040808400402140008200a48c10c10500002010110d1844010204a840000210310a40c02040a0060000804201811084015a34081070000800024001000280000005a912000240412808f00202140408840408a00810000010c40202310100848400450048000000000840000d02000102208400442040500102810500000200c1ac10000002000010110240002102152410000148212812d02800440400210808842208102102410012412010008810000000840010900408002418a10e00600012008208040908108000000300b40200018908600410000102102400f50008800b0004260000020881a140100848508910900048810040108002c0030024844040024055080000000280010091045830801000084240210210000840221200000a800012310000602c10908150208b00442c52810a42040208008400810d10000300600200c4021244010a110150200000608410200010002400d12c00110000008200600252010000548350408000208810000a40108010008002802840c0081050840060004840284804224200011000040064a00004020860824000044280210080</t>
  </si>
  <si>
    <t>A35637_0686_0800c00840c08000012408812c00502100100202118200218002802000240118040042002100a00210400d1a012412008010000400108c0041034201211230010000000004010210aa10700840100100b0000020000020a14040a10a618000040010000002150000008800600000800202212008140000012300002002d1015800080080014a100810010200000000048010010d48c40400240910010610140050100600008108f00840202402100040510d0001021004020a00801880850a608150800200140608010802440040000500418202000840302b0010aa10000010000400200412000c0a040012042052108810402040100a0800000081020800045050000000031011844ac02008850000100408000440902240002200050040810000010010000a02458102400b58208200340612402002012118900408a00c0084a008208000000e1a010048040000608210010402508800002500400c50142002a02708808810a1200020890000a300440000110040900010418040000812a0201004040804a008c00a02808040c0811001040060001814800080044000080a05260a00</t>
  </si>
  <si>
    <t>A35637_0687_0608400c0000011001000091080800264025850000880220090000200000001041000005000210011020044200884084804810010840084080020000220800030881004240800000050044004800010830820000045004a41040290020821090820080010a002002c10210400100a0880a010c00240000100002a1a110008340a00012c0005854a000050000540800102010818a10402812402a00008708240258000c48a18002800542000012048008212a0050080040084210010000861880801020880024a10010000a902400a4020880001a842000300800440400800a0010000204031a208002440410642100200c00800202400e0200004000860000204054a300102110250000012400a12402108442042810b4800800ab00800800400000200408210c40800002042118000300850008042208008018000812808452100108540108a00000052440a0840010021a410800040210650000200e0040090090a010700402a02040600242218800500610110700310000900848012100008a10410208108210000302800402200102802800c0020014000040200050060080004220</t>
  </si>
  <si>
    <t>A35637_0688_804004041000a210040508008000042908900048200b02002012508100040000b1004090000831a20021000001854200000a10020020000294000800044a400c50c0a410100040202500008200c4240020061ac00a40008000408202018000840010012a00208040810308e0a402a4281004210014084000030024241a200500c00002802050308210052210010400800000410002600040002000442a00702812802002010408a00118018902040052000408400202110100350148908448002000500040500210c0a200110148840500110c02a50c0074000040080881800000000000020081080020880080a210002310150442002108058442200002600410000000050100810448500100800052618410040910800308408800002052102042048100900f40010c0080a008108200e1a05a15080a040010818000e1800060001230090011204080210084030010040081800010204a100d08448208952100018612000500400802d0a01830001000281ac00000018002410008818000402000012808210002110400212040700a08242002c00008008c08302802500208140000a0</t>
  </si>
  <si>
    <t>A35637_0689_8440008842008902118310e08600800702040008c0015a040002100848000010208648440400102302900040002100200810240200c02448000c0a30000040080801a002242240118a0000821880080000815001035064200200031a010f0000000800044000a00a10010080010010220224a500200640840400100300900e40210800c0201021000044a80051284014221201010aa0201004a140202000040840410940048000000612800d00100a0040200004880a000100b5040ac10c0a800100040040210808008058010100000718800200240500048202600400842c12450002100210610608210140848052400000a08002842308050550210042400800b0000a040208002a0000060a100100108200a00040840a0a042000008018042602100440908902210002040300052000900008c02108a40408018040c0a000300002150800e4000815004030a402108d00018400900002010c0000001040090220000a808240e4880064000240840004001090000004014aa1811000245020800831041090000000000281001010080241080200005030000014060040000a10241840</t>
  </si>
  <si>
    <t>A35637_0690_0c02a1084040020050220001244a800a00a00740c00010210c0200020040001081000001084a152040208218000010002a40210018c40212112b0000a01280011840000060034821a008008800000a4091200060010000a000008200408108308412010802040102508002040c00402000102700012400c02648308148008008412010040910200700152010012a40240442800240008c10008002000000402008510048910302c0090a040140748002200000012002010448002508a00c5a008000600818400e00440008010800012642100a1080a842402000000c00010e18040002840000010000000000a0800201a01830204a002840000050100802000812e00002510000900200040000050008500058200400c0801060ac00d02610912808008500c0011224240234000220090064281001020010021021000004010024084204821044801a010200900600c0080a400802340048140000b0024800004a01801040040025294280220801800081084211200005821840871240200090004010020005200011040084240040034204010040280a240410402e0000080804020a00</t>
  </si>
  <si>
    <t>A35637_0691_8048002140a0200031221040864040034030004a110c4005010210024020880004020204044a200018d0041024040204021810281020800014000021a718508000808010802100052100210c08140f00a40102008608200802002000400010200040002200810340c00140052810800248100a0080a400410500008400800108802000008000010008048042842202040540b10108240812148100108500208000842608a02458018218240540300800110500002000800840048402000800008000002b10200d00210018c4010ab0040050040000204274001841001000025000010020214001814a40801060084a100000410800510000142248718a02040c02008b40100210202000452000100000300000200d0084890024040030ae10410340000000408202008150400110140008c5081a000042048200a1045801280210080050040884a40885200005a30000810000080240010860a81041821004240a04010000084844000200080000831880880010040a010300200a00818010040248108400a0024040014a810208800010200c0030010051840085200204080004005090</t>
  </si>
  <si>
    <t>A35637_0692_8c00e0800040010834001821000291000820051080860845a04000220854a810050a50000200840200800e4004811004211a05000820040040294200a25810044805000000011800001004000081210a048040000b0000010200a108000008140a00102000b02010c0000a840042002012108100110a08000200058110200002040102140000600f10008040000448810202a08810000110100a4010820001005014080884a540210410242512000042402208e48418112800110008418800c58002340102410300200008800602008058200048c02940000010500500408a0a040208118002000900218800c40002110a00800600450c40040700010140002000108240240408108640000100200300808412040040540848040a1011000081010210204810080a000400c00148100500000850c02740810418200002040402c0280010040020041200020000021070834020a000202300440010c1040001030881811201000020801010000000a410840802810808040118000100400002408000610300552010040b0004001200814060094004004204000810800044040885800820</t>
  </si>
  <si>
    <t>A35637_0693_0010800040208002418310002c10000400002310010440a00100440a1a10060861204004024024a048c00000000010108908240510410042140008a00000000100242010008212040600000a0201040014010010024041000000800800050054084880094230800a410f1a402000a00018048208a1200a440040202152b00002c4004000000030040060001a00040090000000005280840000000a01a400040208810c0201021081881804005044030220210080a008800200800610410000402802000a0a140200048050140c0805844200035040804000010205a108c10002800008a1010050020004000000880001001020a600c02e08200010c08700010012240a18100000000058550200010408800102010100442a1000040800200040054004000ae0000a002800840240400400800000010e4014004a100250450402800010410010108e02d0090290a002000540000040d02240002010200800440648910142a00d0005810080884011800004200a80240010204020061220204000a000408000942000400008158000408a08442110040100300000808440000c0801024231</t>
  </si>
  <si>
    <t>A35637_0694_801001200080030050201810a202010c00900000c10140000050040210010000302810850508a08402c0031064040010014800a900c10a00d0240204061841034a802810200008200e08a40212902602300308800e00210d4080205a152010442600850002110000208c08000150a0084a40201091aa00100140808000118018818010802052010c00050000000908000208200408048510202008002c1004020000204a000050500018208140542800008408418000002e0090015000011a01014040004a44a500a10802400100800102200000208c0200001201020814200880014000030001040ac0240280024800000801001240034800200220080800080200000044251084800805220a800700818842040440402340050e10c0800000060001230000015044041010281a600000000242840c0000a010000140602000548240018100048050100100840418108508002140402010310900c02000c00848100018300442000002008840640000840008842a42008002508a08802002000840600d00210440440040000000510112c4800004801000a60800840a55040080a240c0</t>
  </si>
  <si>
    <t>A35637_0695_0840008500000000212800100410d1020000a01a01000820044200810040a11874021010040020800001000200000260800214a108c0a000450b08148000b08000800810a0a148440118640002040808a1064000005040005060a010018200618410102100a18010408400402800000800140000140050900000000100c1004081805004810a008c00800042042100042510a00040008100b00242040100840402002a40000608a10218418400b00902142010910802400800000052110510040002000000148c10140c18000008900150500108800d00008140710a00412a18400100110200000940800810040102400908210200000300258102308418010800000900600800208050010202008012808c42000412840008108000002600140a0800021040011080800230210020020060080210040a050040308918042040402a50002410800c0054204801a040a00442848000000102118208240000500842202500100300800400c02108042208848442900008a10610300400840040140040202a0040a802000440340100808402e4010010a00a540018108800c5204234020820</t>
  </si>
  <si>
    <t>A35637_0696_0400050c0010800014050084aa00000400100018800200c40402702800010018210002440300000040000d0204294080004004a108312212c00402112048a00a40208550408000200c0000801a012802018112300052400012208840050200a0804a002308052100408800408852b4035041211025200a01070004004020011000085000220041020000a610000802100102c1000080a540740002040008600a1814000a05a44a810002000100d00012000500600440010c0001200061010080811080000a608000c08010912008a42440100800402002200040112100900e00d02008050400100400012d02400840200e1800a000802200950002c10810450040c4020810a200110248010540100418e0005824080200010a100008810812900702202040c0025844840080000010200840005204280000020000004ac40012040102218110000018500400148050a0860840040080a21840211010040a800e0000004850831205a800000100100800300000940500308308000508c40800000210400300040012110008000040400852000c0000220030a00001a01881094081040a80</t>
  </si>
  <si>
    <t>A35637_0697_834204200214000860ac00110000502000800508200110a0000230200a042100308200052800010050200252c02400e0095000880010000a010402000008500800210800a00300250200100042910202112100d08800208c1044800820841050040a000802a40208800c0040054014a242010508102a58040202010000808050000002400a02208808940c0850050090a000718000e00940b00a1001000004800050050a00010030020a84201020a94015a800810848c02a48a02048000700a1a100c40218000100c50018840442240002400340008010800818010c00210400c4000001230810020a452840a08a40240200008602000400200002000500a10450b0000030041820840000000a05240000080080800210001044800005800800270235040830041064004280804a200000118200000840100050208c1281801240220225000880020210080805a140110202018002042000100100000a1200004a20204020880201091050000a040118a4084a110e0080211080045060210034200800861080084290090081840a00001a01084200200850001020000080214230040000</t>
  </si>
  <si>
    <t>A35637_0698_8400200040402000018300502002410000012418100140c0a840000040202000400058010800202208010400210912800058308e00040412400508000340a08458410052800042010408508840800340900000210c0280090020810000a000840e0200000280050260000a200900900340000810012210410800300448c08050818140042008000c00000200100008b08142a0884000051040024250a010040008100002048300600810850000440800600808442410000000800500000e00800400000110058400908000800000148400008000210c0234094014200010a44880000800031021000a40a400602800500008c0000280000215821840800020041020235204010005260204040221220a010600c02000b4aa08118000812800910300000442100e50008040c48912042318300200102008852210018240410412100110400300110c0a000740108150000400000d0000010a000400018040800400002008808c10000000802002000810810818400100100150000048240550400200400210600008100708a40000010000a42c00108002418210010200000800812000b0</t>
  </si>
  <si>
    <t>A35637_0699_8c48642040000808210000200040512502910208200842412000208910100100400808c40c00210700600002002000e4200005050034004080080834014080000020800020024000a508a4201805000004210000004024004070080a508a00000010d00100840400000300008402400800342d10040040c1084210000030005840004000815050a000808202c00008040102010d02a4880000284225881850205011240000005000844201284000a250250910102000800c0a01000290061000040004204001290890a80284024025a00a01051001200030020014a008248e08000200000000d00010042140200900008200910008410e02000600000a5280a000002900018800418408d40040848502200018a02412400a08000308a02802140400142000410a40200910c4a81010001020824285294805000261040a21800080200040040811245081294830034080001200a50000801014000820044801280294261001005044804000a000500500810200010442258010200100000402500802000800000002002242308400008240240c0080000001001004001081080084030010</t>
  </si>
  <si>
    <t>A35637_0700_801024804080a052112708600a42902008050410718008202c00040140240000c10a0201024014850090030080294010824a40000030004a542000b00242c10018808000048000458000e02648540c4034a218a0001000080210001221080804a040510e42210710010000000450c0a210240e08258000002100a0210090830804000230000a21800044840090040004a208110002018000a00800510310300040800008002002700508010410202040400a00200402000040008500a1090044054010004014041000a448110b40802700008c5081001060010000a900800010800100000012610a0045005040230270040030040005080201041a90800084000024010a41001001a012002000808640108110240812148800050100252000012a08340140008040018000540900040500218008c0020a11844060044ac10000200210100008710a00402400040642500840802800200050312910002240110800240108d1000080201200084020a00894004001020880054a000b1240a44014011800221045060210210200a000100000c10c5040084020020880044000020010000250</t>
  </si>
  <si>
    <t>A35637_0701_0c0000040020000200081004861280000020214880040280081004811010200840220004004885020000020821a842100802000600b40840012800a12058200008410110000a42010000140200040140800110408400408100040940042000300010900902200208508000a0000204200a10a01010005000050a25a400010012048150642000100b00f00a4041000010201050020041244040081014a80020a00a04040030051000054241000080821a740400002a00c0010010044800080080204000011044241080800010080a00064001810085a10280000840800024840045020020844250030a408000800800658c0011025880000020a048a0025201091000221210840005000240004001800261800200851000a21200021040085a040002210100210450c1000004000810800071021040080014800000000824800210821a642408008000842200810308400008450400300108012000100008802840000018000300640500200802400900240042c10a0000065001000060054034a200010008418000042100040100208008600050d02010000210100a1211200020020020</t>
  </si>
  <si>
    <t>A35637_0702_004860005010a010440800048c0004220004000200024a00ad02800850100318a1045880204090050241041080000040a012242200048448100402208400508902000142200318108c00500000010000910040818202000810040010010400008842000108842040210848242d00000a00018110210c00000802000300c00600042400202300240218808040500102000502010050008000448108408200610208802800b00000e08410e1a01210000260040850084881040811244a100c10200110f0020804000044020a00080030010800854004000000204200000000a850d02f40a0800290004044244284200000021011000040000a200048500448840000600918342018a02018010600850010200a00818000002942000210442000800602010058800400a40800008042242c08a0001a400108008108c0820200290004010030880000000001014880820821801a240400600142712010508050142500100010400008608d02102a10410508400802100a0a850000100008a40842208200002010918248100802042148010210002102c4010014020010080211204804040010</t>
  </si>
  <si>
    <t>A35637_0703_0000e02040c0020000090064044294000020021220820ac08052100048108008100850100508002440308a52010040008900610e10100000002800102400000802040810000000600800008852410408800018200418818d00b0294800801840000001070280001020020a00004004804a012808c50008800402148018110000002010d0a20220a010c08e00040402040000000d18002400308240000b18518a5a14070004a602100940048010300a00400000e42000110800848440810010202442400840500000a0201004024084020000801280ac52002002410008108002000e0801814a100302000c0020080001070084040004080204200220010005811000a808408008c40212000040a08000100010400042000050350308858a00142048850642500308000502200040002f08900002040042202000100a1aa0004030800831a000100000400700812208200240200002800010448c00350000400500810010208410450902c0814041a100402002140b08a40308418818c02910000842018810002048100840142100e00940048800000a0000201004040000010015000290</t>
  </si>
  <si>
    <t>A35637_0704_034000281020a000140400d02618040300218640208012002800842100600008000200010200340440800500200800000a5a300400402008500000800018400140200040142808000400018c12100008900418200540442010108800000300400242110242842000410a40c50002000808000000a02a02050442200002300800e08440408010600408040400050800210040508010000840400208148508c00008000e00312042c0024001a410800000200410100200100600012412618002600110800a00502110050a0014010801000020024044080000800a00210880285090000a21824020820080000000000a042500010000400202112250408008018d40440010440200e4a20000280004061040810080210080a842040a08a00040000008810002900240000810200240010000c12e40000e08140040308018a02400502000300808a1040041000a14005800015a008040c00000000010058042000040040400210600810c0000800041a018100002110440812008900842818400640052240110402800040008802000100650002800408100102000100858052302008242d0</t>
  </si>
  <si>
    <t>A35637_0705_0d1085000020000a20800095204010020a14000001804844011094024060241085280a412000a00002008208248050742040100800000010100000000458000040200840100102408100e0020051000000221000090000a800048002012118440018800848010300500640058000908812100a1040a010410248240248200400802040208042000300910402d4004820240870824084201240aa0010240884a058000140848000000000808502500a48200000358600440040012200408808040042800000610100140010c00100002108008802000012802a00100208248000110400808300400550002102040a40540900a0a00844250001041080061060200290201820a308042450402008140300000008640c00400a12000600000418840040012018200608450000240008018800108a58100002140308008802010c00448348210400040242002002a0000021840040294044005a040808050810002400008408018100200042940940150c00b0044a000008918058700100840100c0200000a40000820804000231000220041080004224080860040060080204234030010000</t>
  </si>
  <si>
    <t>A35637_0706_811280080020014064a11081200a400000000250410812008810c42a40412c00a08000850042002458500908002000808008202010200842000042008010a00310240840a0001a00820040a440500100800000800100240400002910040c0040ac5010210014001a200600600840100008000a00048810c50042248002400610608100648110048008a02010100148850400e18040002040000202200a18140800010400a0200000860021000094a018502818008048050a00800200210010018500200848442a00200442000100002400410300008142448002010200202212002202800010100c0200084000810011080040060ac50302200350800000042c00000200200c00000808810608000100400808c00800940100518100050e48110502900650110010040540802018008000048418000d0290820011015a20800040010004000001005014044aa08440208010e1200280080a300600250000812402000108010002c02800600a50140100000000410c00200200f1020001204224000010a200100042500000808400010c1001a40020010000291800800810024820005821</t>
  </si>
  <si>
    <t>A35637_0707_020084254090024044011080000245214000a410010000000040502100250818218640150400108008200540008402202112048000a5241015040205821a108840208400c0201000000010220880000820240011804004080054010a700210b48010000242008402400010200052a4000201050090a84200200020840ae0881001001250220201841000a44000080024234080000a000440040a1020000035800815000800030880080261084010820820001000040a900140b5210090010a00004060280a210208510840402508000000010c00050000802000550508108200800042302400010d40c0241010814010000031a80044010820010051000285090020000240a200708040010300200600308010252100a00002000d0005001a00000210a11001000040010200080011000880000a04080000864a110140402000140900400900e0040001040081224000024060240020281a200410440010810e0020024000090280080050204a402200000c0044210a140240800340258c1020201854080861aa52812408210202800302008810040a50002c1021240201000210000080</t>
  </si>
  <si>
    <t>A35637_0708_8002000800740050510200400400100100302010000908848110208902202000208208442940000012000140402d40a00010008418858a4041010014a00001041221890200000055040824200841280080a44010010001a010048008010500850810500300012000008c02000d10000052408a08408400110100200202010c0000011024020014090814804a410600000012c1840800800290800224040820a01000260201024211000884000200220000200000804054250a01001041800020000080080234080014004ac02e0a008540010440c00010100200202c1004020a042440200410008808400050200212302208000212d10000a02502018940840042c08002610000200000050240200400600502018902102800100200042000400000058112000218c18400400818408810040600900800002000a0864004280040004a200110a4040881000281220020060004000204085001000040a852800148048000100052c10002e40108612100e12408002142010400210b18200942008b4020810810801200010800020240084201844000210210a110802040000c00b0870840</t>
  </si>
  <si>
    <t>A35637_0709_0610010d00900202410408000010942008300048d0820000204080081004820004064210200a000400418a48400800908008110200c10200410448a0801000044004854000010041021000040a840a0004040040000000095010220004090821001040204834200000000a81000264200031080044084a00040010011800810a84080000020000000060201040014084020000804021245010a20220080810085a000840a50002000d00200012808848040210c5240a412002008140300a10842010848200208100a00402900c02200008400248000410008008450200500400000300240442408108240040140010008000018840110602240148100012810000e08948010810c10018110002802202400002010000008808600410900850110400802012900008a00100600040050210800800100002812040010408000c02908100040a0030004001220800040071000005080094024a44000000080281020020004800861020040224221804090001241240000010804010845000a000042900000100800002100a02008410410802a50000d00242000200202040042c4005830010</t>
  </si>
  <si>
    <t>A35637_0710_0008c42c00a08300250100040450040e02040400808b1820200250a042418400808a00802500052048018300e00102840300340408808242100008210218000550c10400800240008400010200152002250002a1020004805064081060091010000090250010211a80081a400110140808002100848808402200058400018902008142500008540c18010252040608000000810308800800840040040808142250000202208200008000000400242000218000d0080010000a04834001840a450810102000102400b00402852402210058900450e00000008300002208202602002048800200800008c08100b0800044200880001a10060ab40100a00058042c40200218402000200048400002200102010300400052242308018308600800002000110000000250012150200000000400218040150042042002008840000810400212308900d48202812040040308000a40200050402000200a00518e0295210000a00201000240884060091010801814080084040004040290000a010040900000150408418808412240908218000008040940808100302108100a1a04060820021200</t>
  </si>
  <si>
    <t>A35637_0711_001045280010a102100b1070a200850102242440018810402500c4880200aa00800a02400840002440f1000004a540940852200000240810810700040240808000c40840208008010a00c0005040244000010a01014280a140102110208900648052010440248048818002010c0044004201800044820004080004010000000a040000508818442a10408600800c00848110100158040050600000400610248002000108000058408002040902400040100408948e40002100a0000020000aa08000f02050002400008012010802a08010f00a12800c4200811240ac08342000000000850102a00810408000840000300e18800058102902848400618048440000800800018810000008000a0810024060874040a000000318050000700400510202248340108912a0040230001014890040040800200080810040800005801000010851000001280080220001045a10081040280014a208040000418208800408310008200e4044090044285024011041804010044000200220815885000040001230241080004881010220800010830a80280010090024001020801844024000011890</t>
  </si>
  <si>
    <t>A35637_0712_0a18000502208208058000042402c0040001010030054020a812800110608010402a02940c42102302610c00208002140000400200142002140008042140408010010000008908000008448c1001090014041040024044055034020000a11885080005000081000841091200040004801000a100200218400808810202000248a40d40d00110000900a00a4210220a002400508a0000290010015215a800000248c00c00042208e0000a00004044001000a300900812010400008350100d48412450a4280a550400d0040045000010204050830040200090800040860080220000000010004a210000200800040310008208140018440000000050900a4881010080201200280075000010020224800820840a41241080200220841004000a800508000310508440810100c08300518000600a00100100842300600000002000a4a208218200042408d00108148002800302040c40400812000710818810000b40300212a00008010050102800358308002018110242300418010d5021080000a10215800884820a01080001201081000044004020200a040a10800800d0070004020020</t>
  </si>
  <si>
    <t>A35637_0713_0312048042c0a902002c00200002812000a40200200508818450400018000e0004a000012500058142400110640540848100242000002802d0030080260800090000a00200201014a910a4000a440140a00012c08c00000140940040118408100000840840202042008048a0040070080800080015804a140408040040008040400910008208010200410000840802000200008042e1840004225041820030081000050200205020050a608442400308010a00518a4005020810040280801000a000408248040d0040200090000a200210000042440050148240350110008040800440208300000f4a000512402002012018800042040842812448100200408502702858008810002e40802200a02058100500000500408108108200012200c02802018408000200010010000200012110442408450008208200000a02600450002140400008c02e1005020021a408c00100800010200300000a00808012040a0000a000300008a02812a00800410400608018102800018440d0010a010000202000000600200000540c0021201801845084094050200074060840a800000c0810021040</t>
  </si>
  <si>
    <t>A35637_0714_090220091000811800060880800800050280020ac10942010042b0a248508b00800c42000b40842012000418400052200058002918100000000900240410200818002110800100408910012002c1000284840a200800608100c0a240710000000258010700210600000408240000840012508008740010010800800200300c00400940142110000008800a4000044204204800080ae00000d08800000900202412000202058700608a08a42002200150442310902048040008348102408248852012200840110a0000041040010800214261844284a010c00810410800008008010200300508408210402400000802058500010400100440810508a00402a4081080a04020a000d0244080000800a15880801044800020091041080014000000080284841820000a002000c00000042000802210002000152440100308000000608000040a1054a000850b0000005000844001a00020220874041810080001010021000ae0800205844280021020280020804210020020261a10800081200240024a05800824a240100c0804005000000800084204081820211031005840060030874020</t>
  </si>
  <si>
    <t>A35637_0715_800020884000a310002c00010418000800050110408148848040102002140000d02040000208100040808c1080004030a800210d0020001a040900002012000440208040100000212000800600110040b4005001004a400400048118200000310808400200200442108010c0080210020000810890800004044a102000000210e08000c00210010e00100c00412000000408100940000440800148700108600010040142a00202200212412002508000300800a40000110a4000260271085085251034000040200880020a150000150000800510400102942040000018800818d02008000200008200000040200818052310500a4000240000a008208058600012402800208000100202100002248000c10040e0ac40100210240110052208400042100402a00208018002800212040908818442102300000600b00650048150002000010310010e00000208202018100058802142200150708800142010442308a0a000d0030061844244a80224841010800a102240900100100008840c00c0020250000020080081090890010aa0084001881204a840000810500a4000280200820000</t>
  </si>
  <si>
    <t>A35637_0716_0410202802540040402900850000000148010610100500000950000810040110218412840800900700310810208000402a4200071000280000064215a00040040041004240081000810080004281220a10204840800080840010030200091084260080050000021020800a00a00070200801000001041250000820235080010ac4850090091a050200400408c5000000824000010a45a442000110240200800808410140110440110200448800208950152c1840000a10010020224000811a040902040108218400250000c10008010212d1820820054240021060010870800000060004004a000102042800408208202010c00042000800800310400050000812048108018210802402942d00310000900a48002c50502240100000008c08040840000400c00402218902400208200e00408010012202010148900400000510808308018208000242c02800802400000c4065001280a008218510008c50410000a00012b00000408100908810010000750c0040200a04800800880044014280214000a11081004a000202010008000108600400140a5004240074881080050221064020</t>
  </si>
  <si>
    <t>A35637_0717_0100010002200050102010012200810500040000a1081004a000c48202002c00e02800140b00208102008850040100000340508208900200440400100500c00100248c00800000402118200842800000000448018900610012500010002100102808400008012050018012248800400010140b0890280804200231830040014281045000a150208108608250102048110002500402042940040200602010842040100a0810040031084a000000c4210a50090004824800210224000820004000800000880850000001260244234801044850000820080030025a10200014a40044020080040040050a008812840012112010012e1a100248000248408640402140108310212400502000000c0800005a008d4860000000000844011870041041000000800091880084201284015041260081201040040000000030005000045244000a102000302008800702008000400200e48402202910210d08210050c0084a002440810e10212540108840002400012040912000002000000040840010040012218300042000110900b0064211030041200094a000000d00410200410a4000020210</t>
  </si>
  <si>
    <t>A35637_0718_0c08400040000810002e00100842010200152418400200840000702300250a0815000210030021011020804020084040a20001080811080000044a102010708608000040140100018310848450042c0204210010014884040030880804011070205011000880051011000800a002000910040300900000050d08008500008002008840208a4a00041080a80080210000800220040ac1010030230240000081281001064224860081080021215080010020a00060020040080a840610018008048040040008052208008c00c0014000810080045021055280800850061864024040230a95021200005080000040810010800890a440400508058058a00318410840102100240008650002402b4010050000020225a102008040300000102002000c00900048508a0065204044880000030054081a150040000112010100200802a0800204081084001251204080a01080821884090090280040200824240280080281000000004020084004200a000410002248800208340408808608852040440808400a00448000c4040004004000021000a050308050010010e0224800000014210020</t>
  </si>
  <si>
    <t>A35637_0719_8408040800000200010a08000a0200040834021a110040818400c40100600008010248902b4004241010800280a500000300002010200010040400a12518910910810100808a02100208252040900900000118400410800002440000040c08842010810008102040500808402010802310600800008c50850a02858140000c0040040024010834800801200214050080040020084084851000220804870010000084010004010221010060800044024204810030800000004aa1000080010025204050091000010885824000240200834a00004080091020200210ae10c10040900002102400100600010010848242008800500210002600040500900d1240a11020010801011001040200000030a20201011240a01000014040241821020044040a008000000c02210100302108500410040450100c00208300400a12a10942240000000818400c18c0080225004010041840004000005020210834080a04080000011a808912840c0060010a010110948000010408900052000a0800000024220000a100602000c00200240200708202000c42300900048100c1805800210800000201</t>
  </si>
  <si>
    <t>A35637_0720_0400402410000202058808118008140e0004831080060221010064200200090080844810040080200220804004080200800a058200100210010100800340210040802100f02140300600800c00902200908010008548000012100940040e00010012440108308442800412000000000908240808300e50840000810440a0081200004260024014010060200000014810820a71080801ac12d00210300010102008810542002608c1081080250010000000a008450c00040200910450108b40000800800a1021010800240804050204824001031000880020a84a050f10000210000002a0000a600012608000200000208a0020200000000031a002810d0020041050005a10000004240804004805000001020a000000200202552600040812100000100218800400250010100102240110200002400140a18012108008402140002a4054010830800040020080040a21011a24084004a000240408450010002802802208800a00a00100000108018d0025220004070001005a40020860810010200010220080084a84230080014280085200080040800024280000a00a04020a10065011</t>
  </si>
  <si>
    <t>A35637_0721_880000a000000000418210e12000410002008400118850c0004060010240000070001084000a000412000050440000400a02000200f0a040800240012000c08c52c00c1004085a200c00400400c4004005060850024001a800302000548800d08002910040008002a00c00810040148848300110100042950a48850400100e02000000000840100010000008c0004024011860011040840000294225840024044a052200800410000140840842800100450010842210400d0201a000410000608012800800200200802002802842810110008000800002400b48500900100a1a040000010042d08040400c50040152212410212042010508108148500000410002002300012200418410000f08042400c00100802800802802200c08008008102400042002818042008040540002002208200042c40c4000051081840020011200001841a21001840000040010014a00010024011064091000031094040080080a042410400802000040b0a008708800b08848442102310452300400000000400110208608410408002202b0075020045021801080814004040004020811000205a00240</t>
  </si>
  <si>
    <t>A35637_0722_0242000900d0021200a018302852140940a0800030000000040054000210881884001000200a000142508518c00140340008000408840c00802a0014014011014a048410000b0000051080820080200024824000811a01015014200005020081a040000000000640410f10000000908112002000402008040142000608c00008800040102242200000c4004080024894010880020824040210210200010004000284080004244a00884084080260a200000110308e02800200158110c0000081050080824050001810a850002c40100408000f0021081200005004090000040804034a008210810402640400108100402000a00040900648212440400400612010200800002108800800112f02108002000250648d0000000805200021080a510a0810800010010880280024005015200001800044090aa0a212018540c00000442102200000150a4000280010a41000080281a01000804004000004041844050011021050884860080014a20000010881a450100008008048208a4081a10214885050020800000201020280840811014805000230020000a610240010010140200040d1</t>
  </si>
  <si>
    <t>A35637_0723_0002e40440040802000810000a10502e02910540a08000040d0020224041200054040841024210a00271005001a012840100108908d02a1a10044205a218400800002410040000200008108052402302108040600108040810000800440208050008040000310400900800258040302000448000008040140640910102c00700418002000000010008818018002840310252410410200940000040000100600400100000812510618800400050208042018118940600102c40842408008400002100002050112a00240000040100248018100b08458510202908002000202808002240058108010408c40040a00112000800202c4a000c00200250900850008540002208400008012010c10608948012118010000100c00000410a0040021800210084a042908400002d00600200200100008e4804040010825001021024a102848010010508240810842002910200800048010000002008010a00012e00800002000440610118a0051004010240000805a810002c00150010d1000201804010004835a20081005000000020210a800100400902008058210910000450c00100000402a0</t>
  </si>
  <si>
    <t>A35637_0724_0510048542000910040018818802400000052008408710040410a00858100818200448000048000040b0010025000014030804081000861204010010820040880221880000024050000040220000024004010000080a04284280881000a400840a08110048a02410408100002012100000108818052648140c00102000100040a0284024220221810010040800250a90810a800010442412002000448000202608902340800250600202412d0004010a00820000004ac1080800014a01010020801084a108050b00002008010102000000618a00848812140000548300102010110500a00010000048c0041020a808052008400000500300a50200200412410012002010240408842018452148208002200310000400000050102000400600002102000100308400240412c08140108000e00800910202002140300000058042c0800000201014a00a01080820810000000081040004800200281020005040000000870200031040a000808340608000002418000002a00200100042800410300302000c00602210940d40010010800258c00c1020000004020020084280080a20004080</t>
  </si>
  <si>
    <t>A35637_0725_0240800c00f00a0024840005040800204080030a00830200a800408018740010000052002d0000241880004240a41284800840000011020040030000a60060060040a410000a0824840800280000010aa40002a00210050000a00000208200510808c10300000018a0014a208840a02040010c00200a00810a0211001830001800a002048840508900240050042200800100610000200810040048112a08400608500002050000800540800000040100240510010c02400400258600400208600400200912402d0001aa00500140058340808118402102040012200508212008050040040402818d10202c40300050012010800200442002250608818008000850f0820861200014821000080030a14000044040201210881a052200e00c0251010a050200608402048112002040000300100018000440148000100410210c00400300050600040410002800100400600010000400040248248108702010000842b0015a810258410140802a00200108400000010500800000e10418040c02d4820a000010948e4001200a800000618010008d00102952000000110c0201010024060840</t>
  </si>
  <si>
    <t>A35637_0726_0240000802500140040900302840500200808758200142250010800010000100a0200241004204040a10000221205004030805000881204814214015030290080884a012d08000340900018a4201060810a440818802002140840042700000600600842048a1a400500110050440600210002010100608400208800412000800200902c08840048008040842c00802808308200000248000c00000500118a42000000008800140210400600c00040250008c0000ac18812000842010410010c5050240080a54001054000a14204a100102a10000000000800148402000048012c10d0200040800830264881034200040a10001084880000080840840821061a800300900100800148800040002010002108052800440600112018610040650900002000110400202e0080010200040031091860001060004011a008308058402008000402900210008400108a5200220070000215040034014021004840800040800805200041a808100000240008018058400c02a4020030080020a242810442118240000410002140100048010110c48002500008000018000e0200085000084a000a1</t>
  </si>
  <si>
    <t>A35637_0727_0800652400208102748808100600040800808610800508000842948340002508840850910008108600800a18e4201040001014a000000450902842000242000200040010500002000d00402002910a4010040a410d10400440a4224830ad00250408100800010008c1004000a102c4020040000041800050260020824211080ac0810200000220290001040a00004a808248200c4200040290001044a00080220201004204014000000281804020024045200840285844000010850040831200080020a000200c10c0200205000080004000044804000050094001200014040001204a240140118802800902800100052200048c0010240214200011091004001010225844070091084200080004000091000000241240a202100100208a08000040240442210008010840100100610200802812042800000612d1010001a85060080020a010402410000100100100608c00810140d08000048600810050c1000034030a80801000841080200050081815040205210081004200040000004200011040a30001a210840508042400210810000040102902000000402042000c4000820810</t>
  </si>
  <si>
    <t>A35637_0728_0b0824011080a21000a51080000084080010800a400e5045205200220030000810065811014004200a60804280201000030060090840ae02110940842400e0800004000084280a00001021805080220081024811024224a000100802410c0050064800004010001221050004000230000861030050004254000010200000874001001080801a000010800208800c0291040290094a200050402000248408c02800d00a40808200008200a00102248008500510850408012108310042008202000000502000002400010808410200a4000860000001054294aa52550008300000050400800608e00018810002400240400000152000010a0020004820060000211000a81010a800300042000000842340208108c1080050000811a00010040040000a000650108400240012b40240010308402010042308810000110918408012042840142a0041885010010880240001040000081000011011040024020000020001025800035080890080a80000880820004040290a14240080074004205040000840a208040042410448008010200150c40000448000200518800c0010294011021840</t>
  </si>
  <si>
    <t>A35637_0729_0a5801a81020004000020001a00080200a100400110408610000000108140600642002140600000118000008010140e0024055080004200084080085a31800820020000090004021051034004a100c0000000240040800050204820000021001281011290881211200861800014004a900042300100802010c0011004001014000201040a200508010100018002348010002a08402a02100b0090a14000091000805200014020801800080a000c0294000821004001014010a30031a200402000800c40a10410400040040000900100102808808000050348012200608408a42042000840448210810000112400810100000350000442608100050b00810808000408250600000502448440142910040c00450a12402240048040408c40400800240208002000602018110008212200808200858050000002008418408600110400042202110040040410102000002200a18048d02200a48408100802012d12600000202108000418840242a48002a00112000900c0a212510000600200500300008240008240200100000000000000400800910400a0015220041820a01080031000070</t>
  </si>
  <si>
    <t>A35637_0730_020a442800a0aa02100808c10000010400848000200442448050608902200d08040c4014080000220a108c0001850250204840040004004081010a20001a000008840400802000002210200440102f02000100000210010850802202002500e4280800060081014a010200208010040840310900808040142040208008310802600812800000300100c4205845204885a200108600040440140018008210d12850000200110502108000612000540140010800100850c0080094011020840020811080000805090091a018810248208040508550812940800a0201291081824204200885040a00090820a002b40800200100440240d0084884a200800340e00400140002012d10e40808c00000010410608d42800100200318002400808c1884020000a002500a0200080020214004041004a21004004220a400200050840c10202100310418000010000702008202008000400842100110610008048a00000840842408800410800802000048110000610400002c0a040100808610000c1000a10000800090840240000020024880020040000250010040060080000000210a00045201</t>
  </si>
  <si>
    <t>A35637_0731_0302840000040000508c08800858000248040218108c00402510042108008508012040442000150302e00440218000200a0870080014080051010820a01020800005804220000054230090004001200200040200820284081010a010040a08100002402600108008000402000c0040a80261000060020a800000208400900558a40810002108200000210808050740000240000c42002000448912010508808c0204010a200010018902000002140242200210e1200805030000070000010840004020221a012408450050502a00900108200a48840842400058000400612000502500900212400350018900402802040008f0a040052002100550800a12000040240040058200208452100008140002e0820001200020024a600100c10010010248000110000218040000102848540108018242010142808008000e40000850002010408808850c0280044a012008d0001020844064000810000800805251010001275000041004a050008150300510d0080a410a40018208408840002100402240008000002800000c48008558200050002412040040640300810c0010204890824031</t>
  </si>
  <si>
    <t>A35637_0732_0000442900000802640510442010040800940140808148210040400102000c0031201084290a300410010110610c02240200200e0004001200060005a010018040c1001050001210240881a240c0210004001020070260001080000224800000804080280824030001041800000044014041020080880091000a348402000000810400008808000d0001000804210a20041221080a608000048200602200000212152240a08000000250000c5084810210ad0880000a500808a00250b0005000244000814240000800000284010a050600000100042002a00800308018040408010e0a90a710000040000040100a40010410300c02802008010700b00200048010100158400410000400000448212008008002040002102210000408610a50010840002110000c00002040240210000a18608008410802040002100000208100808a10410218408240400a0010011a208800800000c0204200220805880a81024a008008000440412012408008100310208c1000010a000512d10802400040a4004001000010a44a10010000235020001001050200001204000835040800000810025000</t>
  </si>
  <si>
    <t>A35637_0733_0a48240140d0a00000030890a84010040220a20200005a000d00808100100118850400000002818400408600800000102a10440110350042150300800302600a08400452148010012300b0004040060081a000208002608d10800202400800608010c10800308108000250000c10848808310200210210900400110100000440858142302000442600848610000408100240008900a02042400842100808040008002042242050100008c4a04060880000061020004200250081000a800412040140002008240410000000c50100008200008110800c00c0011861001060021800010221010010044000a81204215000a100840208150202048200000002a1000074034000a100000442000740852700418208200400a4224a600010108002c1010280020861004045804244000a04001000a010840000000450000200400140400110108200402012550600048642110902200110542800300000412000c00000900400010a0aa18010442a1831090094a000000140100042908a1001055210a008110010300648140008010000508308058900202b0000011801084a44024800244a80</t>
  </si>
  <si>
    <t>A35637_0734_0400800000100a4a508a08450000c10842a02440008000042102008010610c1865021004080000000a310a0000200050a042308108000240000040010208910042402800a0804820880010804a44084a00231001001040a840100350442000550810c02208840040408100208002008042040200e02418100502802058e00408808000442200440208908800500e02200110810b40010100600208000400240012810900112602000140848902008000102000148250000000802702100142448140800042000410400400000000a5a240610c0ac0210050081800a10001001244004a04040040010005890084291844060050064080200091230850050004800000830055a808810008550240a00000300010002d40500800410008008008042402a08210400010600002508000242108050050102608148052018b10040040002042010400108400040802100100400a50042000040000150910308008042040100502000200202000c00000210200452002402240212100000000e0851000000204050800001815080091010a808040000010108840508200410202d02a40a0a20a00</t>
  </si>
  <si>
    <t>A35637_0735_080201015220000044001090020a40004030040a200408c5200010295800811800a40281030a00a11000041a008800600800202200012418110c0001024000840004880004804a050900000012010302200300400800218542902100202600002800000100a00200108c5801010050010004880060880a100202048002e00000808840240000012010540000440c0024014a80801200805060020201000020804880014a300010000210000552e02010700600d18a48852040100102d0064001011060020834800800021000210004270280010801204200201010000050221200000090a052a08c12612002008058002000458040150002810010210042000400302108042410008840440100a10508400200248102008b00618008108210802800010640b00510040042840048000118150200810b02a58000208000240402840100108208002600000000808408800002c0090050000a45a300042210000400010050600200000510a0091a002300008042510300248142000812c0085000800014890000ac40100800940150c0000a840810002a1200020814001085040024041000</t>
  </si>
  <si>
    <t>A35637_0736_0800010040000900200a10408012042148a12110000b0aa00040408a5801a200058402000040042248200c02a02002400102500600e00c0854000800000a100c10012040300158408800200000010200b08410310e0840000044004044061030a840012a0210000880000200204060020050001081080811080010a008810400200510948042308000100600952042002402310110400d00600000458000252042410300018100400710600102800108258100100810c0020a040208000808800050140200048c10900000c40a48150000200112442000042000210800400a02400000110102100e00c1010034201021000820004a10080810000030014000a00010005201240841a600812c0010865090095204210020010040080865860210080a10040a200218010000200800108010248e40c4070011200a200a0200840084090a51000044284a01054200a000000302a0801220020814010851080280084085224000041a00010200030020ac0034845280010200200201041a25010020884815831004085241000284040221080800004090811220250011840801040881800230</t>
  </si>
  <si>
    <t>A35637_0737_8250a0a040548018112000e10640502a08a4020001021000810080200a108208110848100002202158408502402850800210000600c00400852140000608608342a00840002040140000d00002000200a0a60000890a440040800040010110400242010008202600608058002842802058100e00102610c1260010a00001031845004220030004880030061a802000008108000040240000802042450108110200840008808200c0061001a402040240000100902440102000048412600c00200000d40000742808050402040840102512500000408100040940002708218002040008100008e00010412040108842040000908008540000100010000412008000242000618008012a0845220820a440908000200040e08212150000848240800008000118000242a00900402800000100400002112a00108000000300048540c4880820041004080000020030060a00081204a000200248400010810812000040a48508810002c4810034080011ac00010200000440908218008000000802240042018818812000c40d4880a248018010202900008b0040091060800094014800014001</t>
  </si>
  <si>
    <t>A35637_0738_000a212510000208612008a00442402008810300300510240412248142218618340802042c0a14064001090240000050800815200021a61004004221000080010a01090044080800010804084880080004010a418200008000442200012410040240c5040080220080034044001014aa42110000050800002148b0200a000700200000500042110810450c00c4220204000830831a000c12000008008500b10402c1060a01014021050261000200084040aa10202008c10c40208100a00418858000248052202000400000110100000140a0040040804000a100610000c08842100c0024020200054005010214000040020051001004044a110040900000808502a4001001a510000000902308340402b00052a52c4050820044a200000040440a42012018010102e10400802902040808842002000000142418000012012c40340000348908002002500140200000d10a02442000040a0240a90041081280200800050a118202e00440a0a002440008410008842142b10002000140008540d00250300800202a1080200a802440200210050102008a1a40880000044000240080044020</t>
  </si>
  <si>
    <t>A35637_0739_084824000060801220010054260800000a800218110000408410000852412600202a08002240000000300118a10400808802100800900002100000900040d10040840000840800002208240810110d02008102618100808010000a00102200910040500848008400010108802900240008010800040008040242002018800912200440508048000000012440002002840018500100000010602240410008102c0010000804061a100a12a10410000050052708610002112142b5a00000870041080000815014a010948850802600000002610400008140208300308a0800001a040802000400a0004225004240831200001084220040000001801001804061280214281011021824800004050004a042300d4220000220000810011010200a01000005a000000248a0a44000034220060041840a01200230010a800018e0a800140052000610108018440000040500818100000000140810018d0800005040020a300012100c40a02150402000218c0044a008842c00940110410a00048810640210242200040242400200040142110100600012d02000010000a00a0880210004200011</t>
  </si>
  <si>
    <t>A35637_0740_8200408900008048000708a40208012040902442610200818840440208010c0855061040000020a650a0000a00a80204800020250004241004044001015240000a01245080010031000050201211000220a008a0800a410412400208010818200c4a040540808200800210a0010224a100400018a00812800000850002010000048400642140010000a10600500008010000e00442002042902a02500200840018002008008600800710210410900002102600002048110048000000908008002800240040048200050c1010084084040a200900208412240010200600318208000140000640500b00848050502008400a10008808840448218000010100a0090220aa1a50040000a802812102002140a00440008800800352008c0034260050010021a208010c10000850408250212800648a02802140250200508900010402340000042110202008040142942440208a10002510002a02400610802002d40202010408218808240400008900150000000000002e02300250c08048c42102d0030004880065a000850002002100110100008c00140108008908e4024040000a20201000</t>
  </si>
  <si>
    <t>A35637_0741_8300852140008212010100012800002000100448800208610402000150150800b00240800040000602700152400000208300242000a1045040000234010811001a20040010030830840040840810030221014890010080041004801840040820060044000001a000308602002800502810002010c02240810808858100a00000402112a40000618100200048110002108540900240000000002000452000c10018052002110000a00100840010640240540210a02810842140010400008458400550200808250800110818800800040002008152408040948008200400042610802408b02218400100640100a02a12050008840000100c08000012000602202502048010300200c50048d00200840440410108452442000010000b1010280000230024000ac00c0200000004000025200040a01281270030814000080084000000810030a800a5000a010a48008058500018210800102002602a0000045805040a200608408818400102508000412200148a58002d00808400800608400c10108002040108000040012400918002100802000000000042400100400850042542b4804040</t>
  </si>
  <si>
    <t>A35637_0742_050a20a840f4020010010094000801080a31000091821000801020031a04ae00200002010040002008a1864064210094200a00ad0051a800100540a00000800008000110702858202c0020084244014280844060061000840260ab1004880010020000000000a00a100300800800300000000410002a18c0024280a448000048010040000040018000450400800102318202000e1801a810848000000200e08010152400000048f08400400110c00b40000918200200440d4004050241044004050200001020200824004844000aa0010a008308000402342a00000000100800042040310148010410240402a0000260810880800800244001235241890280800060880a250310e0801a002040a0070a40040800280200000061000810220081094804805201851aa00050300010000a10000448000a02942000500040840440a02948242300808a4000000011000200081065094040a20041ac00100240002700202200500718000400c00348118008400a02000a00a42318410000000800100102208010d00000100042000600d08400a4090280000a00a010200008012a0011044010</t>
  </si>
  <si>
    <t>A35637_0743_8400000800002040012000100452510008848000218952000802002b00000910e0000850030084241ae10148850950c02000210200202000400c00050018808012210000940008040a00010002000000010110b10648212112400058408208400400402308148000108340c40512c0094220081850004080084811800a000902002000d0810004050820001804030804a400f1000860804020085040a20015040200080000000820004000000000014251051800001201020001a10860080840854080830040001004a04a01000a810442610050840002000040548a18440a1000060001820040881000a812202012040110040800802c00808440010208e10412400818010810e02208000100148718000140600150040908000000002a02900008142148008c12c02000100b0000020080001a400508a02400300c0a048100000252000c1885025010064820a008000102602010b0a800042000050808140800302050010002c1254000020064061031280845200014805040061000840220200a158400008a40d02802010600b0014800201020a208200000112002d10b0230010201</t>
  </si>
  <si>
    <t>A35637_0744_081a452400040312200100748818842402000540500002250000840240118200002850500742002012400c0824085210810820a100818400840902110002210200a02800000200508210200210c40708800000000108a0a00240081000000040021240080205a000408842408000408002300e10c08408010142240000000840040100842a0a740400900040500208200248800c00408000100110242b00048000010108200002010402048940e00a00600808008008400442002058c00110250042802018242400540450100500800118000418a1055020a000618000d02800010648010100008000042d0004a040208010202402010440a4041a800900000c00008048508000448042042100058400100200000002240248048100910000012608a1050810085021245070000a400800008840040840000200c08302400900400800500d0030284a500000002410900200008d0040001001a200002012812902242108108508442002300812100500540050000008b02600010800058100840100100000f4800800230014024020014a842502802800102808b1064000024025844a10</t>
  </si>
  <si>
    <t>A35637_0745_0018000900148200150a00008840400840102340d0040800a010a00050000800c02400900a0890801290024000005014811200a300240000800000800010108000c00000200842402100400408442842108000100710e48800800142048300008800900100010048010308e08010200250008000010440402808340240a10610a0080050020850080004a002050000200100500640410110402800240a08808000040440940012008600250002140800600518118050c10b00a0240010021004200254001a40021081084244280a018210510a00c00102e00848100400300400810240a40158300c02400100402840600400008008440400000108200a0200245000010800090011001091020081000000840840a00004a25001aa00008052000c0804200000801800290040010001000020821004200800221041000880814000001800030040040800200200000a80010a01004200200815a500a02208900f08810242600012000400440a12248800b00812910002142040010c00a0a000840010012008010602400148242100018208a02050540218000518008800900a4010204000</t>
  </si>
  <si>
    <t>A35637_0746_0012010040d4a142010808510048440000a00400000908040450a00800540000808a02010200010000c00200858402200302012a08402010450002018418000008800000402008340518242818000840000018100640618410448100000400002810000640010048408402c0080004000000220801ae00100608102100418948000000a4081000050084080240050884800040814004280020280850001040a400c00400012540400240800440002002000d0020005010204a300008000910602c40008018058600812042842900142110800c00e42000000200310000c0204040204000a15010005a00040010810825040800044804280085020241011000014010000020090000245080000014241860001021050084234214000840805010284090860800004200000004010024201885000040044281004a400448008000900a0001220050020011210a000412510858800d12c0004821021001000a100202040600200040048c02102240648010f4200081040001804050021821a04030a010012410e0801000010014044aa00200042000d40802248a00c4204045020230060800</t>
  </si>
  <si>
    <t>A35637_0747_0152002000502b52000010c18200800848102702c00040200000008010012910448c02800040140050018908452040a00800140200148008910a00800058318900012000000108200400040802402500010510a00100008040808000008200100e00402000810100408600800010200008100000010018840200140000208e50658440808102600a0004820001004281a20240014825040014000a00201881881255024081024010000080000090000200801801040241040a040440008108c42800042940010000402600c0200000861060000204280014020a210900700000c00002200218408012a00000800140210010812208012040000400818b00000002c4024240a210052200500408b0841811805004210054080a100010800208002100058018518208402400d08200008908008218800002910110310900840400202058402000542a00150040002008800010010910202102540010000818850100042240300402218402408240002c00700810140808008240300d1001000200890020020040ac40040302140202500210240000340040058018000040010a00240100c0</t>
  </si>
  <si>
    <t>A35637_0748_8818008c4210295214a400100840402000200008e1061020000040220044020801a800110208012408400200002510040812018700052050002808300208c1880064290000021214280014040041210814830220024284004000001271000090040080010000064220000005280220015000010004084041060020a500800000000900002018112608548010940500800400000800a5015024010820850004001840014834010810000804000080820220840024204a950002000048008000242110000200508200d0000840040880201290004800005004814040050800a008800800240300000b02008042000342002610010000102c00302158010058008000800000650900040a1285004004040800061220804054a900302800000410000400210400800100c08000a08240142a00518240900908000542308310c40000100858012808800400802200810010410d00000402008a0060a30000a802000402010400100218210802a00252400a1020000000010001210020041280a802048150002000440002440040000208700800000d0200284050281014241810010824021001</t>
  </si>
  <si>
    <t>A35637_0749_0812200110c48002640800418200100000018142908b00242150802010042000200408d00100110348218012c4881200020841890010085800000004020000020a608012940000240400b4000004004011a00000080021284010810a300100a0a04a00040001061a100002012000702000212410408010110400208300810900000040e08008400500a50040850100312000000000848140208108400200010602442602850540010000808440d00000000808600652110202900410500002008d50002158642810000a00000c0a040000000008210440008950000010d00600012400848100000012050800200840210800012e4010000084a002208110800800242b02202010c4a400040b00000142000248052800000800452000010008002800300100808450042410502002508000a50848010240002100810200200010c4824010801840a40010210004000a500008410800e4001034a30080a402810040a4a312010908240040608002000500000008840242142200408000440140c08100408218902808800400000002010c1000804000004810800014a00880030001001000</t>
  </si>
  <si>
    <t>A35637_0750_0048a4a102c02000158100112400000200000050308840202800402142300808000600002602248210000048240400440000102110000018012a42000540000340208400000200400608b1285011040081800a508240048042008210008200600010140a40100442000018052840202800710408c10010040a0a018402010340800850840810000000200000c00900042118208e0000090000885a102300510c02902400902000200150c00400608008040210a4804004210aa00640200c02010c0010a000400100312410400042808000010212458c0000091030001824245801240230241020824a002010402240000018000018110440010210018010048c50400850018800008a40100a40208000d1040001000084004214881810004010050a040100610458000c5000090005260090085041200080040821000041001000a21a002a00900a08040500008208200548c0a800142012200000408202012408010202000910c0080010004220040004a00850000a002000808040000000900a00010000540210100b08308110008200200002242010012000140002400b0825004801</t>
  </si>
  <si>
    <t>A35637_0751_0a40010400008a0850841001240045050a85200a400b00040802808b0215060004040010054000231860011080a802000008002008300200410000300100910c00618c02008042100118000052140040050008008010000100248840600800400252000000042000a1040004841030220220001020200284200010040a100040418400040010400800100a00540800200018000000848002100108218608540240800802140208010400800d50000848002c10048200000c40250502508800048802100810012800402c4081044830240810000a010110642010040410a40048050300100210000802000410e00008000000200410c0020a040402110800210800a0210220001810020054200220a108008402240400000240010018612002840008900250910402052012800210410100700040040102008400710518000400a00008208100812000402248848040600008c0041000025004020801080211020024020010000081a000040842000010810a00c40402000408800000000140200a1a71000820820a50000001001200830040884084010a04a90000021250200280011030</t>
  </si>
  <si>
    <t>A35637_0752_084864005200a002050800802c02110448240208810b0000844200014010000081880ac02300140208008452c02010002000402a00800052000108840540200200800942000152012600000200050f00000008800412a02040440048500400050018900e00200310118a40200040148202600000400c0800270225251000001244051210000804001001a24a002108002040708e40200900800042010018940440042c08000008b00848400402048110040100010a50c00102100012408402818040540100008200008040100402212402818040002100002308148608010042010902912100008202000000400208142100808810912508208640808050200002200800000918c0804004080081860010004240ac02b02950008018902000000200240100800a00808040108010600200610008052400018000200058000440800250400010402c10800440010200c00842012110408842400710040608000008002558000d08a4001204010a01000814865840000805a21000000000080084ab0040821011000054040234804080014aa10800000208000210208400900c40048252c0</t>
  </si>
  <si>
    <t>A35637_0753_0000a00400040b08200100e0081200200200820a400140002800208208000408240010012042010300908100050140600058208010018002000448200000018800042050e40008102700848a48d00800202418008242010000c00958002800850c1881200200040241040841094024801000200034a402902100008100200408800400200000010010410412500000200340818008242940d08102608000042602840000250402e00000450002100800040308802600102440008000c10400842002000a00048418002408440b0a04040810094205080210084051000000221004224020010200010085240020001040860810005244200a10a408908d0020005070004024030080020204080011001a80080000010080a842000108800042100400000010300a50c0000000010014270000020084014a04a00041820a808850008000708110040002012140012110000402408000408042140200042042802c40902310800010008450040210008908000c00850808a08002010408408440448000002000500400810c0a250342010d0220041094094a002200e4000800024204210090</t>
  </si>
  <si>
    <t>A35637_0754_0000202102000a0a008210202800010a0020850050080a010810200800000900a0a000402740200702800010408810402100410200018210110200000308400400200910040000212408200040142402352418018900a1a140448000010018010812002a00042100a00040c1010010201001010064880801004800820860020205000220811034801880020a000500240440000600e18c0020a010240808740018452200902000500f00840000008042000800d50c10900800a12040a0041260800000020211a80800220001224285000280004801011014814064001831a20000200811260010015000200230010a41210010800294030200040a010000e40410048810110310812648000200018248400500040440000000510d00818012812402240040400f0001801000820805081821201055200800000201040204214220a00000061800ae50100308000040208440258000d0015020220071040800000805000a510242818402d02010400408340000002400308118000200800142002210200000308000012602108100100600200c0024220214810000220000000a10821020</t>
  </si>
  <si>
    <t>A35637_0755_040a40084000200020ac0830004080010001034201891a002510440b0a40021074045200010a000142408048a0a040048102008100d08050852400210000018800200c0240021a010810102400000c4a008258200318812802800212000108142a0010000a048200400800c0010024084a002818050240400402340400d0860020014080024020a510440610410e00000412000050818110300902042c10018200000200012200400808c1a00030281030280884a44a400200008018800508210000300308218800102400512040800208c08000208842c02008210008000000100c0295010a00004a40000050a200218300408042150600000002408940440000e0830044800004201a400800150440410948802000008008600200c18402140908200502a00902e0004060015240a810900848802b00902000400200a1050004090231840010a000052002208012018e02000140848a10202400012448810840000402c1074000210080021a10221000004081000004245a10010084800204005824010010084200000281040000060244004200215000820085a61800040011001280</t>
  </si>
  <si>
    <t>A35637_0756_000280040034894021000041240210034021040000000284010000201064200825020a01030a20010211041020201084200001a210200650012048200450000800802010d0080000811061801804000000a140000940040c0020080a242500840000d02c0a918208010200e4a01004805a100810108000c0000a30010001040801084274210004080801000890224000050090010040200000014034081001004a100140810310400c02818000008000418700d0880041220004800a008308008442a00140100008200202000240202210500350800100300008140208a0005241010a842000600400040042a02140042018012048100000000040e00a0081015000000a418100b40002400000040000908010052000040002012d1020081804004005200861890040001054034240001041244040004800a350908500a08042100200400008512400000200848740408008e40000002018448000318840c0044084041000025001201200000030000824880a940200108002500512e10400e08002040d00e08012c0044080010001044000000010221821260005040051004800255200</t>
  </si>
  <si>
    <t>A35637_0757_820040a11030004020220000080a902202340240718052c0004080800844010015804204040020a11000020220000214a010048008100800450242112600c08210040c40e00340018018810c00050d00002308118208000810408840010c10202640010802218510b0804041041214004a240010c00002052040048040c00050442800802010002418e10008102500010440f0081000000024005000891000840000094880221a800112050840840212118a08c52008410640200312900842608000f00000008518010008c42100900418000d08200110400002050300852a00400800008240908040812100008000200c18b00e0800214290240821001040200000004004850015020000220000a052500e1021004000880240ac00010408100702b00000900640a4040004000825090880001a840340018010210610200102040240002d00140808902e02000400810408200402148208002b08200800542000800140108018a00002900050048400412018c0280221800010024800884000a940102500b02210000408300000000258000542040108310200608042000008102700c1</t>
  </si>
  <si>
    <t>A35637_0758_881041a01024a10004a30080a050010502340400318040218050d00a4240000090220001000010055800810a25850270881a040010010840500802002008110450800002e08200208610000240802308900050910502810800848b10000818108442050900800108400010000400000000052800900200450208058242300000002d0054020000a008000810800d0804201860805044240060090021290054820844000214810020010020085080005824000080044801240a00820a200040410440602000410810118000c00e0000204040044a00a102400008100208600800000440200450400142812000040b42108d10202010440000300212208542418002142810010018500812c0010084a008000c08050000502810000910a00000540208200402210000808812000850102c10a1000000000034001040011045814204000064a410000040802000108440a00f10242410802008608008c0020804084800000080021044210000095200081040881001200220800031041000000030810055290895800a112008042412c00000248800240240048100850c0201060200004040</t>
  </si>
  <si>
    <t>A35637_0759_004201000060230804220091205800004001021220030804044000030814080005000841244820a40050845060040044a002100208240200040000a1201220804800a900200802242a0814040200204000814000084041241284281800040010000005234800021a100400048540800258000e1810024204060814a00081081040800020201254020865a00a040802002500200902a10002000102010000402018c4004080a010500240040050c0a010010900000258042108000408110008e40100200840550018e4aa00142002150000408000a40400002840408100302c42000c08b0010010000220a402000008142500208000000842208010200100808c00200800100a00202050040e0010001a410c4020845090a802200c10c4a012400000002210000c02010910200200000100010042102240b00050010408812002402840002a0020044284200805a20800860284091040005000840000001000240200804001040aa18002002000258600450e10410900200118000150008050242008240108300810150100800200500042402000002800410100a00e0800000000001090</t>
  </si>
  <si>
    <t>A35637_0760_8010202400000108010a10010410012c4084074040810024a95204801221070034804040220080040080880200245000005015060030280050080000a000008442a00002042a0255850020a808400008012000110400200850000308308e00c08640100008810000800808200010048200140800d0a042000e40800100010810000000000840500010008800110800118408400550050000f0a200500018810602040442018410010008200940940802440010452612c40400018550508840802100408042242808100000c00000008310800200010d4000000001a30050260800064800804000080081011020080020290810044010010810250040820080000210021004210060044a100c0004864a808858240000042040008010d02040c0000220030080030a600800140910410208318010000608042108800012800940002a12000100a0800810090080200a30040225000024284054010010000210000004000a21081080a000a00008002000b00400012148948050118e00018902000908148e10102008002200040450700000a48440b00108048e1000000240080021810020</t>
  </si>
  <si>
    <t>A35637_0761_0008050d02248200050818100608810908018010a08210408042002240002200542c4000000801220840011260200040080a252100100c42002208850000208000202900802040208300202010440600110548000100202400308002102000112800800300200002400008008042d40010418408410000500a00142002508800808040f02100108400850048042040010202110b02450910302000218f0000861080064024840001021045204080200800000800804a400000158210008110c0840200084824030014a40800040084004a200102808800708008010800410842412202808210008e02812400000140340010c12018010440902010c00c4000200050084000020044880200220000010880800001011290804a008018040402400208012042000618400400800a0801020001000215210a808502408000408840240810002500b1004090280a140110200042040940840010050c0030200001224034805880080001a410a0281800071040020a050400900200d00b0a840042040a40312c00000200000000302440000052002112a0001a00080070000000090081820200</t>
  </si>
  <si>
    <t>A35637_0762_004044890020030020240005080a80210001810a900c08440002202a0800800841004201230281010040081004a402840000400018402000500d40910012110048408c5000034051000824840810084880a400d10408810000300002608100400802100c40000600e08e00042000a0290065200044a000010402210200c08100248852508000000810200010142042008050000708c4044004000a048b0094004004000001030240074080844080000014a710202208c00400842010700000200150c40a08702c00040c10010a08248700200202a4810080214a402008400402500100a12442500a4a800000000040402810050858050100100000310510040100040902102a10240040c02a00002548100808040000008310008800700400000a0020800a200448000500808002710300148642800002000040e18c40a10810c0010a008a00402a00000000140240000900400400b4004004a00030801040080280044220081825a00260821200850070280080010800214220020045a100700a08108a00100a1800240020210000025000000004804220801880841041004200020251</t>
  </si>
  <si>
    <t>A35637_0763_814880800230080a008010150010000200800400000448802100340000100810400e00c00a00102018210a0004005090834830031005820204044a350000200010c40042000b50012208002458110140a1a64000080801090200020205a000400010040200008200010412210000400940118010000000000600050450100840000112e4010020001804880a50074084210220031000094010004805020875040a000a08908008400042c1800004001811021020000800004014004a000448002c10040100540700c4820081080000011010000040800004000810aa00000048152400b1020280040a810040642802500c0004221081000000201000034204805004a140002100850848052040212010200610c50140508a5004890820061000000aa00000700802e40400502002012210050200102040b02000808800802402040000510010200402000a4001815a00004060a000008042000a0040261214240005a30a910110050902240a4221000000a240500800000000110900042012340000218410440410c00308200140c0081285840074080844a00051061094010880015000</t>
  </si>
  <si>
    <t>A35637_0764_0302010410a0000025050001804014244000a34040060200800024a208018200c40042500c4a010302d10100c0080090201045000040884080090000005200830820800240000000040800880200204800201a600c00c10050f00000100b00852200800400112112210c0000044280000814000831880204280080204840805001800080801a10081070061250000a850048108a00000140140100000a08a0200a802008840240808502440802008a0010000004221200260205804240050080890200a000652008c1880041040824004211820085081010080000810080041800020a80044221040a200110940002308000700040100c4a30a102500010a0014000201021850860001a04040084040800010020090000024221070084820000224010000880830000800004a142050900940400150048018050200940010002100050100200a0280280010a010552600708200400508218002000442008000442802500200448040400c0200a300810140218050900308002c08810410410002100002800a0000201020220801891801004250000884855031860225011010204000050</t>
  </si>
  <si>
    <t>A35637_0765_0b0000280094084a000300050848000a02010508400340202c1254294a000200010800042800040200a00610e00500000200240900000808d0060030a40a908810010000a4290000000044801000000014201200804a84a140a4001000200800044040270004245011090200000200800045080005020200000030a042000848810900508a00000200008800010002808002810800040d0004824220001800220080210090060800000201001264a050600d00400200900908000042400200612102508850200d10d0004004274a252002110808842400d00a08010000c10210042c4010061000080044000220090844000800804810080a00000001004001a042200040010100808040900602008200008102200510300108110100c52250000e4200020001800060200040011020250005240800084205010890000040805000a01a21040000aa00400100208100010248012100d00010040610850440400a08900608400058040410600208300c10100200000208852508100012800002008a1840021011044000204001800090004000084040004044a108200000c4060214200080</t>
  </si>
  <si>
    <t>A35637_0766_0c00400010c4220230021004045001210004010a200400a02c10500000018a0810a04200080200a410008008800140300b48440010618c00800108040542210050800000400042542000118008000000940410008100640c02802102010400042210900042000050400440810800140912052808412000410d0200260021890000a10020800a208300402202802a4010041000024044844254884804250025020241080205044800081880011020000024001011240a812440a0004011041a80800000295040020024281200050220245820000080a840842002418008900000500302950000100050412412100012202400008610000100a0051020000280040020800240a208a10000152408000102110200808500200250000710900c02800000140208e0010a008c02200348008b00008a10040b00008112000010c5214000001000860091000a01020820220080001040000000020a25a80880000ad52000802218218e0024091080881011811001024210084010000a008400010400442008450800400002040208a0000a01000a040400200010308518210c02800202b0201090</t>
  </si>
  <si>
    <t>A35637_0767_0000408800c0214064800004080844030020021050024aa42000800008100d00a10412040448000100000602400002002a40408f0000001004070884a04811011000211054020041220845000841254080200001004800000030831a212200048018040802810442208a1041205030000040850081a440900442100000800502a1880200000a700100140a50000c00048618400600012410440008200000002000c12040142600a1050004281030824860251080a81290080800250a10800020010000810a25000800820010230080000a410850008440700010608100908a18010208200040800110200502a4a042500008508200440000202300000a50208c4244801000a100902402100008a42050a10008008150042050310400242810040502008542700400440802040800700010302c1000000810040000034800001090010201a400400c08010000a0000030084a85a852402200018000400250042a02050600808002010850942018640100440240000200110402000c12200c00200a1804250845004010280801010a008200040800800800000918000042100d0000264000</t>
  </si>
  <si>
    <t>A35637_0768_0940818050408000400700c00000410b00218010008e0a808040000840608f00210002040140810012000810050440d40240142a18108242d40042200100000a08008002202118402c10942402000600108210600210650902802242108100c0204200040004804810811220040200804015200841000800204a940700300800000150008042240000102400c00608000308000140e00800248308000210d00240102140152400018000050810502102000c00210202510a0004231a900d40802100e00052002218008448152448002008100008a00802840a0a008f08100840400008142412a10042600102800000400610c00808400008800008008242450110c0201014820080a200c02042100400310808c08000808108408208650848440002000200400008000012040140500c0045200081044801021250020a20050084a90001050080020004210000021000044204000000024005011090284010000001260281060024a540240012002200c00452c5040024840a400b58a02000300012000b10810818500000040240a1000880a910102a0050800080a00240000221004840</t>
  </si>
  <si>
    <t>A35637_0769_010041250080880030001080005840000034040021890241000040025214820005080000000880800090850001000010000a412010e4004814080204800800831285090010a80040ae10340010002540910012000610000900000048350400008840910240910008600010a0200244014844011000020041080021021a100002602c4090a140100000008000010b00258640200412800010300a40142000940808102d08000250b0841000040000000061050010a000042b0280800080804a010c40440300410000a18a40002400000008008010050042600912000a00042242812002010400500012802040c00008150a0000000040204801000050060005080280224201080050821280084010040a300000612500840940542810000a0095230080064a00880001a01240801000880800044000000200001820010a000400200950008800450000440400018518d00012002412840108640008440000400600102048000010200140802010208408540640010e0804001880840020210284824a210200d0040210250a910000800640c0800000804064200010284800280000800070</t>
  </si>
  <si>
    <t>A35637_0770_800021840000080a00060060205014040a300048800648248400140000510100542042c00000142308010d40200c00200100108118800602502100010000108000048040148a02118800100002002408000340208c02000100602110102100a4044800000a84201811800000a040008b0810a300802010010048000412600208c08500840010242208100018440200a00040a0004004a100c0804201040825081205000290015041000000280000000201020000000005020a210008018110e1240204000000a100300600100002948400008000040102b00202000000102008800a00010200808040408002008010500410a00010000840b5a40280040a002402c4010804080841a81890000000810040000280ac1064000020800020a44291084000001800084864001004004a458b00c0280051030010270a810a1220800010281870001084020215084211020050011000880070010010200011820084200820000a700210440042448842000610040a0001040000201000834825a502040000302400242802000c0800010230041000040294a100200e10008a5a10020004010a31</t>
  </si>
  <si>
    <t>A35637_0771_8940800102200902102000040040000008142400400850208800840a10000000848008900700008200400300000c00600818052d0000824810230a148000808508410940800002440008c00000c0200800010a000042200800e00b4811830000005244200005240211000a208810000040008400418810d00208342000200408802140100100202518148800040808000450600c48412410808a40040608818002402000048000810218400500a08840400418200240900900b00408308748002c40a00312012018000a10040c00212200000842000412448000100810600402000a40200740d0040065000010010851800030a00004054800001080000880a050140140600018c0280085000800014020011241a052100b10410100e1880000010004200080014aa48012402000218200000000d10a48148142100240200400008200048018408400400008250012218400a1211260800000820884820000200000a002000e10000110240910010c0080040a002100050018400c12002002002140500a08010400000200902140210700258102400108342200012402940840002618a0</t>
  </si>
  <si>
    <t>A35637_0772_8040840050242102240400102a08c1000000230880080045055250800201810834000a000108000212e18400000100140000050b00440410002200010412310110e40050108842010010140440400a02150000108a4220040244a84211a20051820004210805054000040001201290020860020030001880220000840081001040a800000850100b10018000150400802008a08008842942640200008400102640810440808218000140640050300100000400748800400242300010008112000c0040885000220090a800040040810000210112208c00800a08100c10608a10900042012100d0051800800224a100250400802002900840018000508808008c00100010400008b02000000248a5231030040025040070804004020800005a50090281800080094000001000210200050090a808100c00000408000248c00800400040040800b10810d00d02000540000212048010402112200c00000800402808040000418140c00400808212200000410000050d08240108108d4041001210000805040001a400c02008a4a002000e4041000000001054030040060801000034000a10</t>
  </si>
  <si>
    <t>A35637_0773_0d0204040000001830000091a208c4000280800200031a810000100910210a1844000044080000040010011820050000a002200410602e08040942940012018a12208500000a10018100a40c10050402a00100610902412002240248218a00e4a41010024880a100d00010e0a11010800840a418100002100e0035014a810008642000008242408810100010800540202300410442018840202a12040008202810040400108202000600408000400240002018408200540100250000518d08402000a42010208410040802c00408202148a00402052002d00000102c0030020000220a000408008500008440302b50100918118848c0064011040881081880800080090040841020a80804080080061010005020051040001021801014060880004805825840004a050040000202000c08000402902440008008318052012110408200418110240840040d00058200800b5000011004285064810020205811050aa1000a800102000412500018002800b0280004020080010001041061800030031044050804a810110802000000000e0060800024a04010a81040200204210020040021</t>
  </si>
  <si>
    <t>A35637_0774_0308200112008810310100008600400b4000204000821800050094200210001050040004020021240a200e12408840002108040100240002800402010050410408210042940018608010510800810102008450708008208c40000240442008c0041214000085a000e00248010000440042402e00000002010100a00018000010050402100308202000400010000908002402918258842540a0290000040021041a10010a04840a000840452800400840008110210800d02400050308418050002410200110100500808000012848048258900a5020a400400300240200c40000850802010610500a0845a040400018202008800440010100902252908408202110000002500100408000400902000000000942040040408148508d08242800810000b00410800200240100642042000008248252802800a08410700b02a0a110440040118c0011020000004000810040800025841280a800612210440018800742050100c00042802902108802200018002200402600140600510800000110048a00002310c0001841020800830280000a242850002800000c10c0061040090230810001</t>
  </si>
  <si>
    <t>A35637_0775_010004000030030800090001000ac00000340100110600800c50c02008340600008002950500842000200400a58910608208010800108400812c40008240000a00400440c00000102008c18000002a02b1244200800201040200801810040805044005204000050070000060804024210010020800a808000c00802100c08402018850c0200021000890201045020820004880020800850044211000281004024090000081a402100548242010a00140100a1001244200020000841020840004205280ab1800810004000084010030060200030000200014aa00140000c1840044000811a440a00618000140200b00018000800202440208048250500000008100302102010c0000020801080a240002000a00a0000004a212210100110802102a00a40548b10002040500408008000400410800842002158000410102040902000208440818000050050002a0a54a800b08418c02008040508200000c08c00000202400000500010112440000008108c50810950002940208f1800a01004080080220041080a21a800100002312808058640000000200200100b0040240270880205200</t>
  </si>
  <si>
    <t>A35637_0776_800040244234204841a000000002002c00800200400948a0200000a00a040010c00250100a4020030000830001800040201014890085a80241040830040880881021090034030225070081000a102140202102000108008000a0aa1010220040081001000880830200080a040000840042700610b18048502300800002010800c0050230000840051021040040030221200000090a800000000a1025840000a800c00640812218c08f40202000000010000000d00400000942100010200e5800041280a110100300208a48110040018502200508242002008242200200000800102008010052018a1040000090894a208200042008402a00040000408012018012202a4040090091060080064011a24841044041a04290281004090010a852410400040350010a00c0801010a100312200000410900440040210a1030220a000808012300000542012012000240550800d5820000224085044001860080290020881000000070004280000000000821884a44001000a002540800418008840042a4240ae1034020001000200a018400200800c52c4020040a10001020290000014201090</t>
  </si>
  <si>
    <t>A35637_0777_004260010040201201a418b40848000340802110418410600410400a0a00800084084050000805a44050010000004020021804a008010410010100a08400b0801080a80004030204000000085084220091220041804a400000d00302100200918800142200100002008e1020000050081021040880241090054220000000000801800200a010452900900200000500000240000200402450640008012800c0080280004805040010020200001250090074070084000a050002200040300008818040908940000218502402c1220010a248200612850940042140300408840c1054000820000000000a010510042b02208218008040040440010158008050010802808208400300400e1004084280a100100c00000040208008202108c10400002c00040000010b00008400248010408010402240402100b40100000010a1840030200820810030880a010040018600108010210500600012100200410048800840140000a1060860011020000861030004004201274010230820020a048110e0a802100800248202c00000002600400500802840d0a14000800881820000070804010801</t>
  </si>
  <si>
    <t>A35637_0778_0410000800748042008200410240010e0010825020010a240102c40218742000210210040408118218c08050010442000800102010100840000240818240000008c40110e40002408000a58002500300108000818408800000202808418000000048840008808402818940840000000210052100000c10c0210094241a80015a000050800208500208800008100a40012210c00410c10000a4a810140010040442050100302100000200c0a842b0a050102000018a4040234810000030000845805200814240030880080880010030001000044ac0040020020060a50000a202c40300840012400400040840048018402400210400510f00200008200100808100400208040000340012010100002208410242400812100112100c18d00840100c4004000080080201201010000075881020001a410102000500008500000c0220001044000031004284020014044a200842040000600102102600002040400000000012200040a02012340210008a0825004000080a000610108902c02140008308208000400010040500800408100202200150200a0205a400018c40002c0810010011</t>
  </si>
  <si>
    <t>A35637_0779_820284010004091011020034024010280825040a100048c02000b0025000ac08000608440200808010a10b12400140140a0240001001a010812002010108c00018000100202200648900142010010400012202e00c52208002842000002010102200940102012452408018400002240900100108042a00000402050110000440642450800058040300400450902c0a80024840000081884210a252002210000a00002248048040800050458040802008200408e00018c12408010000510402010100000200040a10000210040100000010f10902042150900200008c1005a00040004000a10a108808018012102800052408048402500a40200440200008402802208210102400a18200c0210000000a410000200400600058308a0860a818802400a08110000108212040802000250800442000000202a02302a08018400000408152400b00000000050302002408208040c5200090000a20a000918000000c00140010400800200900300012458108102040902100a08048110000c10002500040510110900c00400600212142010000202142640112050d0080280250244000245800</t>
  </si>
  <si>
    <t>A35637_0780_0300808000940040010810248000400800000402e00140848912b00810402a0810800081010810220280870ac52100d40912150008408402040148840208100052012c50000000100800a12410840100100158100812008040408000202010010a42800440a02108000000800540400208002010642202100108152210600000058112402002008418d0001011200a252002a0080000080020810000020015a400452048040510c18800202400000800608008218408040008900042a00002018050440100010d0040005090284205a100600208000040042202450800808012800e4010a00000011000a800048908000000210250c1090220060010800260284200a000102400910210502200040400800e02250400800808202000810008400b0031000a30010a840410a0a84070220080004a000040940100100608000002540202702008200402400100900048808d0204a00000025201040804200014010080800011021040094044210241ae1030041200240080000a010808c5080030000210a30040200a140d48048040600400240000042352208208808040402400900200e1</t>
  </si>
  <si>
    <t>A35637_0781_021001001040a048402a00300400000102152440c00200200510040812600100302840012000250218000040000400640908042418800210512042110008e0804004800204a200500818040602510000800002900540a12040048000440100018840000208000400000e00808412300000342000042c4201020014805880080020010244a200158400040010450102118018a08042240010202202600810b00c08c00508300202a1004001a942840010000218000208040a0000031040010204000014000800280030800015000a102400010010400012a0091000840845884280280024814801834041201250004240830041aa00c00400008300010000000000202008500308842250410c0a21a50081000020a850c08208108400202002d40000250000110808800802648808442500c48400802c0020200020000204214014a042240500000000110a0200001020060a410c5000220010010014a84a442242902000600208000040100050102000040a40142500018400200042200c02442100012818040600410e42100040c00e0004004214a00000041040801a01000224060a10</t>
  </si>
  <si>
    <t>A35637_0782_004000081000020834201001805814224000a30280860004000030a100012108808000150f08108108d1004020280204091a10880081a00054080830a01240005a002500202810008000048008040800012052900200010c0010821204860881200241294000020a808042808900a42040240810142000000c08040050000050a08012440000610808210440d40000a0041021881040251200885024011024044200000001015831020225010070280210040815200010080080a208408650240542042218308810140808500242100008810010408840400a02418000002200010100848000600010000800108000008110600210000402108000a1030084845080a04a000400208410010d0810070800000225284200a908400a00400810800000012108a00500c1004020021040090000880000000230821810880001844070224a012018c1000010080a252018108b0a200000808a00600100500a02d00000000150908500002510202840202300148a4041294080a20221814281010000a340008a10000a00840148142048100408000400f4001814000835204010204080004000</t>
  </si>
  <si>
    <t>A35637_0783_800800081000801800a910012c0281014210000a11024025801010004221a00800824815010000050a810c0a000000108148200100200808412f00000000500140442042100b1204020080a850850000210240618008040010002002100800712000100000110108400542400410800000700800012812800c4804000010091080250004aa40202318400200812540000000000842408810f00200740308c00810100400148050a08052040040200148100000d0804810020220805000024080201220a80024ab18308848000140048012000300e40002a0a85801221805000001020010824080005200000080a342000100f0081010044015200220005821001200815041a408d0820285020a252310518900040402408100200018048c12000902002700018040000100202302042600140812102a0080060a010142050800100048148800100448842000b02202600410012402040b1a040008042050510400000142008c00008110a40012108210000642010008810408200108c0080080005011200081ac0240064000854010000001a500840110000b00000a0080010000800200</t>
  </si>
  <si>
    <t>A35637_0784_0508018800c0205020220880804000054024a01281051020040010000011000800260080264000005010020000a100a02010002008540018040d08148002a00848412042008842710400c00000840740818000408012800410008000408008840000440940000242500010000812002140042008500402802008b10100410208810000300810040200d00448800800010740410002a4014030280840000885a25290004004a200010140400400508a50202818200000050100010218008200450002000000010918c48210000100a0200000051a048000008050200100400602000848902440300402000800c02358442900010812400002010000800910c40d0080020a40060060864a01010030244800801000004280220001001000080a410842000000a0004a00004000021020020010020800010281001201000800000070810825a018100800000500112500200040440440a0a002240410652000012800800100c18a42a00012000000140000600040940002018448a0004a000c52340210340000b0a04004080a000702018400410010000100200118040040050940310000e0</t>
  </si>
  <si>
    <t>A35637_0785_0440c4a040a00a02418600842202c00100240412200500400500800850110110040e08510000302048110008842940400240100b1881a212c0240280000220000a840040200050010e1014064a10060001a04880020220880000004230000044060a450c0025821840844001804080080200081000a442002100000108c0804045080210090004a000810c10000140808200110c08008000000010200608a50048410f02300008518a1a01204230800204280010061800240a04840a21815020080060200240870070a808500640040240510612008c00000008140000000402010502a0240891010a400842848000418600802c02110a08108310900308000010700040100210c0800801220214005020881280a000000200600418112200400000118412010402008842402142200800100050c00602002600008058800502048048008800050012140a02a0014a518610000400400000002c00b00800000202008440218d4805240080084020200041000040204801010060040840240014881061030000000041020004840070004044800020220044800020065000064010255020</t>
  </si>
  <si>
    <t>A35637_0786_0450218452100900108008d4021000040220004800031200080060080004080800801090090284000881014a00205220281010050800880210010080010020005000001004885821040840000285200a102010010c4800880000010800210821284241200890000041010084084010001040a80850804000044081051080804000800044004044050884000000000011021a40040a40081000080030090020005a842c00a0801880010000050004000a000010902010140802852010308840400000242018040608a00c0090200800004001804a00040250010a40861030a808000302000410c00212810042800210000f00112210512048200640410302810900440b4031880065004000084800070011054080000200200021840000a21010210020a242000a0841044040200800200824004810020810000210804a042c0000004834000880a002410402000008c00b12840002008a4011820800200044080081a40800055a208c40002110002008c4000a450a00300000400000008c02440150508008000008950040a0021880041080041030804200090810884a00050200040240</t>
  </si>
  <si>
    <t>A35637_0787_004044000200014205040024a002852000018042118040e1004040000001010001ac40100d00210612018200242c1080081000080034081841284220220890084080885014291004000064000800200804021000060000800280081800270000800000000084854a10000840214004a002340300018240100840040652218002010110400000502410200400440048910040100002840040800008410010710440000b00308100108808000100408252012400a40008140208812002108012602900040150000400548802902840008200110110410412008300010b00b0004054004280840080881004040030801a40831044040a100002a1000820004820805000000a000910402008040b0000011000010200001230220834000080024a850040000600010040008000b4294a11081800260050000004011a010000a40000c4001025a30081000211040080874081024a200000100958642b0020020200094004000010041800011200820820240800a010002100258008c0080041800030830065800000060210054220200870011205801040010a208008800608040508a52010d0</t>
  </si>
  <si>
    <t>A35637_0788_881001250000090240200804824a80040000200aa10810400902c0084000020835200804020014a000110c40000500200a0821001060085a80080800034020020a80005020000800a000c0804010030204064200841805211064001010030841801001200820020000081240011014800201a90085005805204201221800024240000094001031240010004010270030800010060084a000902010012800008000912200810448208110008010800008002418002600010400908050200900208042008150000010210412042002008300908000018140a40008410110112400110008110040200602050002008042010c18602800000a0200254080891085000060080000a21840000000080890a50040811040800290210a00201011080800010a80800a000800a5084030221044801000060000234005a05880001001ac0060081821000044800081080000010201050080000070004014000824060800214a240012108a00252842100a0214ab08c1000000264830001a10065a008050d00040410b0010000040224204000a00891a050102c0801000241091841200200810a008d1</t>
  </si>
  <si>
    <t>A35637_0789_010084000080a310008a08210440912e00a00318000040040d0200201a110118100400400e02842010800448040000102150008800408c10800440250000008148050c0020804810001010021204000880004240041000000004204041a500000000400a00108700810900a48050602a0a41a800412418400a08012008008050e40110140800248200240800800000110010800800802440c0200000040065240014080a002218900040000902008002150100800a0200000830a208a00308a00000a0000045200041040a80000800a410000410000450608208200300008018040008800002200a02008500308002408e1814a810510102100200c00012240002040300218108040202c00500010008808000202c4084220050091020805204250000820010011000201200890801a20010020850000885200071000800010004005021260081041040220820820a500018410050200002400910510818100000010000600102c10800042100150400a08008000c0a00204090001021800040280210021005841880200024050250010064800014201201a000048400c0004020204811</t>
  </si>
  <si>
    <t>A35637_0790_8908c40402e0a00004040034000084210a05021a000112810800800240408a00200050c0214200004041030801040050801040060000204a10000220804020080084054040005000840800000084000004011a800210042500140142300000848042912000a0010060040a410d0284880820090000000254000800220041800800010020020804230040ac12140a02240148118340002810402008012610300410100840b00608000242a00102140308410b00800202c10848308008000010012140308058040000e08200c02140110200100e00000012502a10408808c1804000000004250231011080a100602850400c00d00400c52208a0a450110a0000001080010040a31800880084224804005a01001a01084260a000148200108e40400b00810110500402040000a0014810800060041010000080a01080005020841090004010080040aa5080030000060281050284090004014a140000952808002308040040010808402100048240052518100818d00000040602418000400802442340008c10308800400e0090a00a418248840000200208000000102052812a0000041201</t>
  </si>
  <si>
    <t>A35637_0791_811080014000010220af00200208110000a50218500a02408812002048000b0081000280000020050810010000004200004a442000808642040340010442008310008000000840400000800a0a440608140000400000040802002112012a0070805801040200001080000204801240000024a10010000000014800004011005241004200a850512000808a0a000408812102208052212902608200000008600208142140050100400040c08000b02000000000802040510100210040c18a18802c00440210102000108040040240300308200408448110842002518900510042800002002412400b40200940000258048018002212c0044a81241801800004000040a012008200000a40000908042210010858842002102908200000050008800200258240200148c02c00908000142010050012002440008042000802808002302800210400200200952440b08100000a08018112800010300510a00a00140200200142508450248110000002308808400400012402a02000800840800102c4020a210810650400442640812410000208800040a0204200a11884a04ac1060000810801</t>
  </si>
  <si>
    <t>A35637_0792_8810050c10600208410000000040902448000650010000400042000018450a0821004a810040200452100300600910308200000e00c40450910d00340002510440c4210040a000000008018802500800000008000800210452202008240018048c4000010a000418210610818d02b0801810a800a5040204000880200001080800000214085000060830240051084000a408200000000950000202258100602008810008000200000c42400400002210200a0860a648012000a0020a000148000912000a00408800000c1245040000a31030004024a150000a18200000d00050412202110400d0014a050c02600108008000608448500602910400210140242400102802210200840800512c02002000008d40018100c00000308200000402c00802142000810a0020085050804804060800000081000000001090801001010004880a20280020040890020080044011080045041000a04814210810a24801034005a008800008400d4244a810200010000042400042112418c08418a00402802048000010210c00900002248102100008040902108850012608d02a40002a0084014050</t>
  </si>
  <si>
    <t>A35637_0793_850021000214884040020011a602410900010610008510040410100000200300518000440000a0820011000284a81060231250800081080814080890005001040a81a450140210408a00240008800440140000c18002002810200208040410408202100800040400018000212000900040312008112c40100040040040800010e4801064a100010518508a4801200090221200020a808000002010008408048608802148140002600100a00c00200000102018110400040502800140400c0081a000202200300818c00000800d02812100618008040040442a10108100000c00140000000400f00140a00100100148150008210200402800008000100a5040211090880020a610110012500608010400c00800002850000900410a00708610400e0000044a408600208402840008000000800202002440000600000040008040c0830024000001200a00040ab00108e00000800000500a08212218050050412840842040008910848002b40908240010250802500040912408108a0281210010080004010001080041000a040010110400a00d00c0004045080844820200214031814080</t>
  </si>
  <si>
    <t>A35637_0794_0a08002450442310600900b10008c10a40102050408210202002400100108500b40818000008842518200c0001051034800201000000280801230000260081810800804010090204800034a000000400218000c00150008802048a5001000060044040200020a402200140440510640110048100040008900802200510000c0041810004a30214001060a002c02148250102808100412010a02840112100d00010400000000108318002800140808000150e00000a0040034210000a10091000284080000060000091844041004221010240080204080084a010058210448402540000108010008808810800a00200040008840402450c48050010500010448812808840210a00048400800d40842052500d5800000240830004aa00202410040300012140100600608c02008048000110018040810000000208108200840000000000502a10418800500100a10000418010408100040b12508800308848000400010408500610c00400740808008200a18040000d08000208310000240900008010000410452040c0220004034090004004010040a008502e00118200052a4a20000a20</t>
  </si>
  <si>
    <t>A35637_0795_0c02010002200310400800010058810000002000210d0284004004830000240041a00015020280a440400c12812140240050100408400200500e0830801011884204040284011201840810080a00004a858440310000400002200000008008b40000110b08100110f00a10c00012a4081a650000002808000002848702a1084000a80000004004a100612240500048002042010202a18c40300100208c00d08002100000102340818400212010440008102818c50248000100000508200100000840102a02002018052a12002108302400200400e00000002000010310010a00010100048258100040840102a00100108108012010800000802408000608810000c08108002c00118202440040208008a00002012150000148150000002008400648848248708242408940402012002c10008400000d4024015880085020240224000260a010b00200500200000002510208a0881020a202610410510850840100000100800812240012602800008310000048800002108000018652c02810402000200c0080080045240821a00a400402400810002210108800400600c0200080010220</t>
  </si>
  <si>
    <t>A35637_0796_0902a10102040200200200810050802208940000a08048808000500000112218000040040202a40010200018400802200910708d08000402440000b00002a00300000000a08140000a18548400440c00810140600100002412202000340800802e1091000a102200008800608100402050018110802e12000502040410a00100042400208a40000800000a4205000005830200841000001024a050218010010402150600108200410108008400402000402210c1805090220234250080015004294050001244090840880204044020a00080095220005000004200820020060a110448812110108000a02102002008100e1810a410400808202308210210208400400008002100010802402100110242610c00c08c5000000040000080004801010a01044000001ae10100a42b0020061844285a000e00a0800040831200881000220001240024281040034831021010060001204280204201800020841204080881814201085a04290040000221201024024050264a050440410400e0044080081a60a700100008002800200100400910a4080004810a00010000ac1804240080020000</t>
  </si>
  <si>
    <t>A35637_0797_0000818850902b02000408008018440c4200040811090000040014010001220064021800040031250080020200a80054001a202010100c00800f40202540018208442000600040110000100a00040008040200108140808502400840640110840c00412408810000100000008800300050052000400202902a02802100a00300200450000102240818800800140d4021030a700a00408500502340010108c40202842a00048012200008000910200a0025010810a450000c02102002908158202100802000400010742c0241280081000010000000a00024014204a000000040000a40902208200540040550902818218000410008010808100052100240610110002010002c00e00450400100110002408a02050802b4000200241885025040000014001010890805001034004000000044000001284a210408000200c42140f00808000210350000840002800500000818000c4000021a41200064000000094080a040100002012d10208248748400900402c00c02802058b0000a21800090810021260004005a04014004800000080240090000004a00a80000a452150a0a80074040</t>
  </si>
  <si>
    <t>A35637_0798_0000000000208000040408150008000500940000808002400c4040aa1001a510900400d00b08a00250000008012842542a00118200a10040c1020004004040064200050020094214090085041a01044a000000c0000000215004a818100000400a00c10100140108800012400000202942052b1020080a050000148000510608402812400810008200a1a450000200940000100800a40400800250402a00108008810042018000800010218110408208448808200012440008a00000300a1245010080804040010890040090010000201a108940c40002440908348108440802500500140202010400e0040084211024200004201a14010a05820000010864a440040010402900010400002f02312412010450e0011000020864840084820290000231001200031001011050a048040818840408c42808000402810700000040b0a00050ab00000210000000202258018600000540508100012308050800502002002600310100812040900000440c00040c0284004a208010200e0a40890000a00000040050201240020010200000000800a002a0001021801024020211044200201090</t>
  </si>
  <si>
    <t>A35637_0799_041a248c12000900100208e40600140b02208012910012442110040300452818010a0214010000004010825040210080000a44201020804a002000000308e10042210410448108500000208e4040210014264040004000240080011050020020800ac00808108410110d02208940200150300100040402802008850310500408c1015010a000048500010000812400100402200b02210010902108100800910c08940800108408000340c0040040005010a008a00040c02000218502110000e4004014285a100000302810810c02010140c0094080000000821a210500810012400840100250e0004000011014000220000840860890020020814040001204001000000244030024a018510d00008010400008800450840010000200042058040200110240108002808840302a00412700400a0000200a102058008240640800000000440008710240040802110018800442208500800318008618800410012848a0031800010001a050102210508008850000102808042510b10200240542040842100e0095044011090801020261024800a000000808200508848000002400a02512a0</t>
  </si>
  <si>
    <t>A35637_0800_0e00458042400202410800040010c10840102008200000a1a80004004040880090080210030a202100208000200450c00010118000300840000002010110210500200002100a40008900200008000102050212000f00a40c5004090a010000002800040608040102508018c1201220010200040001024010030810800a40814000a000440208608000102000c42040100408800a52c02010400800012a10048402502140242008100302c1080240020060811040a000102408008240210d40a00110008012210418a08008c4004024800201061001244290a118440808040a10012100018100100510000000300008440200208808142002800040b00a02840540200108600810000010010502112302000c10240140808a00610000900c4081024200044a608048052400508008448008048252500002002100000100e0a40214004000a500700048010a00b0040080804a41005010005200200000000004040a04034ac0004a64880020010000020031000804000805020ad10240400840102000002800200600000d00b0061001050080a100d0000061820015840080280080200211</t>
  </si>
  <si>
    <t>A35637_0801_091084000044200045240004080804000a052000108a40000550c02200100410900a42402440848148000000008000008002000818548002440440010200000108a18040a00000402508040a1a10030a81010020860004ac50400850100000802000140a0000040040005200011080030014031041820201040091a410a10150048002802100650110842008400f0031004060821001844010820005a000118c40140c02a10110008000048052a0210a040200a00802002040100400c08100200d4000a210202010808000c10840000208000002c52040202258142600410812802040040148310118040142808952400410210002040000a4041230800000045030221000040024020041230804010a400010e1000254000a00080030041050280020000080880821010200000a44a000d4040081020010214800004000881000201240020810ac52000400200418910000012002400200210000142c48440000002200f0860004081010890804070004800091000290000021005081045010080200a000400848d00900808402000150000100d00800048800a0085ac5220000040a80</t>
  </si>
  <si>
    <t>A35637_0802_0400208500848218108108800010d5080a000000000842000002c40810000000c12000000600b00100100008812140940008510600018408010a0a11804030000801a45200801004221880200040000004a000a0080804084010a84000081001001044000080a10060800824a012800040002c08350410040000310242800000600040000800000000200e00142000052110100900200500a08000002010452000400102012350218900a02002808202008008a00410002d00250408c10152a0804200220840a300502208400040010052208208602c10240008108500a5000001020000004a000610000440840808108710440050012940140018018040010100008208300808018442100108302018800048218000c08008000210300200050208a40200008c1000201280004010840014240040244a81a058600300250900400a0210a800152608402000100708500102212900848040012c0000200015054080200271045801800014a042000a0884000a00030200040841014a200502200308000810a0040851004284205001081004004024aa0801200811801080280a010408a0</t>
  </si>
  <si>
    <t>A35637_0803_000000000000805050201020aa0010034204a312c00310612910c00a0a608100c40a08140008102440100250018450000140040500c10200040008110210400800600010100000040a00000010102c4004000011820244044060094001040004880080000011200020805001040200a140202000048c5800064a208008400100040840240a12012208118800540500000650408240008050200012000000802000c00000a0a100808202242142008000018110f4820a050100048040208400a4010004010011001040005805240800000021080840a040800950610010448050440a0a240340608008000840000810508000118208c02308800412c0001aa42d0220000a008000210a4a142600040050008d02812000402000142318858208002400812102608000408002808052510208800200512148000012000602202440340000142300808208900140002440418310440040000100708200240410800000a00002700000050100102900700c00000810140440012208008802040d12802240250000800010800608100008418650650c0000a300402200f0004280040081270a40</t>
  </si>
  <si>
    <t>A35637_0804_050a040000000142208010042802400800012000900448042800800000010510000c08000a02110042608a00a4800020ab40140a00118210100248210002008340c00002802002000208040800500a4000235000084080ac5004205001041001a40010050a202100808248208150000800242400040410802808040008218640000450a02018500010608a4801020011205010010280011200aa0044050000284800240030800041030041084084214851000000a448810002118600b00c00802010200208000000012400140c00a00000310208008500d0800030a008d40042110800a12002000d0864040284804061a10021261014230000801000014000094000004041a00005001254240001040861880ac0a800448900012000c1221000000a81005080040a01041000290a25880084801000004800034040010280094000094021220081065044200000040090004a802010500012000c0800a85010004000021890881a000052400000610618400440850200110208100308408040f0000040a01001000200000884011810031a05004280020a74020060800005290201011800</t>
  </si>
  <si>
    <t>A35637_0805_800001800220a202000510000400000940008248d10802010800400040400d0090241880284020a10280850804040004020214a210210810040240100402b1080004211000a00220220800005a112800008000a0084000840014801815040011280004080a21844080060805a142840002440100000a10412202010640400610000800740812012818450000002002a40008108102410012400842248410908010410308308448800a18000500800002110900910e0001034000000860044000895010800020a10805060a010600040558c0001884850080004020200061040885220000044850020081050000200a04800814000200040201001221001040210000004250a110d00c48010502800308410010042000c08048000810300c0014214001a00080081080081200000020860881001200200a240000010900e50002240948100100618048802040200008c00600052410900000600e00000002000640042100808c00218840800a08142118000000000c0030000830004000a14000004a402100042c02412300a0a61000810040851040a81010000084040050004214801040</t>
  </si>
  <si>
    <t>A35637_0806_0808448150900100340000a0000084044204005aa00512c1054220005a000000102840800200100240500650000010400302642000010a0001000894204820840201000200210010081094200080220025034a400140050510a00102202b00118008400800148040808050200052000a50200610800000d4080814010a100200000000040018400a10002418c4254200810aa10010c0a850940200610c0050a258812800202610100810802000200040140000048408940c02200210608008210000200040202808102a12810300048210208010208000508042000410b4040215000080201020000080044060890000a000300002400000002018110218c0010020810000a01860064841040011010030000a00894044010024800021020201030804000090800240200290031000210070220880030084a102400810812000000000552008002c00400a0004a602a0095800805004280220801091044090010a00000040080a40000044011a408000400640100508340100a0810884285000201200000000a04a01000805a010518f0200810004024001020060021090000034201210</t>
  </si>
  <si>
    <t>A35637_0807_004260004020a00025080800024200024814010010820021251014084050030064084a81000080200a400a4085001040200820030011081001204004a00000001044040020805244a000210400000c4230841800804085240060000204200004020010000a21024001001a24041294200201051804200800080000041800040ae40900000000500010040800050602010340000408648c00800002000100b18000810000a0000a90010245080210a040018c00c12640000948308010010010808c00542818110200202240002002202552118842a1004010800a20070840000a042402000512010600800040500a0801041054284011080810814200000000200204200a010008008440040000b0a248010010000000000200240d0001a04a01034200a110010300a00540400240108000010412840a4091210090081024801080004811000851000804090021a200c10842448010900910202408000640002148808040f00000a12102c00002050100152010100802000202300358402110940002010208800000010800808440e1824824a40004000800041001281004004024001260</t>
  </si>
  <si>
    <t>A35637_0808_0500c00052100012000008400808412440200108018300008800800300100a00440400510048200110800402a0200024001230060880204000070020a400010808a1800004201a002008008000900842100448000110410000b00840440308852000802008010042200c02a0810004000221840010a00004094291a10000080200080044215000810000021a50000281014000041a010012040110000208008842012800040200c00c02e00010700b40400800050a08452e00902212200010608940300840018000810448810000008242c10150048042400200140000d0060040010800a002000602040040002108050000110208412a4005810000050260281054010004080020201084240224010030030a850810800048650b0040024080000804800881050a010002440012140900000a0a500002148412000140840110600a5000800021a04880004230a10200000065010200220241a810040600100602208048a00602040002008008310000400600550200000040618000010500448000408c1834041010280001874820084220280004010000a00010844001004804035201</t>
  </si>
  <si>
    <t>A35637_0809_0008000840008012000000040c4000220800074821001ac4001010020a000200c02000902102310000c0820a00041004001a040908108012d00040000052800310c0200050805011a100c1804281050820001810820820090064004010ad00050c1000200080a200008c02a02110808012540100e0020a400000000052408810000500200100240b10b08010802300100100b0000841004204830000020020221001024010820060094001200020001060a410710200500400102040100002040440d0a002000808200850800002208110300510842000c0020a258000a00440150048102000c1071000001280220020011090001004250281010210080a008002300100410800a00800400a4a800600400700240002600200200308302008150c4a240402c10052002500100340300010042010d40c40812218a0090004080000a240218018042002802240302418200040048000b0880a150000408600040b00012410608602042040c02800102208010000400000100508200000040800800b0a010000102210800940100140800c40010c1024000040050000001090010010024080</t>
  </si>
  <si>
    <t>A35637_0810_0a4a040100008040202408800048010402000110908c02210802200240400208c00240012448000102410210040410948000008508500008800008800008a10218400050602058402500802000840b02140140200400058000e00208548000440a0815080800204011094061881070014800060001200285284024061020880ac0a000200212400118418450000000240002118202200140800808002400410000802002048210400212000040302110048110008218802308000000110108c48c0084824054080000080001080200244860010000a000000042310c10112c00d0040881a01820020020a410008b00410d00c0060001254200821080884805241000000205011800a00241040010000010084840a010b0201044031000280014080020034a808018808840400b0000200041800014010215865040024821800030280a440a0025081804280a05000880071280044060080821a000a40602002008900000d18000050000008240500610440040410008902202010002200000142010140100040c00002842a1000020891244290010020054060090080000050035210080</t>
  </si>
  <si>
    <t>A35637_0811_021a000040142840042c1801a00040280020070000821820050204000a000510302408850300002000a0804020884090a040018010e08e1280000aa08600000000e42400600800310200740a4840000010004011084040200204a04820010084ac18000208240008c0035880204220a300152000300808042040240740010300810900840a00708008000a52000000000008c0004000850004080a000a08002410c4010010051290024000290004081044040044881010014090810a008a4280241200004200001020860240200800a05800020200080020210040870810004240054015840880000220084214a008210000002800440000302300000008a52402200012500410c0001291004811010a600010440040000b42402908440a42050000210018418000440800200008448100240008400508000002108008240500000000048008a0005004090804000051080284800214a00a108e00100a48902840050310400000808410802100210f0015801201060010834240060021001000011220240081001010200084270010050a81080050a202200c10410040400500a0010280</t>
  </si>
  <si>
    <t>A35637_0812_0502040410540050100a1061060801030890061000814000a810400b1020a000200400c42142152048200200240502300040110400008c40840500000008400842a48000208110010800800210140c40040148a00218000000808050008400102850040802a00012900800040100140148008900610410010942812050900208008150340308002400008008840802118702400200400c10202818400c1010200040080801000201011040800234030241090895800200200004871050011080040010a840202008c02612810000800000500540400840042a4801891041a400400000000012000400600100000008000500e08600d10100a40400208058840142b0084000050880041044010a00200a000400240802302b4051801035a008d10400212008000010800512002200212400100018800f0090014000000004084240220001070044084210220084024a908040410d10840100050a18802402152908010400000008008040040018040300200818410a00010140908800618040048008140800812850000242300040218412202010d0200011050084820040060221020000</t>
  </si>
  <si>
    <t>A35637_0813_8d50008810e08042200000212212510448000008300000200102a40202400a00800050400100200518208948848002400110010810c5020a102a02000440118108000000900040142a00152402010248300000c0001040840014080a50080840204ac1004010a408800308000812040242040800c00000400902108310210018002042402112210808c0a01810080a800440500010250c00640108210110700602142040008050918d00200800908010450410312000000e08100202000052208002648040100100a0820054040a808110e10440e00052102008400008648002c40008212052808a0000a840400240002800008000000400200008300248402000e4a000048510102800100140000510000008000050402050400800808240402208800050008400410d40800308400910040200810408840040610a02a00042400002100a00402858502002a18010000400002852002000008100b5060280000204811000061040200010201221271030080a142208018200800900c00010200802110800c0024a400508000410000140800050900102410000a02408d5080004000211</t>
  </si>
  <si>
    <t>A35637_0814_0800440c40448900018f00000410040200210002a00442e02052a02000210000c00002940848000200008702010010c42348050908042000100c0290071840020040a00090004014290850001001084804a050100500c5800204000224251090040080200aa1001251840840810050024030a210058048c00100b0050801000020080004084804ac08010c1a000140a00000200600810142040000112108200c0205020001001021864a408012400910200000802800010a4a840000310440012000008000440110452800002048058702a0804080ad00900140010000408c10000308200640a00012000010402002048100212410000a0820004040050825204240010a018800040200100200002448808810010c40942010258c08008200102800310018108302640100002010000118000002002f0090200a008d40418000040040000508940c00010002910040010858c00040400010508300050800c50000208500210118010400600048208200018410800000102018200258008410208148610000040808850342000308218400658540c0005000200004081210260821220810</t>
  </si>
  <si>
    <t>A35637_0815_0008252000008148002108312250000c0200824030014860804020010a040018310800010402248148808140a40000008200048200c02018002942050208000340800800040210200808100208440208018100500210808910308000050418240040040040900202000c02a08100802202110418000440410000a00000010010052012400108212910610000c0224810a002000f08042000800018608000010c00050300812100010000608000808308648610008250810c02802040000510a0280040001061000081281000010000020080081a05204004824000000804800880014005055020004080201004804040800881821010000080a400000d10000442900002200510012402c02208018048810000408800548b02000b10210410902200002118000002408002340008208808702040d00e02218040900502600000000800042800a02008c0054810011a80040a000000148848442210010050000340348000208040842000202010212900600a0a010002000212600450018452300110408400b4804081040080215040000040080250a00024200034085880010030204020</t>
  </si>
  <si>
    <t>A35637_0816_0c08002000a0a212402108e00800010048010300608a10402800840110008510442400150100040508300408000010640048110908102840002802808250108910000500048b12040210350850100000850042500800610400002102408010908a08900200040208010158000500142900508008302040052c0001020210024020880084a108000008052400010108850200200542840802c48012202410840442800840000640000448610110000012110210810802c0000a100600008548410000002808500500100a00c5030084a400010a08000140e08b0275860021000a100040008218d00002048100802200618c00152208450440802148800a0a01040000291001000014885a00020005000a010018242c1000800040011010a608002042048040000100800c0000884240041070a85000000004010a200012a00002208110450d0000864080084220a102010000208000500b0010020040885200000a000450000050002000a4234a20070081005814000201020200800240814270205a04a808808c02900b4090800031045000844264091041020015844210020004805260</t>
  </si>
  <si>
    <t>A35637_0817_8810002102000000102410040040400008142408e00608c1010004801030201010a01005220021860000080280001004a042540400702c0004020080a30021024245890010000260a100e48250040042008400808c00202500100108202800a02610100402900150008040240400000b0240821025004210000081040821000085001270020000a50041204854060a008112800110800810e00100010100c4881810000221025811000080a010142008240300000608110840212000d0030220005020000800201800a402100108200140008810c10100540840002310400a0a100800848008018008000840402000600810b02800852008110450800208008040000150440000352402102202018008000c50008940042000042010100002100800a40110400c08240440108910108c0000801200270000000020880220090010000a00080080a800540400042000008040000100100302412200248448040900200448c08000248040200202418010402608002800848658810048000d0024021800080051000a000e0015000091884000040070000220800865020a81000010021020</t>
  </si>
  <si>
    <t>A35637_0818_814085a010842010200508940040400140800010a0060080001090004010200840864204284a050002508c10002010400a10100900a0000a040508000402f1080084014070a20000040050020044244000a000a08b0a00080224801a20011821080a840400910208210040448400408242100018200600050402802750100048000802a0890200021000221001000000800021020040800294804200031010000a000700000000800000412410002802442000210400040400150608a00512000000500a0001090045a850500000048302018500000540200908300400010418010c4011001280800a00a800900000202600400842002300a0000a110802010550400000102010950042010a4090801200800001001200280850890000a04205000a800100900200000000c4001041860025820a00080010215000000085ac5044000204ac0840000a01020a00211211800204004044000000880044881000010080000081810a000000100148010900b0201001044a002200b00158240400040a08040000a10412042100008608218110642000000950000a00b00a4000244201800000</t>
  </si>
  <si>
    <t>A35637_0819_0408012450040208610000902802c1004a308108400150000000040150200018000208500000240500808a4001001090a200448418418040110a00102340010d4021a00014211840201880824000024000041a000308808400608a00008200008400c0204205a050000008210400b0004061000051060891050000a008a00810000800608000248418842800010000240108000a40002442c40200018300140a52002040242000010d1201240004020044a110110c58002c02810310000a40048040a08a0000001811284280080014060a60020840801000014050a100b1201040254200a002800548012902202000410900840000142a00010400008200e0000000800a118400212042000808002410808c08402000c4004a108800540400410a00040700100212040110102942450608400240840000212240408502040050202000040110850a08000600200108200100a08402302010018e00600010000000810448408110800502000002410400240408440d4a000010900000202850408042000218040808110240000040200052800002640b08140010748452042000800302d1</t>
  </si>
  <si>
    <t>A35637_0820_0a00800002002140400108442012410200048500c0020000040000004804801081001010274011021821821040801000000814010084a040800800010508000102600900040a02018108208400440940802000c0000000880290a04040000811a40241260000000201020004a00284a840000608240800112248002008110100452140400018002510302808400200008452300810400440000802100e0820a040940600002140000040010100202100740d10a42802110202008008000802200d1014220010a000808200800840240118110010e00802548802010010750018040602008150010400000900800008000208040448840500058040308300600010400202100010a08810040408b1045861001201000000030050800025080800000015220280050020a44050000000050004000a102000b00118a08e02002000608840550900808800402a00842612008000440402c4000014211020060a41200031a00a010110018140308000102000100010810502210400000112400040548010100000400048002200b1004800810001001280004a50281041280280054805020020</t>
  </si>
  <si>
    <t>A35637_0821_0e4a050552040010600508800840952248000300808440400002b0834025010840020a000c02100000010100808000a42208002200200000012302008400500810608c50008100458710000000042c00012040810440412150000000608608018008902a00108000400252200000042300200210a02408000000910018a00c02212850400010658000510c00110a08908050200c02800000140800740908100440810002302042010448840100908a0000280804880040220000201a810a12010900248a4a042000150a10100c00a0844860840804210220001200210814201085080000800231860044854040204000a400800240010c0801a51060080044011200024020290000840844000210001040010040a142308000050408d12042800408a00100010908002042140012010610c0205810000800854281001804a400200912600008100200812448050100008040a02000200912000500040400040002100112908208000812400200008400010c00010800000148908512840400642848640110b4804800014005044000004200885260235810000010061000000004801220</t>
  </si>
  <si>
    <t>A35637_0822_0012218c0200884a04200004204200010091000040041001810040020a312110850802100500008110400640008510800000000c0084a80290080800001a410140a10000a4014a118200000a00110000840542118c58200010800100218508042008c00008218200200000610812542150102a00500418402400040040200100040842802200340c0050200200004805030040000001011080a150208a08c48000410900a0000a800140212000202002510a0014004001240000805091001084204260810045060041800ac00300800412200340002000a0000030200080804a01040010001800021024800084a100340000600802550000202458600500800802200240040008c00208110042a00000c0040a212000100a50002d00340808040002802450308052810400640100210810440a0004000200a00000001040850290220000a108800440010008a00400900000810c0204a00a04820081804000200081010201010204880014080210040055200890060824a340908a02208440d4284004a41001000081200200000060864a210050208218500310c0a44011020810070820</t>
  </si>
  <si>
    <t>A35637_0823_0e02002010b00000040408a1084800014020841800800001800200210040040004204800000024801041091a21814244820260080045081050070020001030834880240020004a04800034080a10004804800a010810012100002000600d0020221014014281030ae00148610400600000002300e5045a010348158400800d1040880024834800850000200291030284010090020041200004aa0040010051221080000001000221001a20090014290241050000004000020a20a24800041040054000281a008010010242910100a1020010800a44004000284a240400840842810800900500800008a08402400148050200e40402842140108000108210008102208b50000208100458012400202008410008008902100100400a10000808410c4280011000844005000024000001a010600008040300100100000a1001a44204020060a000348408800808800042010000600402400800148000b0ac0041010884025080080004a810a4000000000010205205000800010820085a000842102100158100508400800a00318412010202600100000002640008e1801800020a05005040</t>
  </si>
  <si>
    <t>A35637_0824_0840c12040f00200018918848200140500210402000c0820881000a802040010002200410108000402800150c02440000040000910000a40400200a08008100340048d02800040042010250610402002b08000610808810402d0a80014261055a00a00000020004040000aa1211000800800240000020a91034030a102c18218002942102002012800402a5a000400800440e00010250400000900210200f0a00001010004205080805020005030200820810045000000000ab0000a10804a400002000008048100810e0880280800020240805285880000210a400a0820800a00000000a118000c50c18010542250042900448440102048210102900a08818002100052202110000040100040a00500008612412140440802040400c40200540100000600008a0800891000011854a000008e08000340102042800418010400402050058800002400400202010440700708200142008010102808010000c00240140048818408010410d4031230010044000a80020204020a200010210d00000002002318c00840500300110302008610000000000a5200a600442410410402040408a1</t>
  </si>
  <si>
    <t>A35637_0825_000a042000300048510a00602010440d0015001a000040848152800900458c0021824a00064000a118010d4020014010a84201a40020820290004001211800050244011220881830010000a440800800802240800442218042b02000100a08048202100140952650000300818040008050400710a00012800440a10010100608400440202800008408552200412d0280000000800004014024a258202010840200000902218200700400042c00000900400300200e0010240881000030041860001200000225820084000a00080014a000310908608810008010008010412c1204220004824850800a842040200000412800a0024890200000044020050004a900300010200500000800040008102010500140800810c40010200608c0201000004204060050004aa52910840202200910108412100108a0845801061800040070a85010030000820040200005004a010140000010008248208008340208010500a10002010412c0884030011011a00060020290024010810090030000055220030004080000000891020821220860025a24200004a00231090004a01005080220011020</t>
  </si>
  <si>
    <t>A35637_0826_0100200000000a40242008102e1800080080000000054024ac42802800042108418040040100a0010850020084004004810a012200402c50900602850118408242c5a000800800508400c00810000c00010658c0081080a90000a042340d0041004205250000000a618d00802000c0004201050000264001010880000a210012800410902008112000210440c4020ab0244250080841850000800004020004064004000a002440010908240400a0020a212200102842810402108048100500200012000102508408200810400802042010800000602800800300600808a00850900000048450000108200110400900000000e40818000a4a11030221045844800014280064040011005a000102340208a1084020001010020810a40000040804000801a04040804000200220000005010000a802c50800050510500912002400040040010100a4020080004a000000500a4280800210a008248410848210410a0824010020800000015080a012540010408c0840200001004041070a05000290820010031020000a010548100100c00110040042000102018e08008040840a40018208c0</t>
  </si>
  <si>
    <t>A35637_0827_0310840000002008040118040e00d0020235201080884201004000a810700018100402052600800202208900212c00000042000008440648010040900410d1061040040000000000860010204ac02802948300600b1245205060010800220010205880034000014020824a840510342302008200c00a40000000058612000412408400408348110800218402400900100610218000202840002012440900012050000408a0840001045860204250010a01210091060a100840000440500108840002508a00200000a42218852400040108400218410040000008202c1050021081010010a40000800a042150840000012800000400500300942202108802002c02c4220241a01084821001024800a048110000a42400100800400310100040100b4000014080841040204220280200011015844091000285010020011224880220ab4a000400a00810902942b0004200015840080050200000040080800210000214805200820281204000884034001800a400002d0201001ad0020001000080804014a41000004010204080030000810260004040890805000035800801084030a00851</t>
  </si>
  <si>
    <t>A35637_0828_8000808002502118100a1020200205020220800021020a608000802908240c1070245241084280000040870284241004020024880040020a440c4800000030000a210100040010610900502410800000800000000842440010440202100200608208000440142440308858802842100352200000c58450c40600810000010140e1240220210004a21000025000280a10044880850020010080001800040091084215024210800a00000280a00080000a208208202010500100840000500000008810100000212d0014a400512848200442800a00400102008010100010600000000248102408000012c10400b0000000201884021800010220a518410212010002000810202c08018800802100818200800340048400448242002008000600100008240118400242208800808900008210842c0a802608800458300400210000000b4200aa00000608012240050000808110408042000348400000610802400000100002d00808800010402302140900810400000000900600200050058940840a00300400010000910208140002d00100a00800a4211020021040804a00040224211220</t>
  </si>
  <si>
    <t>A35637_0829_084840010280205a440300000202400500140042908052c0801000000a000008308800010140040658500600c12c5050211020a80004a008000008110510000102248000340a1200800025800210204200040030084080045040000021000051001884030084000a018050400042148040002400000000010040208200308000000800108142500008802400140c00808540310140448902148910240000a00842c0080a100140808002010800500918100a00502010442848300610c0814040a40020001865000820821014204010040a108950008800002000018900242002140002202208810440250100142008308008512600000008040050110a5821a002508808240200040a48000048202000000350000150d02810000000242c02010100002008c00000a10800402a02448418040010110d40202000800c08010802a0020004800095060814020010a04050080221001044031210040010800200014821051220000080210004010241031000a24a000002858110000540600040002a00010100818850412102818000008200202c40140b0204a01060280050040081845040</t>
  </si>
  <si>
    <t>A35637_0830_040000a410242000310708000058100842110208400000000540008042210100800200400440110400808500000940800212102e00000612400000208308308008418010d00142150200010648100a02b0001a210c10800c40302000200a18240248040640140008400800000c42300a1800081014040040204030850030035a802000808058102410840008010d4284a018e0824221001000a000208008242240012d08208200c00048002c00008000552008910240110300010000610218808100100812640010500000040400240000d0821225004000a20051891051a840100d00100100800040008c4230080241000090080810024a100010d00410210100008008000100002602d10002042200700100c08050c02012210000010010000400308200100d48a02000502000040c00000402010300000000000240c4205000214860250010a840802440148042000a10c40000c40810208018400c42400c0210011060800800011004001220240085200000050a34a34880081000244010800020270800000080290001000a010002200800308a0800a00004220010044214000080</t>
  </si>
  <si>
    <t>A35637_0831_8810800402a00808418208c0844201200a11824a100008002440000018418300402410000a42200000008610040010440b00100000400008802c00012340010440800040002048010110048210000540042310000702600942000a00012018850642010408200010010150810100800000500008200c0040090a24200a000008002940908840108f00a00008000440208010c00c0005850200225a05800025a208002a00000140108002000800042210140000000810000508000042518812010850408b10400710c08012000a0004000840044021081030010a010000200600400100040302810940802150100918250210200012042000a10502808b5805000000a24001220050ae48440002010000c0820044211240220a00810800020a040442140502110250800400600000102e00802000d00008202300c00b00802000440810600510042040012040b00008a00240640410008800010000450800010000b0240241890201000080280020200835200a802602902402900618c4810000800050200010200251050021020020001a002c1220004205011090000001000010225010</t>
  </si>
  <si>
    <t>A35637_0832_0400002c1040034030201020240a812002018018000410c40412008a4a402100008000402008040000500d58400842848050248008c02c40000000340108400042a00010200a18400c10410408002000008400000002810940a4080000010071024000200010855011820000011020001001060080204804000a000002200500048002248212300810c08a10900108008102b0030041800030000000040021080240020a20261020881800a040700000740408008c12050400002140800210200040140800002200040a40540102910408800b42010000800108308010240600140000a0021a500650612c0000084241a008408200000808040008300140040010500800218a0060001050080a048540f1000024811080081244050020001200080005840a200000c02002100100002800300048400008210108e0004a808100000002550100000002110442008558808000802910b40812200818008210d00440042210008242208840608a08642010418a00900c08208010100400000012002008212718100242c00100002048010440002c0080a900000300200e1881054201040860</t>
  </si>
  <si>
    <t>A35637_0833_0010810002442058148008008a50010900810000300c10818c4024000840050824080a810800002340908010408100800800010000042008040a00008110208000010800a4020010210011280a04214081060240050084000014825005a210008040510700800140100112442840440810108200012400802008900700400608050000100012318000000000850640008218800402000410800010102500c02042042400000108310202010010800812402010850a40000008040402200548a4044004004241220024000011204820804040800080001010800060a10000020080020000a40820020205010090000225000011220a04084290a008c00252012410040018608908000008500800240000410a10000400048000518908100600050300842200008008410810100208400a08300800000c42050010400648c08050048340042100040840910e00a40002008b4804804270221000a010812200100a48b00440010108212c4280200004020800800045040024040010840200010024a908100100a0000a91000034040000080ae0a002c4021861040010000080040000024a00</t>
  </si>
  <si>
    <t>A35637_0834_001820a00200011001210081040080020890804041064880090000800010060821001800000aa42140910000200440e0090a000c1001024001080221005050800820a04200831024080820020844040a802002010a0040215010020021a010800240840b02040140100002a02c02000000018810d4a85800004a852140310200a0a042040240000708302000900200910002100002042802200a1200a000418c08800600240602c0004801055004010000840004a200402802110010c0010001801020014231a41000825884014000001aa10500610100242002400008102812000e08200040300412c48050202008342200a10240902800308410300840000050002018048310250010000042310142900200c10402108200252000012000002400a02640e00250002800002100002800000c02110f40000000400012002442002012118408800040810008018010000818c10002a40002400a1804000840050894040081074020080020801040850081a80804000010010221824000800024215a440200c08c00c4250084234201011840085230001020040870000800020020024040</t>
  </si>
  <si>
    <t>A35637_0835_8200000150140140100000c0240004244814200a818042410000248808010908400240102c00940518018012048100148800040018000a0000034031040041804000a400508a08000210010c0281020024804a00040840850004010000840005081210224000214020090000890080a048452400c0200084004201831200080801041000014001030060204894050000a20801040a040112a0080014020004004215050000a400000008208010000a0020040880a40084040a250040000900208000040802410610008800000e4014211a810602002102000a08148200352a00502e08010040c00b0021ac10448948200500248640410408000008000340800840d00000402d00d00402902340340240800200408040000008442908900400002200000650518000050010000008502610008000402142100100400c02210100248010242c1811800a802800100018300500848400048140408110102800400a0820001220820044284044080000050000045800040a840210408500c1001084010004201041201804060804010030000020291210024244210080080850200024004080</t>
  </si>
  <si>
    <t>A35637_0836_0218000042240a1001080000221050000200001a21000a00005070021a008e00e08008802002002040808340418850902300010008218040140002010000800e00a00012800000658000802c40910300048002208510a00410202058600108d08a0011004081a008110010412012002240600900800c4281004a800100c00700050002448000400008040800100800000258400a1885840040a10010a00010000a400002140208008602018840042002000900a08c00040a08010010c08500050102208048000b08842240000500818100000050e0a052100110040618050c48400400048000000040200450048202502800518000000800100008400400810910042118500200a12808900000108002000440400050548042010a1060200001090824040211010224200040005820a608000250c00040842602800100240500348808210400250a00042140a10040008008012c02202810548000a00000040000002008b0010044850204001240021010021800054080210000091a20a840640018510400a5000201084200215240020a05204200000200280004241804200801061041</t>
  </si>
  <si>
    <t>A35637_0837_004aa10000a0800a118810d00048000040008000a0080000881210a01840200000801040000210060851034860200040200251210091a840842100002600008410048c02300800000800b12800102400000258100942412840100100150300c5200280080021060070040280880000820a04210040025200030004800aa0824080004080210000080880880a000100142208208c42000900002348000008008010000100b00042900208408102202108208e1001005810020000a41080000004204000824274000051000050084010031a218800048910c0230060081030085001290a002500600110610810008008048a08850840000000800000018e00a00100300050040500a0801800250801000a50820841041070200004260010a010042602358008000248008400340002010800802a1a800a0220a042500000608440800040112000458000042100002702310900c0a000000008252200010000910c08200608200600410002040000440010348a00400002350240200200448402300810102a10002a1284000000214821030001800060011204221000800004010000231020</t>
  </si>
  <si>
    <t>A35637_0838_011a050940002002012400100000440240800140d00000252500040a00000008000012102440210058210042a4001000004010a110800840112908000012508a40448010800200048208008400500800800100b00808602440700118140500210810842a4204850080050044295000031210810014284a81280000045a810002210000042048310e1880001810000020000020804064805220a21800090005001240050800040020864085800240080a142208558400d5030a00a002500740040052d0280000040805280080000890010040040a450000048340042810100202c0060030040840025820210004a058200410c10818d00448a58002018410000800800100610c0844a400040000a00102908850802100c0014a600200140000102848800040410000008810302100240500408c10c40a00310142208010e10410000040010200512208900840802318018452800400a0011005040870000204000800250ad0024260000020014005010000005041200a04010281040861800210081020a300d40000102b40100010100a4a00800044280a14080801020055020001840220</t>
  </si>
  <si>
    <t>A35637_0839_8100018102d0230050290895000204050801a000810018800142600900008800018c0080210080260800860a00204040011800a110900a0841024a048310600808402d5040a15030000080800a84210205054090800800051020024040000040020a00010004a44091001880a910800a00210300a10c00140402200400408918200050002000000000b0a658400a00208040000242400802c40010050400200242402240310140000240210010c0021200200001000ad4200214210000884264080024004240040000a21081200080a102000952818002108000642800d0000885000880020071000240045000011040081800044801050a00010a810400800140808102600800452052c12100008110200412000800208200602800840408010102a00040b08048200400502102000010a0260000090024201850001200010010884004010050081a100c02942100008108a08102000300002410710810050802008602500010000402040802000610300c00040500000300808000402010400a00008e0085000a51004a04800010044000001084000801a810e4824000204804240a00</t>
  </si>
  <si>
    <t>A35637_0840_0a00800910c4020045a00041800280054800805880841a002040008812350210540408840202000002100d52050002802050648008a48000410400158040b0001800004270a010140400000a0080004220040000861080000260800040000010001200054a102040010440408010c0000001030014201090250021000041850060081000820a05211805a010000b02818050118040000002000b08010018500440c10a08a0814840010020045020080a000010600240900a40212408810402c5050044280024030090a208010a48108010908112e0285030015210040000020205000011030a30000844880070a000002c00058802400140b02100010c18852042a00000210600e4060091000081240001080284280000801000280030040804030220210810041061080240aa40500000200000442e40812040200a0201080280004821041080201ac0080820a00ae1020200880240a200318000040408042b40802402200808c00c00140200048018800002000340002202000050002400800a02200100002012012202800700a0011021081050084001ac0030005000030a80000201</t>
  </si>
  <si>
    <t>A35637_0841_8350602040c0001a000800748002100c00000202100c00202400a00000150508040048002408102600100400010012000800012c00800000000440000408308008048002840800200900a10a0881010081004a308102010002408040708110a1801204040800204a700800000c02042000600c08602200010d00018100400002208d1044220260011015001080084225811001024a000000800202002600e02408002400802040000040400800400240400818c00000010442148010010308a02002948048200200808000802202000200808000208000040040502510c10000002500042208600012a18400800902410508800800102000212000c10012018d0070030a040400a18000010c02b0000840800840014000a00011280081000010080880074820080044a040f08102200000300a02002040110218010408c00000d02940000c00240210800708110442200402c4814010a34051200011000010000081024080035081091200010000040805000200010a000242200010050800d00a4020240820021001280884a508d0000001001244020021a800240e0a500302000012b0</t>
  </si>
  <si>
    <t>A35637_0842_0f1004041080800220011040200200250210030a700140848c00000b40040100000408500840008452a0040061200280010840000840020081000a048410800d0041054000090204890080a04a000008a0050831040040200000820805210015085200280004200a008200208010040000012008000000900a42102000400048c00042a0220004201010a040402602012402510410800400048008140400600802010002018400000400042100040048100c00e42008400d0000825080040a002050840800600810000812840408242648200840050002600a02010a0044004a00030294034081894800010030000040841871a05800040010064000091a608c02442910000c10500a0040000090045000010820004000001a558100400240c00402050200908450812100842300208d10c02400840100110002400a0800200074000014800010a81201080800a20200020800000220080a500008200440100042050050108410802100a00000342c1000800000054084010240010a448c0000000860001030240a000e0200201010021801a90080211000800040280084070021200820</t>
  </si>
  <si>
    <t>A35637_0843_0200208900508852002b1894001a81244000a200110048e02010c00348450010040408010c4801000240004000044020a958410018000012000400a1814001015040a80210a140000400612058000040900300008100a00500e4210200000041004045080021860a408a00600000200302042800400602102140000402118600600802000240408108050002910940108212000200012400800800000200848602040902012418300a08808810200150502a0090221a00024204800221080280000050000000000830804284010030204090080201801044804a050408002000010440002218800218010c00808040010408a40810000202018008200140642500840002100a00f50a42100100800200418400842112248058212010000c10112200a08100200342c40012040302402400402000802100310100008300810810142008240400010042400640010000110d4200094000015000050000824201014004041a800002250002002a48208010c12000800000940000100200658040908108042508450c0004200a848040200100040c0030a000648010042e0205010a14805291</t>
  </si>
  <si>
    <t>A35637_0844_0612040100402208000410008c00412000a12108500040200410c0821010a408200618000008a1810240880000205240015000000024280200270081214090000240050090010271000085801844090004a200c0054824080004211a44000014804081290010060051820824000040821a008a10202a00d40000a40118008002200950842010048a00310258402c02250010000a00000100540842102c0000a00804040205001840060801090090001a210100010240100008240002010852000102842042412d0060000a150042100040400040000410300040008008a5061844040200001850020840000040000840a210640000100c40118508008248800840e08000110508400000840c0881230030000201a810002842000000000a0214010200870ac10002412402e00040042800148010002002800240010100240040200000602608612012000c0a910448200018200010440208012300912840100342308200010700250000c42000100000800a1a91004a100010000300a0ac00c08050002a08440250402402002010218d40a02000248808150208000402c0200080850810</t>
  </si>
  <si>
    <t>A35637_0845_044000845204090250231091000a840140040400200250442d00002010140a1030800040204800200210020080880080a002200010412c1041004020841020080a800c4020200a508c00100208000f02140142100240618800400800002800048a18002200248000200902210010400842118110540000000a00050310208e4080001000a05201000024205a84200a240200200008000002500058000000000600100000940100610002240402100200200308200012140e0024205090821001a140008908100718410050112840802100000202018040348010252108140402000808000258800008448002400052110100400240010208200440600412802c0020a018000018110010010048002500200900800100140952200400318a02002300000300808048010540200050350008c10a02410208100100e10a4004885084a24000a008000602010c0aa0a21250041080000000080810000020200815010005021040005000801200000024820011040814000224800020084205280040820854030091000004000285004a808502a0001020010020040020884880004011055a91</t>
  </si>
  <si>
    <t>A35637_0846_014200041090001800820005a208810908242000410100408000400a08300900142050802240300010218048002540248840142800010000802900b5041240000805000200020074001801001845204821000821040881054080080210080024000040000220214020800024080040011030011081020241040085805840080a040402d0a000302700a00400040a0a20021a500110012000940100442000b02000050108040600008d00000150048802412310848852410008800700008010800040400108100200e02210800000302408c08040410c42500b0024880010800000004801010211810241280060a050040010a4044a800000940008408200040102642050008000400000400008048412010652018002440100410208c08002412a08850200200c00400810000a08000a1034284280000a20010201041004000020230a612000442812040100808200208308010500600302340c00812e1a400c0200804830000024a04210094010800004a810012502018400018110000110000940318100200240002440112400318140200000000100242100052010042d0804814060</t>
  </si>
  <si>
    <t>A35637_0847_080285840230021010051011a000942200002042e08558018142240a00700400642842010400042040000902008010040800300008608000c00402000110108308840142042002010e08500402402a00908100010200e4201090205851000000080ac0080000a240000002002400c08340508008108a00002100012450400002008800802308202a00450450850142300240300200018d00048000442800512810050e0010001a40081260a100400040400018400200800040a10202c1810200000070824210890000044800044200240280010084a400340158008210650000012800a0000a118040c0200254214801201020245800040000010880004a200d02400208200b00000200842008110002d00100402810842010200800a0a400100440312408200908050140008010240008008240400a00a08040008440812110402950010e0000004040220220040050020a84004280080800040805081004020811800a200110610000608012142218300800800200800140c0851084010000004200800820260010000010a05a400208000052408010000c00200c0a00290080245061</t>
  </si>
  <si>
    <t>A35637_0848_0802400802008a4804a800c0a448002800100510800a00c4004000804024200804000a44010001800260091000005020005200011010a408800a0a202000210100842c00600008410200740200000008000400008810200c1004a11200800881044251240800031840004840a100d0021000010085a00000074834020090004aa12042100100102000818048012040808200118312400040708240002000000008040140148140400008a18140040002108a08100440402c00a02200400208000552202000210010040200400b4a14200810840225000080221040840000aa0004000a848000908412200d02040108540100608a00000508000140800000000000802050052208908808440202a0000051020041084020011a14241021001014210090001a600450402110c00000500800118012000c40212602408a40610050a08000300018212008452408b0000ac0010080000000800000a218008600802c00242210210042442050108908110310000202410000312048610d00c00c00008810100a0080000a400640048450400510050402108000100200010c1800200000a04840</t>
  </si>
  <si>
    <t>A35637_0849_030084880060004070000800220011080034811090080005091004090000a20030841080050880025a010100400500c4000020800005841040080a802002210c5000291080081020840891000241200a00000020005080001204a242400400e00600802400948100000648e08842340118110500108010142048008542400300012840648a1a040c00e0240090200a000712110040058000a00248000210402a40000000008600a10440458010400118110000100040002000300000210500852002000810000908a1004000210a808000110a08040800440940108810100a5280020010041020814020880000800241a010100800400042000200500050640110840a00500300002040000108a48008200c40842010000300348000440802410702100200c00010040800940000600210810400c1080000810a900008608440008110452800200048400108012002008302602010802000258200408a02040040040200100100808800c0a818000d1064845011240800050aa00102c0800010224024020000220010210084014000051800050240884000041820800200204804000840</t>
  </si>
  <si>
    <t>A35637_0850_800881244070280034000000020040260280050001080264080004214801001020a20244024000240840065820a840800208042808000412040600842000110458400812c0200020240010241000000a000218818100800500008242042800c10c00010002110110108810600042240a58250208410400010000100602218050802850500900052200e00018100000000610810010002800140b00108000c4a00880004024820201085240a000902a1024201840004204214885200290080001011270220050a400012000100c08000010210c12608400800142740a00200000c50100008412000902812012900148208200012000440200210412200808650800000812408c1000000000014220040880040805a010200302018800000a00940300102000a1044020801200015230091004025a00210800200240044040010210084000210870021004080804a042400108608d40040800040010a42008000a08310140408048840000140010408a1081000840250200820000010200241224000a54000001a208940008010348100c0200000094294010801800041244004284260200</t>
  </si>
  <si>
    <t>A35637_0851_8100202010800010418200048050500800802448108840458100d0800a00200001860000230204204a000c0084210200005004021020044a042308800100d00000800800000b52500800442400040042300040900802012c00800140210408200608100008218000218012258000108140300808d02840900202000040210008402100d00a08400000010a4a410800040102c08a10208410100a4025000084040880020000000ae0021804004070880810880060040040220081000260000a00a010000000100100c02008d10800042000800102200140048a52140100040600452408210410408000208850900010510018d00210012040002408200d40c4805210800040030000820050000220a00a00041001a402802118108410802010400108a10112000312a10c02d0080800aa00040212540000010018800442800500802002100008e00400c50040900000800a10000502800140208f0814000280004200800281094201280064000010a200000040002108940212918008040c40000042242618810002800b0010000a21804804a010108b0800000001a240040302a0830040</t>
  </si>
  <si>
    <t>A35637_0852_821244080040210a408c00a4004014220a100418810410812100408202010810800440040c0080040001850080880024a002042e0801200051084000a708018008400000148040300c00310800000048200450100552c40c10900908102010a0241000224010800210020804094240280000080020221a140000208000b0050005080204200801a01004040001000020a01a008802058840508a00400010400210000b08050110208002010002000000500000852240100408102002300700a0880200894841020800a050c5200024824a400800a02400108240010500c12c40500a42112640a00308042010340200000400158000110802042100110040018550c40200102418048248100c4000251a20880000011290005025a100008402400b4020000a200040410540008108010100a48040142a00800208010002c4244010000830a81810200801200204a44090000065814004004200840005a202010800000200a00202850950008048202108f10418010608840048208c40042000142002008910408800000408200140308400000912140202500808448058540a0084010281</t>
  </si>
  <si>
    <t>A35637_0853_000844a15004800a60830000084a80200200844031010000080030084015a21080040050020204a212000150c00500a00b08110700002040512c00208110c00312408000000040000000a0000800004801041021000201280234021020a210948400900a00200740800000212410100800400100d1800a10004000260040084a018052008b0000ad10112c0004020080a002400010200840b02348402000450600000902a12600100202a00140c0001014801000060a400e00248200e0800000844000005000a800040a0285014000805ab0804a212000100002100908018010010700100040c18408048102800a00040100010800540008040202300840a5040004000200800031800090200a00800a81000024891030091004080860880240060010000080041040204000a040148500040400100442142000100200400012242848100c0040aa0200000834811800001840000060a00014000020020a44004a31220010071800001060000820a00031240284054030210010040a40040030824040a40840021004040001040000001a04814040a000442810850010840840000008e0</t>
  </si>
  <si>
    <t>A35637_0854_065800000080014050000084a042050008200150210008c42002b40140000900442040510c08902400208008a00802008800212400200800800100308440900900448412242240452c00808600502300100208418600c4800080200061050000025a500442202000008900000400540918000210210010000040002202400140402050508012418900010000000608040408200600a00012200008342608040802910848040012108040042000802a10640c00108600012042118000500a0280000014020824080070001851030000a04000010a200040208040648818310000840700840002810402642100008a4051ae00500a00800300812008000d02440d02400200210000902c10040400000050610458608c0004a142008100308000800500a1850a108300000402702812012500810240000008b58400010000442802000902010000250000010840308102108a0240881014234800270040060a010400900500100c0ac4800000081020230800061001080804040000001a040000e0001820021015804890084220020000004800240040081000040034060000040894050020</t>
  </si>
  <si>
    <t>A35637_0855_0a18c10100500a10648200000a0080050081820090024001840080a01030010010081081010821025041060800a442000210600008000402002808040202810000c12c02400002000110012c40040048040440b08a08200410800048042000900800c52000008208e0031205004040a818448800308840040202100602000108858000202108418200400052000a00048002000010400900800802218008400602412000002000210a48000950100a02540b0040280000050830000210074a802500242002000c00a10008840108110000600440042802800200448418210248400302000040000508a10440000002110410202000412000000048000900008010208018000c10440408800000a18008818800010c52102a00500400c0a04000200a000148c1011041000284810210800094800a010140042310200110202040302150010300900050c40002010000110000200440008a0a100c00c00000140002800200e0840220840050010220020800aa40040e42102008c0080061010080801001200821800850280010221a11000024204244000844000081061040050800840011</t>
  </si>
  <si>
    <t>A35637_0856_8042240112802018110800400a40410a0080820001060240a900502300000410000410810142000000800000048c02842302042000310048c40100002448508608002840642110040008c02000000b0804a058a10402010042d0000200821044044805090084050201084045000000800804000001801014210201a052000200c02c12a0800200001010044a10240a040000218800c48800042100048900a00810102800208040a10518018040440000210508012842042208118100800800a00450448200100e0064841811204001030041020a41000000a00224080881001090060030240a800000408000b00812000810200e4a50014020805a000108450c00000000402818808802000002248040000010800802100110300e0015200801000010065000080020080004024a418910f02012c40840250010000012410800002040302200000840902300010200d08940010000c0020244090800001011034a048700510800002c50140858000610002440052800000202500800210002000018400a10000c10000000000148208140000d10400000118000b0a008102a4000010240</t>
  </si>
  <si>
    <t>A35637_0857_040280a40020a34a110418c0025085284a110408200c40010800e40000108008452002c0020080814221020020000010800024200010080004014881000060805041040050890004810010a04a040200900112000c00448100508a0041a408008200840100108000d00200202440200040018908102012840802002000408608000840800900010300242400000200200540400802050002000240050800118210040200010702e00d5000204204a05044000030ac12d00000008140008b02858042308012112810010840140240248710210440808000800118000208c1a018800840010410408900200150000812210000410210000c4a10001210840a040800c00840718018508602800a0094011000071200000080004810071034084a010840a12608400212400c40300300002408218802412100252040b0081041080220000840800804a458002b4290045810040220815000000010011014200040080011210000020a208400140000710410000c1800200020a200108050250900c0814010820044a01001010a802402218010808040008908042408802010c02002b0800870</t>
  </si>
  <si>
    <t>A35637_0858_0002e40802000a50110010600a18000140018012400102a4ac10040910550a0090084280020000200a000340418000240212000a00610648100d4014050ae00508000840040258202418000200800040840500800908400000f0200040251004000040280a000042100000000940002000648200102e00810108000008000412200000040212248a0004204284014010830870021201ac0080820035040001240291090000a342908008608d02108802400c18800442800240a0034281040200200080020040810001aa00012202800210000418000140048018040100008800150d00000008b0000000244054a910100910610200002400052658010212802410100012008d0081000010004810230810884020841080230210000081800a40200814071840850804a11024a258600c00908800002400a42600200502018010640040450a0804020240080204201051800000a900800108000208000000012400040440810002200000808112008008600008500342210000008e0005210020005035040020220851000000820081805061040244020021840880220a84004804040a00</t>
  </si>
  <si>
    <t>A35637_0859_050080201050830001a10860280211094010800200021004201014020a24a11040000080080020020000000000044010200a11220040a208500800100108608018450042002a00208000100208540400002400100010412040208008000900608002812d0220000860060044804000204a000000010a40100a08802140900b42a0204080001855020004000a012000050000600200848d1030831044230821000a002248040502400c02010002a0880000820861884800040000864050804001801240201821000800000815040004034a40801240051204810040a61000840a842a4200254000080020211010800000a000808640400f0801824210801020210220201001040014004000210210004280090801800200000000290080261004030820044001820a012052100308040108502000042448000252408840608400c48b40200518012202812142350102010040010012900200002808800840000140208040310008402100108058140218440800400802a08000210810040410e0214024040005045a81004880244011050a25880000a100402e00000412400b0210060800</t>
  </si>
  <si>
    <t>A35637_0860_071020a450848200600900500600140040a4810040021840204040200071021800a418100802000210b08c00810c1010014021220000804044210801221010005880000000010840820824081090000090000211004a05200200200800000090044850260880000a200540000112800102008c00600048400000008302800802800810c40300242800008000900000042412008200040152200010440110002c00010140800040808a0244204030004a110000100000100a4090000001080805000000010844051814a642800208b12000110108e0000040021a41800044081011200280024020801280040264800020010834000240040021020011880801840084a202012300300218012c00048108400008802402b40a08500218c0201a540048008040418000008102a0084200a400a02400010d0230070011014280800254000a00860030824810204a112340410040400c00300000050408500a5000080004840a00840241081010004a140108408000012002840218808640008810a08800000300000810102508000402b0040860804000001804200814084285000a04221051</t>
  </si>
  <si>
    <t>A35637_0861_0110002842308b10202600248042000108240040d00c08818100402200240410010810502102018010c00000200052a4800a008900100002900c00902050c08210400040c4011201280094a400000000042000300950042400000000140a00202640412800008010410440040110900308202200800400052800000300800140c58812308b5204060000220840000080a500410410450140000212108000050800050042200600810110200910500048118010410040040042250208100240e00010102000010810148002100800940000118800c0000240a810710200200c08810800000000100110440d02c00200008310808a1880240290a01010080000804260200811240801a210002840812000600b00a40500208050008d0030001885084014000200800000215000004000a10080084801004221201040010a440000c08802000800002a00010002000442508008e08502000a5001210010000001040801820801090020a002300040008100500000000c00800010208008010c10400010508000008a08000a48050118000302c00c40000a50002700018040500100a00008c0</t>
  </si>
  <si>
    <t>A35637_0862_864001001200001200060001a41000004000a40800001005805240090a60040000000811220805000a008a40418110000000400a00000208042000250408810900a10042802018000008518a0280200001020010804080880084220a24080024000811000830a05820020a612040100340000800c0225810224020041251800005001004080010a010242000110100910040c08e0040044034a80a000608c42008410200a00108a08102408800440008400d00008c08140c00210000010258850c0234020a550300510002800408002112500c0000a14034000a050500a42002000840042000800400808800402200010000010000402c08248708800002000002800942610608900600902008b40402300148c1014070211024001084000000044000810080000804840024084821040830241001200221020890020a012000a40100440d10000c12000400a08000008a4004081080a05011801000ae40050b00840042300402012c00600148240910002400040100900400300d08008000002008200100c42c1244000081060000020825201020810004020080ac40100d4230200a00</t>
  </si>
  <si>
    <t>A35637_0863_804064a00060230210050004a01000060210810240880001011004a140008008050000140100100210900640050102848848008000018200900600a4001a20800044001230a00210040821000011000a300608410f48802110808808000000010c18000202050042100308808d02000048402c00410018400500100240b0000000080200810035040065000000004ab0001090080220055080010230000020840090040000871a00000804040224820a200900500850502d08002410a00448c00440802000040600210008110100000008200310018010402040008d00208010000c02940210000018a10040740100050200040008c10048010142410002212440500a4a10aa1044000000214a00060020884241200000080010841090000040024024a608018058008410800852212008308440c0004000820a00854000240000281050001031a002c0020880011021020a640840200142310000402200400a02a1a000200848000500c48200118010602c10840100150010000258018800100842010b00000808112240000602400118802110a40840200808600e0a10000284044231</t>
  </si>
  <si>
    <t>A35637_0864_8940a48010200252400410000000040108108502900a5060a04214a00000010050061004014290201021020a40051020021011020044a802400c42102242008942c0a01000034000800840800801040011020800004a21204204005841a10084804000020830864281001a452510608000040a1085800001090084264000840804a000d08a00202b0094000285210034800a600612600842300810200400050802800100102048100000a00502c42000440010850802100902202100600400000502c0201210020860024800280285000080800004050000004a01a01001080a410040008302008408c0051004000024001000285004000020040040035a050040640012402400408418440908100108800402a08c00f02000510400400000c0040800015a10000080a40090a200248b10000000400002102510910100240840900818108108140000d0024080a20801014225010040a040050100000800400140000218300800c00012202200002808900012400308310400800300840142408240300c10200002012000000010000a0800200000000a118800040202800700910002a0</t>
  </si>
  <si>
    <t>A35637_0865_8000050840500202110900002000840e4081824a000040000100200800040100d42410100602012500000e10c42d02100802202100050412010200140200008140040812008810050800c1aa10840c02208002400202e4000010010200000831a240410048000142008c02400000d00200000000800018000d4210240a20000284a00020204200080805020001010020240211815040001000010844040044884204010090041831080000084230000854a00021804840200290a108910010048002008918240400502802c0010200035060020801004004011001800840041054004830a242310002010010540840108010100840002000250000c08c18610000040802252000c1005850060201a012010458000d10208000212418810050502400808440408358002800200b02000200210240500200008008200058040150802808218008a50802012200008000800000c0a100508110200000c0801201200200061010030040a14094804050090810a402402008b0250000025a01a05204a902510e00048402040a40100208010502842000000848108000012000800640a4814000</t>
  </si>
  <si>
    <t>A35637_0866_0002448000200008212a0810840210040030a000008a02050112000212442000400800110400918000000e40400c00442810218008100210802940800010d10012a12400148008508008408008400240048212810c00a40040008b10400410c0a800012200a10040108810208410100048408400100800900a02902200200502250910a0001240050034885810084010a04041004001810044825205a80000a040440800800712000000400140000040210a00100852c1280020051081000a200002c4a100052100908000842040000440400110810450902808102000002000000000210408710010418802802850100c10010210400500808100408008200510202040000000e10210040508042010808008608010840802008310000008040040242000a0090281241270080040210004a20804084080020070010044ad0200280200050800081a900800250200010000200000040108058100900208902102352400010608a0a402200800700400002800140840002040900600a0005040800800ac08040052440800002312c08f08000100a0a00801201004280010004000005800</t>
  </si>
  <si>
    <t>A35637_0867_0308000100102108140b00010e40102a0001040a000c00400000000808100a10342808012400a58110210602a1084004010811021034a00a402100008410808008240010a02308102000000610810200012142300640400140842240000400208048010400002308218150802100200008218810008000000900808450108a0820005214031005840800001014040030040a000100050c0000001201001090004840000a110042000550200902200300240700400810952848000340d0040001240020200001ae0085061040080a002102708808c00112100040102000440402010500802110a0000080211040210050280001000214000200841a410140048010200000500900a00808440602012012600310808100548210112210058600842800018018000558048c40c0a010000008002000100c02240210000208200110000300208e10042c1080240a048110400918840400240800200010100602002600840140800700002050900a0000a11824880810060a800000200002840450000102000210c0804010054081864041800061a15200200864070034085080280220014081</t>
  </si>
  <si>
    <t>A35637_0868_8400200510008a0a040010a40000440000150018418200c02000040010700200800000010c40002108800c00602000048148500000000800c40002110400000a18810012008140000300940040042600940018100c1a210440a0020204a00044a21084000220801840805000800220830051240000200241020280a208c18010458442000a4040890004061291000020210a000500000800108008240000240410102e40102100900148c0a00014034804000040000041020200840000010225a000202142010100902e5084060021220ae1040a018900142900400a00408002040a4a040000018140000800300050202018442040940000242610000840c1811060880a452010400840000c0020a100000f1044044000881020200080800010034014200040825001011020a300440018308612400102010102600000800040600000040000052400040100012110100600000802440042602008110012010140042158100a40050400440200010900c4080884080284220000000800011090000024001010820010080210a40080841044a800100002408100108840c0010001034001</t>
  </si>
  <si>
    <t>A35637_0869_010a202052042042058f00012048400640850040018000002840802a02200500900018440a00048552500402802800042050240308810008c02000002200108040010000000042408200052240100800008058100800002100a00800112a18208208102040818210400240000800408108200300240052002000a00542200300000102108040300418002440d00000012310808a02002c10400018610008d0021ac00008250040500600210002102000200c00e02418102100818010500408040000008100402008218412040f40012100100e40240000908b00600008c48000d00d0030040880034020040204094a50a010a0081040020021001ac0810004a000800102000200102002002000010010100e10a02800400108040c08000000002848000000e00d0800a00080220250a900048c00002040040312200c02c48050008012040010000242500200000000108002018040908a10040b0024241204010084a040200412808040000208002008000048010240310600008108200140002200200008400812800308010058000202000c02102810410600502042850c48812300a1</t>
  </si>
  <si>
    <t>A35637_0870_0010040000c08002100010b40208442c0a002510100808600c40100348040100600410040100b10040210810418c40208000000f10400440002202802508a00608412010240008448f0884001a44040021a100c08000008000b0881815800000200a902942802410108440012000a08008002300108600812400802042000010008450002140040a1841084040000a342200008c0a042500000918408410112a10012402000010100b12040900a08018040418210800542240008100800810008000202100058818212402110600002012110010210840002a4240000804001815040880834010804040000020030261000011041a400800040010a08d40e00010a08200040408310008910a00108002810950c42402442108400a0000a208402000a18612210250c0800014020015800050a000152200000050c18402200110040208100100600450000000240208000042852100200040702a08102002c0040090020a010b40648400102848700000040202c1214a20805241041004204000801000001020020045050020000800030ac00400f4880210a800400458d1004291a31070</t>
  </si>
  <si>
    <t>A35637_0871_0a40002802842000158800800808000102200112800802608000948202400800400000010408240548f00012800002000000442308658010010402040302100000000c0004021061a20031040050050a95000010801860a802502000002100200050000800002500200452000902300a1060840045024800024805030a900802e0a000800948018808002402002000202210010c08210010202240102d00910040000940048100908800242400000110040000a50800800042042008300402000150808000000000010002c00102a4001a800000608400c0280051001001244245000020a050008010000140000140100008402000100402a0800050004804201204a000002110b00c02902840800058000100c00010008a4224021040a00a05284801030210020080001294280000010000001a84040800810220815a800802308b0014021060800840084280010000004a040840400800508208d00248050240308400010100a10100148100208100048250400040000402800a0a84084060a002508310800842412248802200000402002000a0891a34000844084891080211044020</t>
  </si>
  <si>
    <t>A35637_0872_0800410400108000000c00100a00002000a48010800900218400708a10040010018458000240100048a00a4a20050000024010a000c4000a000100012308010400048000800950000100100e48940a4020224001004840280040014210a00085244244200080a000500240200900240008248010400400012202840600700300048850000000400400100c00842108000350008148252000040902600a00110240000000142400c10302010800c4830200030060220001000230000820004804201040204010a41804a01080060034844811000ac00010942802440e00300208002008108040108918040100002010508118800e0a00070000a012210000040c00040208710600402602100000800218200a00818450640000640c0800200205024001224220001205095010001230a400600002000302010442800010800510708008642800800040152140040200008508000400a02040612508000010802100a10200308058400800740802012000d1a00080090085215a008000a40c02300108308000600212002a0204040050800200201010801a04240004040805054800061080</t>
  </si>
  <si>
    <t>A35637_0873_0b40608952042000012b10c08400400000302048b00040808000700002600318210c4051000a348040708002002100000000200410002640042000100002400a00440100d40202410210110812042b00908400a08000840100400248018110110e0a84000a818050510a02000100048310118408500010802048050442b00c5a00080080824001200810080200090000051030081044a01014881000810001200805060881000080004880a400000a0011a200000a08000c00152400410042440000400002440108208a00000c00118008c0800040254040a802042100008050000400a00000000b0004201204800201a81854060040000800a148210d00040542802100042b1045000885010000820000001a008412100808400408100840800400800100c0000a010100002800202210600000400a40900358c0011a00000200210010200035021081090031021200884024810014ab00200a0010000a042000050000300800050010108802402108408a08050000850310810840802c1284204221001000a84a902402a40108910240010402600000050200500a1804200011010001</t>
  </si>
  <si>
    <t>A35637_0874_8100012800000218400c00c0200a900c42250118008000000410302102040e00442040452800900600600b0004014200020a408c0005a61010200020060020001800010024011815290034064010220200040a41074a000012902910208808000002000248900548100308050440808000702200002c00400040318110a00440242910008050150410010000500240848002a00250402940908142018208c02010040642002050400002010002900840118a00e02600000a0a042452018810640410848018450008018402c42400200440300000e00440508000000510110c40842140008000008340800010400112040500602000012408000048000242002040800048308608a42000c10100052510500308010802700240108400c08000000148000112008600c00400d00008500910010200002000852400200c42400010002350100500218040c02000208008000200408942848b02000800208210102300002700100808a0851084011000a008100a0000060024a048918400000140008202100c00302e0005000000860020080a450100108a0865020881005054000084804050</t>
  </si>
  <si>
    <t>A35637_0875_071000005200080024a40000001840000a100300408142810400200340112800010040940908210200408258808000400000400008310012840602052148000640200840808000100210210402440d40010010410002408810202242300200402240410040000002810a4a812402942158642000000600140848140200000618c00510208340048000940012810500100410b00000208000500900400200402802010040a00400800450208500648010202110142e1290040800820280064060a102c00800018210440000800002002048010c00800c12b48902000b00a00042000240010100c08d00a08140102a08002000000800400800050208108000008400102210440f00800000440240208302418112000050c00810048100808010000a0200024a000c0000004084021000041001a61001200084001011000a040110d48800648e08040010000c0024015291050020210040801800210050860080214a140208600c00000000a0824010890020a040402002018508000308418002900050548800102248902800300500b08210812402008208200418f4201880084010200071</t>
  </si>
  <si>
    <t>A35637_0876_0000002400808302608808440000812240050008008112010c0010004a11080095244005000801244020020020a800102810418018102442400e0a050102200808448040200852050000c1240090024004050821044244205000010a450000a48208040040110012900b10000810302300200a10c00202c02148252208100408c10900000040210700048000100640840042100800a00400c0200a102200240608040000200408500002040d10500810002608218808440000200100a00600a0084050080274001820284a102c0280204060824004a50080821024891010020040000091a202c10c40012400040040402000008012840200840700208008402102200142440910018442040200900102300240408140040048400200040008100700000000400040440042108340108000a10448400a08010208200418200000042000408208058040842208000600018910000440900000002c10e40208010048850000500000402100400248210010002002800c0000800820020a05801220080001050810800881220000a20220000045085010a940302c00042c02000142108508c0</t>
  </si>
  <si>
    <t>A35637_0877_0902210002400052612000042200d10300000010800208a50850602018040818300c0200044a808140100a12000850502200408110902002800908018210410142000400440940658218a08c10010d0a94061040021820880230800040a000440442040100208002808010c52840440b00140110312c0004200820015020000081000080010a510008048050400e00000208018e1061095000a00810840000040081200201000a00034824004080001000000890ac02c0000004814a000902008040908040300700510408002200252600000d0ac00002000250700400348208c5010a00840090000020044010880221281031820a04040001850030020004200044220270a100c42a18050000002040308c10058000000242018c00900200100008a02050000842040802a00102050808408e08040a40802150010210402012a0a80a45210024040001200880820a600010c52000048040048c10002400440c0a300000010000e10002102200308208000810c40a42000510400202010040200358042200c0200090200814070860820280800024000225840801a85001024020a10001</t>
  </si>
  <si>
    <t>A35637_0878_081a210442648808042510108002800a0200240200041004004280080850a008010040000100850110710512008c02a40140040010600c02110000012650800c00a1214040025010051010000204010800000020880021801284200001080010a40015000001000040890ac4200000004001020080000a14000010810090814000841080090060060800000840060215004201024000884200020204030001001880264a150050a00310c00c50000018048100458042400042040008400602218800208802248100a0a042100002010300710f00a00000a40048200608140402000000800542910402e08040440810200600800402842102900042000210012100508900640200008000c00402202010c00418058000008000648018008010140a0010a000800000010800440008010010010200000c08802310110000208002508002002218c40810002042200450308400040c10440808000810308200450a02110342c00d08840040142110010210118448d0000021034801080000a000242a10040800208a00040000800618c0840000ad12002300410208a08040450e4801a008c1</t>
  </si>
  <si>
    <t>A35637_0879_005000801000090225020020000ad00808000510810e48042100200a00018410012040d1200014005010000020000080205040000810084284080230a202110952808800600100300508318c10810002052440800000808042048218002e00202810800400202640e08c10242140000140000110002812d00042000002000008650910440100302400a42802040002810008010408800400a4080a400110340c02110102040040000c00002c00140802002108252010102c00800400d08008c1240200a802500700d00200002e0801000820045060000024090a300100002200840600208040000400002010502212200100c50442100c0000030080010a012000c02018202400848200110108200500808000c1050000a012412508200640540840300000008300000c0210801810220891000801010891204a10031204010200204a00040024080811080020a200000510008840808200552c00010008810848008202f00418010d00000902100c10108400010040800510d1080a20200024000010801050020241024014250001820860880080235840000801284040040891020021</t>
  </si>
  <si>
    <t>A35637_0880_0010212402100a58010210002800002402210542008018002100500010358500142a5000000810041880074080010010a208218800048018040542200008500100c4a000800002140800012842802200040302010a10058000d02840610c10410800440a0210001010880a000000600000402400800010c5200214004a40090a80084234a000400600250048802440212010800140812102008010540108300a08500702050312800202602502008850000208c40052802442850058010508000c10308108202a00208c1000000801a110208200848c10200b1a008208040802840a0a810100c0080045000030230041821000024000064024210040001a000150400002500808100012400a0a20a008000140e10c40208a00000118c00640c00800202200400240c0290000280021800800040000080800800090000a40a01004080a010210a0040a80000810024800060240001010024830000880060a010048840002010410808002d02240050c0800020000080090040060005201a852800242008800a4000080000084a200d0001800044240201000810800820010254004054800</t>
  </si>
  <si>
    <t>A35637_0881_0d10210800c00202200010100002150440002000d1881020000004024001010014201001280215000880000a002000008010448400a1a818540a40a58100408012810c4214080800020841a00004204a00215ad0004040050000a80000040040a042810840042408c00f00200940842802042900910c1091000030800011000865a002200040002800548a0010210001044050020a400002200050208818940250002000200000100b0804094010815061001011240080224220011840801a80a040000140402500900e0000000884020a010010048900902000018a00a40c40000408a0a60020000020001260090010020080804005044290225241830020214000821241040070081094010200804001024a800010100002100410000400140602002200210102018412a00308110000142040042000140000c00c0220a800c40000352100018200012142840202610200850010000a00100400412c0010070080045020840024000010890241200840020240000081820a000248008552200000002100802c42802542310040900500840402d0804001080001840014260000000800</t>
  </si>
  <si>
    <t>A35637_0882_0a0280a04060a00814810084000011040a802040400200402052040040412100800410000100008300c08010c10000008900740808002410442440100040610040040042000b00000410a0000a000000348002e08148800c50200a00000010808010c00a40012142810200800142302a0024030001004840260814014801031200240010800a24220845060240040801211011090060011000004a108600440c02d00100900648110602802010e4010805080024000a440008300400308812052510200008200b00a50058040102000108910c0080814014010015881811284040204221220800085000800240014204040800260241090a802002e00418408800542940000208802240040202a1a402000c02042102100808300808240400102000900600710e0804000084001040a510e1880000250a00014a200200048000040018412a00b00240902108052102808608440802100a1005000020080001020220011040001000841054090821a000e40018c0080221060000000061210020001244a000140240d00900008000208112002040002048600000450a0081090294804030</t>
  </si>
  <si>
    <t>A35637_0883_030040040020a00850080010245a042040100140c0041221840000800065a000440c50c0290020021040850a208800000110240418202402900100350258010c5825040090024010a00850020a010a02210500010410440000100008010910212002040400800052d00200800102800140040010812010c5230204004000880840244044800001081010000840020084a00801824001a100400010650200b08218c50800040002008900012840a00300000500010602002400100000000f48800140c0000211080041800000024800000230000000210034004a010c18400400140048840408110302c1040080aa00200108140810040300a08100900510440042b02810218008052202010b02912040a00002002400400248358500640c12d40100240042d00200002002400100612c00f0a01280020801804081010a400000240040000210302048110448110200c0000000011080aa0061a318840018c02000040408008000040400008900002810110050902c00200002408610a48900040202400000842200100202210012018642a02000400008158108050012000c48b52510d0</t>
  </si>
  <si>
    <t>A35637_0884_0e0220281280224060aa00450200402100240100108002408052248818102018300042800248a0240800800800a810300300142c10000040000540b40002410108210540202008002610058018040a00110000500a0005084044200a218010200200c00100048100210c1224204000000071040010000a050300000252500012410002800042308208400608002400150000400810002800802208258100800c52942908000440200a0a000000408840440200000010100202210440a00000410000800200208c0080280a45080011810a00001040884020011034010884860084014000240230824080010280084a400a18c10210800000208502010552202500a00140040008c40802900000000040600c0885290200aa1024080010040240010010014020030261000010a20221081820aa42110040312600500048858000600112000000400a0000060210a14a00041001284210225000061850801891210804005001084080000230820000081044001204020804810021880080010200004244a318840040000808908102710a0200a400440840010800000800d4250880a20081</t>
  </si>
  <si>
    <t>A35637_0885_0402410840000210300400342000c0200a140212c0860000044024005200ac0880200880200284040a900002c40140400a42450108012240800500048510800500610000c0a848450000200008002202802610200018040100600b0000a800248800400408250002310418c40400108102018400240208c00a00210408500800202010442000400000d00210010c40308040b08000202000840000402400208002110240208748200800812102000040058900050042110040002140c00050842802902012018600f00410010d0200860241010a402800042008440000000058940340a4040020044a810c1240200200010044820015004001a308008602a00110000248008c0020844091210001220210040000a04260a248048000442c00500900802400a00e1025044010801a44000040884810200a000418100010010540600200500008810808800400010400400810210800d0284840800814041250284080801010000001200080200a400810102402140a0000021870800200001080811001260010040081260200030000800061050014880050020044a400000608008300c0</t>
  </si>
  <si>
    <t>A35637_0886_020004090000280020000841a410800000248240000048010800048200008410008808000100008508200118810000400000708c0001200840000001230001001020a540948200000110400250c4044215000020060ac00112d00a08500008840a00c0000000010aa0890081000020204044080030820001204010844011020a41a00000801000a408108852000000040112a00800c40840400200040210550c0011204021000050000224240000a000012108002a00110c02000212800a0000880010a802418410240210052800008002108100852100c40000508100c40a1001200801000200080800a902142010200218800c02010208800600018242242010542142540210c02c0800044811010800001880800080081230050001a802412240000340100010018100a08802252210858642000100140408410c02a10800900202300010d0261040030030000800894821854000010a440018140000000a00300450000d02c02040808808000208018040012208110008500c00250c0084020224080010204084040001051020081881001200800044040805001810004294030200</t>
  </si>
  <si>
    <t>A35637_0887_0a00202410540810202600602800900600a0000820001200000060094004200000a010000102108400808008000d10342948018510110000112202008048000008e0040024a85200a100c08410840300042442400000e00100a4001800010800080a900e0034000081044041000040020a052310448010010802250100008a40600000148202042218010a4041200800024000055045a002000000110218c0040810004800001000054000855240080840020001024040024a002108800b0001050080011804a00841080880064020005010081000250260000040a010200002000a0084000031800240240000a002000110240800050900800002000048202010008000550008c18c18442a08042312808100c48410008150200010410c48052500140440e00240002040048000108100912000102040242412000240000010600900350808802800102c0000841840844020200050020010a800218040000400052102400808248010108008002018c12440110000200040000e00040042800042000800c18800010100108002000a40850840100a40540018900200012040a08002d0</t>
  </si>
  <si>
    <t>A35637_0888_000004000010a900000208408000400c40002440008000a42c00a0025a500000412410800e4a312300000218048000c0201020220824804010080800011a800c0200001010004001a108208400100002908200508e00800000200000050100508440000000010302000850a00042740200142d00010218400800010612600010200900000112040108248000002c0830224090800040a010d00a40240000850040102140200400a10002458800a4000a700000012240802200002648b10040050140f42140002a00d0080245280000020200000a042852c08048008100112a00800200158510000808a08900840240508200402a0844054201005090841805080020004224081040000880024010800231044200011004a900010310200002000448048108708008000112000a0801000885001840250800201001890040244000010a00041800841250010084000a808842800802400000000410810000840000910052410440008910800000448800b0024a810442000002400a12402810108040002100c4a21010080291061001010041004200000000281090240280250020024800</t>
  </si>
  <si>
    <t>A35637_0889_8002840440302102000800050000010842b5200a41025005000050085864840811044a800700112402100010810d0220a10000a01000085201280000a100200700202402000012058d08012008000008008140018a42000002400b5070230090081284044a200402b0004044281284030a012900000000010000908400210d40c0010094211000020060080040000200850a110000a02000002910118800408240002308042410c10200000040002300200800410800100640000440010910200c40600a10250008040208400142150118100a00010012800212648610c08200002408008542000648408052b00000012500010048510200248442410402000800508108008800008410852400010008210a1ac58000608b0060080001004294020000810000034205050204000a008908302008010008308050c00200008002c42802012000100010000e02808400010410002400000800040800050c18010c0290a00000010020000000000a01000010080084040a050040800802e00440000008012410208440400340202008000108002040642002100c0020080a100a4a00040a51</t>
  </si>
  <si>
    <t>A35637_0890_801020254090200a00820005820000280014060011000801804214201025a91811800090030080a150200400200152002802410110500800100a08848010100142c1800000831000801010041a85204a302402200102610000002140050a00548050440000218610408412800110400310040008042c10150300012000f10202410010140900010518502002800100848008400502050502f08a00110000012000452000902000a1040020040204a00000210060004044000200040041011240a81024080800011020220000004000821800000001a052802900240300d10000c02640010410000240a12810208848010610c08008440000140402c10308842140400800350018000602000000102250208040a12440100852000018410240102000252008000808000102002008000a0004880004220030800280020a440c00800840702408502242900442800000408410a00d00000200000808a00a10050408010018910c02000402140000518708d0a40000014020a250808412c0011004004a20a30030a048140c4200264000081004011020880a202000440002000800040200e1</t>
  </si>
  <si>
    <t>A35637_0891_014040801000a000000c10210a10140300200000a00548c0850090080844800000220205000004004010880040a00084080200030804260851004021060830860a002100802048008800000000002d40300212000d0001041214810050040081080a11034024840831800005010000204050040020000044060220a402500902a08442a00910110008002210440042002108108900010c4200000045001814000a900448018000800048200400002010010208008648000000002058c00000810110408a4240030050244804200a012450610410002000002200050500918c02040008808002500210200400000008000000000400002100242100018040818100002b0844820045aa08400240110010410642008050f4030224010024001004044881200020800045000024280000a000918000902d0004a01800820000055060000021091081080201020000061870810a41014200210030200000260800000804804a000d0a000440b40240412000000810142000a00040100012000840840212408508240200400100202000c0081800200200031241040834021000220800004000</t>
  </si>
  <si>
    <t>A35637_0892_000841200234080801a800048402042802110540010310842c00200a1020210081204080280a048002c00000a1200020a000008810000440c0044aa1854241020840a810240000108008c00808050002150400110a00800800200802248400a00448010400010218400a00040010100800642b00008810c10600140600208d02050402c0015220090004040ad1010a200610000150008802808000542118250a0280040000a04050080004010260000004a010110400002c0020005040800a04094080224031840044240a000340350140008000200542000302300200900842040500840100200050402902548100400100040200000540040112318008800050940000400400910000c40102808302818240040840002208000800000658500842108110008640a0000070201240820001000a112000100000000100412c00a4001a01040040820ac40008800412a10302002050800250112700448450d10200840050308e0004040000895804080030000000030021005870800800201000814064810011800004050000800000020000810090021210000820204804284020040880</t>
  </si>
  <si>
    <t>A35637_0893_0008800902208050440900a1040080000280a20850801a40880090004020ab10400600000000810500410040010100840902502800d4a000400002100340200e00600910900842440018012410812100040140410010008012000910500f10810a0000050000064260000000084220290021880021800010044005000001001260a500008308002400050440802d42002408108508210800308000140208c48a00002c00048208900002408000442902440a10408008c4210880005010044a408410402110308000a00842402240042402000800010c02448a0250240000000014214091030010800a00804060820820041001081210004081801081001845801000a050100518008400802400a10040900118a0000000024a048200410a0000020005001051010880051004a848202010a40000402802200008008240042400102102010410c12a00c02608040640408440210140240210100400c0005a400200050508900100c0011094014220241825040a100902002510210042002052d00000002a10100450010800102050010300802100040108202808100e4080080004804221</t>
  </si>
  <si>
    <t>A35637_0894_0610040950e08a4804011000020085064a000000000310008000202a4230000800820a05000020a248e00010008410002140448100910200000240002300c10c1000a80210004000200020840080230a84011a800448202000740940708b1090080011000080221000000020841224801800051000080a152400900200208040402000000b50010100100c10840008240008608000400000c02800050300c40808000000108410000c0081044000a05a308000010410002800000000800140808152108a0220031000280000270080a002810340418050000900600508008c4810030a30005a008c1805284080081820840080a040800142100100000008250c0060a00040aa10218800040a4010010010850024041280000040810051240844004010010801020260001000814001801064881010050204830a01084a00001260034811ab00808248010002800042100000000940108008440010242c50110000100500a1021240a010048300040a00008050042800200010000250650c4000010210000020005204000200004a400050208d40042b5a00201840020055040a00220251</t>
  </si>
  <si>
    <t>A35637_0895_8000000100408840042408000200012808900448108a0080001094210a040810d4020a44020000041040040080250000a20010220081224205040804250811000840884280020074220020ac4850020000201830005224004284000270a400410018c0030090801ac0880041005000a100208010500602100a00000058800140400100908002640008342c0801010001014221080040201200810a008008000000840508148200a10810000c12148300100c00200208040008a40200208000e0080070021250000820000000000210004080820040200090284200280001000a102100800100c00500008040408012452c08000002100200300640910210c4004000000211000821060244200aa0a20a100f0280001090801810820000285000060a058040600400a50040840018000800048418c02c00110000300140048c52008202010118112000140140000148500408000850002002000200a0a800100002802000000008012100c00a00102010352408000948800500400310008012a00802248000740000400c0020840200020241045010085800860001204000210005230220</t>
  </si>
  <si>
    <t>A35637_0896_8010c00c0060080871090084a04250004004a102800402000810a0020830880081800294280000221070010a21a000408210040218412442800240040402800c40c0a000000900150618000048c4000004200200074041004290011000810080a610800402210000010400440002402908058800310400800102000458400a52202510000010150518340818100800042000000000640112440240500d00200a0800000200801040040200051210000840030000881001220080a140e00008c02140140202240218410050000200200048d10818202002202002002800200050c40002048142810012800012400000010108000002000442002108808400802400100810000010218408840108000200200002e0000040a840640300c08002102900300000800448c18440200048400600908248010002100040208000812d4010884040240004041800064224001221081001010030800000260040080a402000912010600448210042a02140342108040400110f08a0001201020844a800808002410200908402042008000002100d4a840810000148102010c1221240240880251021</t>
  </si>
  <si>
    <t>A35637_0897_8140202042800250008200208410402000000000308a5a440000108312502900d00048800300900202c10000010010400100218000640012100600308500000c00008100400340200800002210502c0010000210000821005004820a018c1010081010220834a100010f08800502808810700110000400c00840840002210000418902802a08248000248200c0204210a15850090020804014a10800240844084a800302008640008610a1a100008358042100d10800800400110100508040000410500000010f10c0a80085004225810a00091800000004800244080034a01040064801004291050000044010000800021024200200000a84060240081a842850600050140800010050402802002718010000208412000118448800200200050000000100000812400010140102010800a0244851240020240200094201a042200802448000812600500048000748208102800100000110002a1000800840204081861010801a040d1220031804040824804a800100112402810100450900900008400008100c00542240808010200502a40100048200248010600e00100d0201001040</t>
  </si>
  <si>
    <t>A35637_0898_0e1000a00214001030010060a20011010005000201081060000000000810800020004805004a040540808a40240000908102602710850008840400100400210052040802308002508100902008d00442a10010610440200100002818108300b08200100c0820a34801051080000004001830a20800204a90000801030840800821081050a00854221000000000050000844a800800218402202110200018600400c10200a1000810050a84014200220024001885201240004880044a210810250100842100602410008010040900200200900b5000a500440000402c0060020ac00308b1201a10020000204000004211810094080a81210a002200d10c42600112e00200400000448a4211094200015090020000a800a0a050400008502048052208310440000000800c00600058500400510040002c0804275060041001a010842002018108148850040202000200c1880240041014a210242408840010c02148810602200600412002000210410000052040c10100800148110640a00410a00000012018400400500008008010510208400c02108150400a00010802c40000158000a0</t>
  </si>
  <si>
    <t>A35637_0899_0008440100200042250200208400410440100140800508000012002040412408042e02000d40208242018800212140500100200200940200000200042000008118c40410408000402108000040000908010512100810000100108042050700242400850202940042008900c00800202908500700f08c1080200200020041050281805020021004040014004a002202200500918300818410400810000d10a1000a000c08850008418a0000001090004020060081000080050014000200064a400110608800310110000602502102010000010440002c0030a100440a00110610042100252548000c02240802000042000c18102000000200a0000050004000a81240831a448100542e00000240200008108240400142848050202018102210000400208540010002c00100008000108308048810540008000400908050040000000240210218410408140108118442d00040848810400002452800400410442442050012a0834a002802600008200208108240842448112040400a42000010008800010808040608540000010510600e02018840b4005010020080040000280804a01020</t>
  </si>
  <si>
    <t>A35637_0900_031021a440200800100900108008842140040418200240010110300340400a0010220244014021011000051a440500648308000000308a48100000100240e0010020ac0204030000a800200002100a02a00000000602400540848802000118602c02800800002048000002600100900a0a100300042c00002800040212400e4020041004200061000001a85001030000804220820285001040004210280000a400040240000118810048202000e42010408a0005000804020821a000410002a1210054030801040040804080000a00200a218c40a5001230a010002108042200800c4880030001014020240000011010080004080044204094a40a60031801800220020060290004244281010224840041010860014014001a14000800a000002800810050c00a1a00054000004a310c18010208040842000100a00858048d1010010201040004a050940100002040600500000400108b40442010108450440a0200844000030000a040300058002008240808800008048200200842408442002008040500010400800340208058400208a42d00102100100108400850c00008302002d0</t>
  </si>
  <si>
    <t>A35637_0901_8002010900400342248008c4001014004aa40012a00140802002040a4a40801005220010040894030080080220214044211204290015880000204a800000010c0800005080000820030024a000810240008012010100008500a4204a44801030a00a110100b10448100c00002410208000218100712210c0000210831211080264004000004060220820844800014001061a80000ac4200000000201080010205210090004860040880040011094280040a00004001211210a21000890001824000044a00a418210410a4004030220841040070ae00800040002100200802a0a410c00340140110802012c40000900102210c4001880280830000010040060084000001200261000280090010000220001830a010000500000252800058442010048142200400040810002800840302018810008002040a0a518900002800500408110608200000452102640000000000418002840208000208000c10200000400000108a10012052d02800202700208c0005a102448040310000100000c1250004005820041a402500a08008200900200e00900200300200208848c1895060280010a11</t>
  </si>
  <si>
    <t>A35637_0902_020001805044880801860081201000020011a500800242048410c0010820000801a002c10800100002000000000000008810110010408040450408a4031040050060081000a00800030844081081024084064081010084251044a00a012500a4000004220211025220030000281030a100500618900002040048b02042000500040100500000600010040648100302a0a440100840008c52a00218102400000218040402a4200811000245a100840200418818408040840602202000a00c1021000200804240220094820a010c40108252000100640802000a0044020000240280040801004001031ac0001050030804050090221010084220220060051240880250080004080060a850000a08200000408250210000640200140500000002802102a1010080800800085230a048640000900610400140000212000210210040242842440000840840040100800410410240008440000918108300a50408002042240000200c0001084280a010518400450402410240010600100e4201001020014010000800000045010000800a308802002050040912300c0820081004020880075020</t>
  </si>
  <si>
    <t>A35637_0903_0902042000440000510800008048012400112202008148200002848800002500040042102200940002018902400802000200040400d0084000084200a002400010008400402002208008c40040c02c08008412900802200000540110248a08040612412142002210118000040100008840408110850440802e00b02502010858a0840014080a00040810084881020035001000011a40014040804060001014a00880000000a01010050001804040280044001040281010000001a058000202040802608050012400612612d10000800100818040212440d4020000850014880001094000041030080801010280024210021081004040214000000020041040210080295240040841800a000200048408e0005201244020000010a010110000002600100412808108248800642902058a00410a0210000000a018000a00a02040a02042208008000602c42442940210000140842902e02200010a08002440000400202440810112212000048048050508400400c0014005000220011284000020025020001090ac1a84274000044000040284010080290044820010004811004020a30080</t>
  </si>
  <si>
    <t>A35637_0904_8800200402000018410808240418000608902002210248042500100242002a0800aa1001060024a45810814800091200800834800000024a000a00818200000408840140848000202100400010810008100100008a10a40c0000281a100b10400840540140808008208000408040802300000800000008010008100450508012008400040240202000812240150148002100100a00a18802102000008308018210400600100012108052802400b08050000000400c4240004001a010518400800d02002a10140210800c00002140102002500010000402400210310000108448810a00b00200f00b00012110640002040c0091001094000880214a210a02000140c4014011aa08000a52940200002600a08800000c0014080200881801000a000e0280060041070080a000942b00448108410040800600200200708850c02812008110152810500810402c40350240200508802100940300148500050208450e0020840a008240810110002200100a1000220a00044020000a00000004204084005050ac0805240000090080804aa1010201051220010061020014004840000021005001</t>
  </si>
  <si>
    <t>A35637_0905_025ac00400800018000a0800841a000300210042000d0045000200a00040a210508008810900000308600610210802000042150800e40402850808b00240000202200050040210002000d00c0200020005001050080ae00002000148308200948c0200220280214040001000014010a040000208800842142100800408408200200402202a1a00200080a40000024011004280024000800090021845890820001004080800221a408042208d0000800205830040005050000a910000210940c5205010a048258e00102812800a00040602a0081040210000211035001030004280000020820000024880010080aa00200908202c10000400848408f10010000440802000302010052040840300a1070840000204210084001024200020080004050200a002100000012142c0a84200031080284000000a002010e10410e40812008300318a00008018000500808410800a48802400200140408708208018040000908040510302248400000118002500100818100a40102040c0840a000410c4000805020880005200044004a010010500610810802108302800842448002402300018d0</t>
  </si>
  <si>
    <t>A35637_0906_010801000020001245210040a01251220020000a008c00e00500708050002408800042c0280810061810800a008850d0010020801000000800260020000a400c10200c00900950052408400c00c52600102708200000010100a0004220240081000a050840a40348010400200950c00802108400600658100a02000040c08140412500d0010201a218400208140448850012818108602110102010010100440c00400300110000110350450010008002108a00300418000108000202800202210400940200300500152848800048040700500000812100500010200a0860001001000204010aa1024025000030024a400018040200c00c40b0051080094800004050015214000005000095004000204a408000048140f0a240002a08018252050200008042300302008040b40040240008100000000a4221050040820081210200a10044001080241000000810011090021201084280024021010020ae00040000012200f0890040010220800004000085ac00510c0010a012408008202502200110000018252018800402140200000042042c1030080804a91031020814290004840000</t>
  </si>
  <si>
    <t>A35637_0907_801281004060000044010090a202002e00140200910402800400402b0011801020000800000000001230040841005000000864a000500200810a0010220221090800250050010024280830840011030024020000041201a000008800500c08058202012002810112600a00400842d4010200a40034084041000021065040841800240040a04a100000100400400c02a00142200e0000800200814001ac00900000000a42042340210008800500100a48200000212200402308008402408418a4005094020844041020241081220094800080080000084224884014810000204014024290211aa0051a00ac0024290a400000408050010a02052100400800a00940600100010000040010100400000410810040800002c02008500610050402000100140010100410458002600940600010a00c02900808b02202410b00012000108008200400048200802100002042100400058800708318540e10610c18100a42012200800202a0a410248102500118410200000440200008400212008100000a40208010b00042002500800218000518052c0000800040800014225000290804010200</t>
  </si>
  <si>
    <t>A35637_0908_0040248850340058000200510400910c02348600010002810c42000a4a10880030860884020234000080804841a002140208410808818808912200040208100f02002900142b52008008a1800814004080010050010a018102200a00010e08c1024011080810a548010050858040a00808002808040c0810000281801220011240251010080830821820080040000090214a000010c00400e0004a010808448402502400200440a0030001a41224011005890800040005084804231000821205004240024250a908540c00000302000600200008a42000a0090a002000050000052000040612400518440402002250442400100002d42e00018040510040012000440b08058000b08410102400200000010642000110042912208008100840100000202000110502408400102910018900012002840508250200100048808102002002110900008c0080244810050080025001a00000a800140710410202000a0014024050094005a550300048002000a00000c0020a000108900812810102e0a00a000400348640c02800818450a08040a40000c0201001200060200014004804800270</t>
  </si>
  <si>
    <t>A35637_0909_0840400010c48810000d0010880000050024055240014a010800140000008100202812140848842040300710402100040200002600802808052200200148100202240400400148108100c10000c0094224240241005844011040000011840020a21084240a20005081014000a800802050142a00240640410800002608418200000912102018100000050a42402440002200000140002010802840700900000c0000210214041850814805041200a200600900102200850100852002000218008900642210212200640c48100500b00110d00c0024841020210060a408010000100808248010800250602812802000010008300608900500a02012910450000402800802410100018c00000500808252008c4064000080001a24821000a01000010080800a300a00000840408200400000008010940840208002008510810d42140a12540400412808010200002302508812a0004044a008102008c08000000502b1001001800041001080a80834891010001000024020025a100600a40000308042110100d18240d52000002400208808002402008848002a0035021041000a00041860</t>
  </si>
  <si>
    <t>A35637_0910_0902240d42400202242210018810040d4200000860090200204204014a000800800610100008910240210802402000008140118a00a42400150d08008002a0000200280210014000280090000844240a01a250810110c0081000a802200600440412102000a10048100258400000402048048510710840840608050212008300218000002800300400000042400c40010708c00a00202000b4800800a800a5044a040042000100800402050042440840100018850802002b40840600100008202000000842642908100008800000000400610010008010c02900048400010a10c02002902050110400208000a42202510800302042d00b00000000100502840d00c00100258c00450c0a010c00908210a00e00410812800002102200200810050442040640208150040910040040200000200042100400110200410118c4080200281221200845a802440100808040700908202040402040008e00802050040a48010110000118208440100200418600048000002400142548008212010410400248108008010442c40000010302f0010221080020804821090080ac0000044030804080</t>
  </si>
  <si>
    <t>A35637_0911_0900018000800158410308800600042a0001804061030280ac40708110440f0000004205240000001840000085040030a30000a81040000055000230800000034005004080a340600000040008500200800040900018042002842010102100040002100408858202310440242810408800048b08f02c0051080001201000800800844004031001800004880201060020840a00035860a802008002410510e1a01000000880010a000240002100b00000448a0801a01001000010044090080220015080024a200400012200442900100402800308050052c08010200308000440502300100008200040c40150002000142400050c40942808850010000500400c02a08000300b1834801800004a940102000400800002a02000202e00040c00002a0020010010811084005020024a14080840080a040c42010042a18200042110000802002500942200012002800110800408400810840048610010040010410a00000202008200800140b0804245a100140840d42400010100110148608c00402008042800102e08800008848608000548c00040040910000600c0201045004a04010880</t>
  </si>
  <si>
    <t>A35637_0912_0800608100a00000000218200002800040910008f0860a04081244000220840004001001010020011020840085a000302102512800a00200d0004085000000880041a90040081840091810085044260204a108310a0a040840208008340010510040112000810200e08000042010002308718010200e0a040108240118a0000001a440502000008600000200810800000040c00018800000008202040808040408112540110610d00a00042140108308010110c48008000202210408018000008002240000540d00b00258c42f0001a208800200400002c00012418308500000800c0a202002400740008800a00800040308640008002802a0200060084200894004aa0a10a900110210802c40200400000510a40112000800100010e0004081020804020021080844080010201050090080800a41070024211880001884884000001800020044a208002040102510108002a5810200030a002008040a10c00000110000010042200802100240018208842602100d42000048200050010410040800040a10b0001a400800800210600140008042100050000500a12800512800a5020091</t>
  </si>
  <si>
    <t>A35637_0913_0000800440040312008200908c40042e0a20000241004041001000090025080000880895200000a408008640410000402112042c10800040000142a0221080810804080060820850830840041280080004a40211800844000210810a240000200000000240212200200200c50010408818042110200200840002118008000618258500008b50650408500a4800000010a008808c58800142a0200200000800201811004020005a20004804010000015210240004240004090000851a51081080080004880064800060005200000010a000310108040440000818242400000000100702040000c18800008010202350140300402000900002052010800042600052002000400008442002812040040042400810410d10400818242500410040010840200102010002840000700240508500508240100300902310000e00050040402050202400a00c0205090a80041060050081200200015840a01080004004000880050001080a800c42f02042040800000c00510002008118c0080820800084800010a100040a1840084815831010000260241004215021280800081081034020a30080</t>
  </si>
  <si>
    <t>A35637_0914_814201291280810260080041045000010a048200d0851024880094001861000830040040000805824810805a800002440100050100010000400d00818540000012012010402012200300312240000400010008800d40410010c4884a000208000000102c08a02402000440c08042700200518a00452800c0230000a010118010c10000508000600800a4840011204000040a600c08812110002048008c10002a5004054020810200090020854050014254a018040c5005050000a018108100010840e0a00240080081080000090a058300200c52000000142800002510842812010200848048818d08240002440240550100100212410308100442008910002802208042002200900010010200000200a10b00048000100a10000e00a1800804010800264a010400a08c12000a0030880801801040000a200310c0000060040020010025a40004005004090a84050011020220285000a00a04a610410002112c0810221a100140840400008040410e00400000402008808410410418000810c00350000200348810800048910040200400000942540208108800012c0084004010010810</t>
  </si>
  <si>
    <t>A35637_0915_0200a50000a0214211051040001a840200240300210000040152400050318808000a00102702018000410040202802c40a00518308248802400400012010200300040050800800000210840040d00202000408b00a0005204000000051890010860800094a100010200510808002040808150300412202012600318140c08102008000a00140002010810202040c48a4201800080280000200001a008c00110600110540b0024200034ac00002848800400210118c08400208002408000c4000050080800010820811004041070001a108400d10400100048808400a18548002052840a0001020040a200442242110002000142018040942240152218a0060080000800040821090005a11200000060001000a050100748142300808108000152800800102210d10048d0030000a000110348c5a810800008000c1800000280000800a002a00c18650000200a08000410050242000640902100d00142010902008118100508000412810848040108010208208002902100500c0010000800000a840112408900010012000002000208050800002500912012418c0000a15024200865010</t>
  </si>
  <si>
    <t>A35637_0916_0002048000f0084830220020a400800402000050410812050400a48002040208400c00840c0011801000060880011040005060200080260000020a11a258300000040c00c00000410c1004a25a810902040008400c0240000000030801810010080040090294010210800880040220825040811814004a102800240108010000810400040b02500d0041000040070004820aa1050025881044011a00080090004250224021a00880801001a500800012008110a18010110500840208418048408002602012242100802a42d1000094044880020021000040a00804001040860045000230020a208048000810b0a90810020021ac0000010804040061020a04010250091000800041004050050280024080801000045080025200800004041000060080000811084021850000a302002200248a1000084200050281004860000240800a20830801284204284204a012000710202002208340210000000c0004000000874010011800000204030800ae0001a000802a40a00442000102000110100810648c00c00000140048002110c00010a0040040a10801200040821244090014220821</t>
  </si>
  <si>
    <t>A35637_0917_8448250802002000700100858200810808208610800200400100240052000118808040812108000210000c00402402e02000140308052c00002600112450500802000940902240608210108a10052402208010308250010100a4000a04001820020090044094814080040200a000440b10400400040c0010000800a05a810042200500840800400200012440100240848740400b08e00000000002248008108810500200800000808910e0000060004200810000080800240201010240050005281204000834060004224000000a14800000094080284000a100112c00a1a012100900000210100200442000100040242200008840112408200040210c1825811074004001201085000a002002102000010200008040000a48142d0004200204220001a41a100008808040e40040410810112002502802000350600012808d00000002358800200200000448202100e08400050910540902402800c02000812000008308100548212012300200110010c00a5a000140800042c00950800902002110450010c08450410c0210810091084004a84044084801000090a400400000140500c1</t>
  </si>
  <si>
    <t>A35637_0918_001800ad02342310600400240a00100808200400808200802040908800008118440002d0000801020810820020a010002002000000908010c00c48840008210e0a000412048100142c00000842000048000002200002802440508210440400300410802048300102b1040821804024220860000854801004270001800060080a04801200201a242900a12e08010502210000018050450002048010100008100840040008810152400010442800400040008a00b00000410048118640000c00e4251000280a01a010640010c40508000540008002400402108140102800618218100000250000410100410800202002040d0804000a010c48100600000040210840342042008a08442400000408200408018000658000c48218200310400012000408b08108000012212012a00000000100208800940140800010400042848800000358000a10940a02042000840040c00508e10000300000340400540410010002010600100708002810400108500010100800140202000008110850440010408342100118540248000440a0800000044020001200084804801885200a10000810a410d0</t>
  </si>
  <si>
    <t>A35637_0919_8400600c0220090004220000a00080210205800040800880880014000a000000212408c02a40a00400a00008200002000002100c00052000c4240805014080830081211010a00a050700012448050040342002208900000100e00012050808c0005050050020821021814020010280201000220005804000200080000a418018010400400a10600b1010085244260a200408a1011820010220800231840825a000c52002000050b0004000a01084210060011004000a110802b18102710040008c0080801020aa00c40e4814000020200080080041250040034a008010d10c0211290814224080021000a040000a0801260041204004040011030a20830004884020025004000081224014240a90a20081070801810034010804020090004050060020041041080200011020011214081840024241000a84020840034240801280224001801000020200014024824290804a808400242008442308108840000200008002108a1005a802602110002800a0a008400308040010d10c00250940540118518608200600100602000008908940800450a08110418100010618800a0820005200</t>
  </si>
  <si>
    <t>A35637_0920_840041010000084200030050040000224805200a308802210000a0800a210000102002402100040700100850002000040250412008400002400200208300410200200410000a10000810400000842802a12148a10458a0004004030804850800020a412040000318000040010c00002200210100858000100000300408e00608042800a0285811280040204081000000010220080000841094280a010300000048810a4021001041064081801000811810210004041280250814014200080081084230a010600e00618202840000000100400108800140c0824000841000040a40080090230040800a208542800950608200a40458000542800500000002000910840800048b08000200400c0890210011821840001000080800241824a442452008940000008800418400040300100400d0a018c02008010010210300a10c0010031800080850a840900842100340100010008c5020804a008b00050002000102810002200042218150c08a48208300448040000040002400000148050112000000200000140208c02040008002408010408000e0800050811004aa10010000a0210820</t>
  </si>
  <si>
    <t>A35637_0921_010004844000a848010208052048002040018010100e42200050040002048d10050000c00842240040100240008c02800102400300008410040208012000010450c12910348000108010408402000502002300c10d08248000002802210010410040c10a0281000881030a80041000200200081031040004084800850a00010040044030280a000000540800110640050052100c12000c0020a010100000a08252810d0211251020044a802002440000600808400c40000208048300008800008500000808042000108c48040a08802000600a10008000200b4024050001000804010290011200020244004240220a112000000258002242110450d00000840d0040004000a00821280245000001210201001a24a800940042108010202608012400040040c1814020210000000041220010241000210a008400e0004840004014801800001051000814070810840a100a5004001220a040402210000a00440008a02008200518050510e00a02510808502000852242118002118840400110b0080804051040820890090220051881810044210080000001a50080200200200800824010</t>
  </si>
  <si>
    <t>A35637_0922_010240011004805871051840000810014820005a600402818800202000200100900800010340200000600608e08000100308240000340840010902110110000250040410040002458400010800100842800012800000210402108040512010a0200000200800040880840080000020090840220005040245000085a110118a0020210020810004a200300c02810200200440e10008600c4010021240881001000880040014810880820201201080200214080001a05010024004210a400840400000740040212018402010050840100410800040812000400018218410100240812c08200640100b40800142c08800012600058c0004220201a00a000618802100c02248240110208a0040010a808018600000800402002a1024841820a81001014280a540100110208052808240300100152a0001094211001220080260280204034030a400640008010e02240408b00000800000000900218000440050400e40000012c0044840004204000024841810800280020a018440a00008c10042040a08002200102800d4000825850021020020241280200014000875024010040814014000</t>
  </si>
  <si>
    <t>A35637_0923_0a02c18050008a08202b0020a00204000a300008000200810140a40a08140010508802510600002100800f0001015244200044010805004a500300040410200012012c02202100002808a10208810308102500810012c0804020210040a81020005090234000044810061201211020820a440100000a0840090a100252b00000440c0000a000000408e00048002c42000458900100800010800140400100310c08002802012602810218042000000818208400142c08810002840240008000c4004064a802018500400050002540018402418250018c12a0091021880004821a002802008602410040e10000400002008800012452440400240100400c42000100048000040a18000012100c4010a140900002002010000000050010200400000202100400400150000c0010a95050011000a208400648312008200100010000d0214040000844a040400b00100640208410240052c0000821000014001090000080201a500202240102040a00018100248810042908852140000c00000000c00a40112010348c0000034010034061810000010200a002200100900800002400010702c1</t>
  </si>
  <si>
    <t>A35637_0924_0b00002802248140008400d0204010024020011000001080a000040008408400a4005090080a200602900c1040050024a00214081080800000090005011001080a64080080021060240001801080210080805a008000048000540012050b00008c00800300a0000000000a408000c0211020a50821001080044094a400d00c0a600500c00a4010200011860240224200805000830a00040000014005011000020a00044821a048b18248012140140200112c0044225805010a008040008400040d10e00000510008018018050b02108142c0824844a40224020220a118240442402002000402900300052810000858000000b00800440448108040000410008010640300210a00502808550402008610c0040241004020000024010801004080004a200700e00000c00902000800602400c00050810408140002918e50218000208000050010908202810800000400000c0804004280020044080001880a04014001200a010410848c0200aa5a442018552c40c4280020000030884000040020200214000801040010004800000821000060080004ab0220060084a00081094001861250</t>
  </si>
  <si>
    <t>A35637_0925_0402e00400148008302200118012002100910340000000842000108900200008600412000c08300042200012848810040b4041800010001000044224020200000a012d4070280820040045881a800802040400100042000d1080225001a618c42048002402942000510240218010002a10008810800002010448b00000a00310400442540040010308a40600d12000a00600008200040100600a0000a300300018012400100010100c0a80000000210a012008040010c40902202300408c0801041000224800a018000018400200818000008050258842808140402118a00810002000850250500d52240000100900042810c00000400200042010100008e0a84204011024800060ac0880030001034040891001840210014004261001020044024020020200801204a802802800440200842a02410e48002012510000000040c4201800020080a010000440a02712800000010100408802008100000400500308000000a10608e10110408002200410910000510900940000000052018c00208040108118340048800000a4051051041000884004004010080850a040902000900010c0</t>
  </si>
  <si>
    <t>A35637_0926_0200810800000010002000112000000800000040100048402000d00100008200002a0a840b4004810021805000040060004861010801000000000010040201800804050200831a042208008800012e00000448600200400400440148000c10b0024810020a308200000200e4804084080054040044000a810408300200808402202000b0024225001000a608850140a00500110000000002302052410418800040000800000048900d5220041250210220041014024000010a05801001884001054010021800811801044040254204004000030020080210204a002000418402440300810300e00000850410008340518508402002040000842150900c4001881200000060860000040081020800a20020001201211000010000800054000a000042052002800448e0255004020040261011080800000011030820000021044010201a14080021a850c00602010242000208040142102202000108000800c4060000225a018b42200010202908000c00010408d00040250210018102a4a102002042048d0001a810010a48048002000c1861000080800020280021044001020001044010</t>
  </si>
  <si>
    <t>A35637_0927_0118002110400150000e10810c0205000080000200080281050000280800880044020840020000241810090085a040a40018000c0870041090024000801821001000204280000200201804ae0210080a848200c08100612800400808510300140010102142148640000300808c52042010208508440040400100a00202908818c42402740808002400900458000a02140402e1800aa10000142a00308100110040512042258602410a50000040240a0000000080a04005044810200041844001200210004a00031000280000020004201001060040a050208810002400400a0000000014800000884004881080800040a20000a00041004814004880080081884010880810081800821840200031a100000d40802012000340540800012218040708142018a0040001210240004200040060a000000f0084830000080844080004820025200874000200094a912502210040840500a0280000a608d0040a100d00850000100a10c0000000881004040040820010294080820a000202000c00300108150400c00012810800008650810802c0880020804a30a80084044811080211031800</t>
  </si>
  <si>
    <t>A35637_0928_0400208040f4020a610000008210400000840400200102440010a00050250900240440112042a0a400308640018840402818000808008210000402802042000002000c02400018000608140c02402400802100300100018550040118200000000c18400142210100600e52452c0280a010100000300200040040808248208c00800800200102240800018458000600048302108440040410240b00410400400440d02008900008800040202810008112450a10210248c00948000010210050800012100202200008210008440c02000152900600010010000000158d00848410802408040010710900002840602000240100958c12802a08000400018c08c0011240011254001894080090084804200810064001240080800050aa00102018c1220035010020040a040842300310202400050000512900200040000200802002a00000002108a4061291040200a01000064a00014014280000821010004a01004a008000e0040a60090004090800221000000004040a010240800008442040802a40000410900848100508908200100212c0805230a000400200c10000500b08b0000001</t>
  </si>
  <si>
    <t>A35637_0929_854004a40000200800040015201011204000201000001280241040010000020044004014240005000a21014081000220820051011800004000054004004a000600402012c00012040910b0080800200020a00200020000805260221040a000152c40050102848142800000810800200358300010600012800400010508908418a00500842040610000400a1280080005010041081860804040a14270800020ac0005020020041a510000a00002200240100018e0284210030804015020020804080220010001041040005201000820044860024001a000500a4a108d10600c00800b00248010a0800040a510a0000864030000021084004010220000081080a100548902052c0840a640000000100010810048248000902010400c08442000100f40042618808b02402000b00810400800000e0a000a02048048100408802052700210700618100a42000442050110000900c10900002000408c0064a410842000a1204000084200000000834070a000e1081001014a80000040040824a80044804000aa0860845804060021000810804045211094000a052300110a40140b0000060080</t>
  </si>
  <si>
    <t>A35637_0930_0010600440002108442108800000440a08b00602318010218442408a1a10200060064010000804a05000800080054000010a140400a00808d10242100450000140c12140002b0221080005a00004080804020000070801280004080264000001800001210080840a000442042012000000040000800202040b4094044011845200280210080050281031200084010a008400000008600002840200218600240800400642a1a010108240200900600002702100800608010300100000108212042000c00900608400100002912440018102c00c40012010040140000800a40800440100040100408800a4251004011a00830000800a800800210248c00040800040008308100010400000100002012718200000048012002000000000310840d1080000a05800841081844024aa00002000e50200100c0800060260810a00015080000024210050044000084004a600218042c42100c0a010410400808a02402800208000000a12c00d00202300040808100418810108202040a10018000142e08002040200648e40140300008248a00c0001a100402000402000e1000841000825a00280</t>
  </si>
  <si>
    <t>A35637_0931_8842010c42900900008e0040044080210080014280014284001000000a002208402408010440810042110040040012a0004801800000845884090821040050010aa02000500210102800b00248c00140800100e0000824a010240200700a00600010812a00002502118200402410a0080a118000050208d00c0224200221000840010020220831001081840010004080200210014820200000080004030880060201000a048210408808800042308000000110040200c10608a42540110200a5004080085841000025ac0a00204000840850884080091200001a010100200012050740000102c10602050042808a00010500a4040a100642040342e10518040c00840100300800208210500e0001051201080024040000200001210004880080270004844800001060200260201a15820091204040054a000208018210040400c4000800080054000054200010a208110000a0000014221021280021064a002102002500a0040064a000440012600d00412410800300002100008a0ac0a00044200004000840820000000081001800001000090020025800200084224a44050230004031</t>
  </si>
  <si>
    <t>A35637_0932_0118040800000100002808602200002800002400308510000000a4804001840080040081000080a048500608402110100012212110042400000100210542708802000802008a08642110600442402000000402210408400050148850408218842040040300148002200808a5801024090200001000a040d40b02800740c0010004881200220021060041801a142408040042100400810800608240258008a00000d0004204200a40840265200200a040008218800450102c0014044a000110012050402100340008518042000202018000108302000002208900040a08048800840108140442610000010500140142048010042002012242100000c0845004044200000020a80030280005024010005000820000014000204041881020800001010aa50012200848840510400042000810000008000800008140408840c0094014210a012200308800850708250608400150802852000012000900e0a218102200a40508000450410002900a10010808a10808140440302108c08000002100400212302200812410c10000040400900100848112d08012008308400e00400800b0804210</t>
  </si>
  <si>
    <t>A35637_0933_0150050052400848440418000240800208118040200142400410800040140400208c08000108008008810c1201000280a208300a00400040150802012240900000008c40408212200000310402800040a0020a300c18008100002a00000118008250000140802112800c1040000010000075801000881810220800041050004000a102848202440300140400500802050000200100e0a042448942102210202248000040342308018602802010902a10010400140800000c0a240110100500000000800912040100018018100148012202010108c4a040000050708e00800842400940208442900008200042340848500c10410200002b08218210400100800000902800042d00300410400000012000300108400840508040002400048242940d40810300100a0281ac00008010048008a0000205010aa10002000408600010508050008208a4080a810200008110208410200000200002402100e4001a15220000220040025000040010800801a400800008510002010108a1035204041204a00015241010245040090001800000030800084020290050020004001284000200010810</t>
  </si>
  <si>
    <t>A35637_0934_8250000400300150010c00600650800008210008100040808102408a40002000d12812400a00100040008548040000302900002018418c0a400100840600100702808152008010400200200248040240800100900800050040700300100000118608100940118400400200002902a0230841001000000094094004a050800042040410802a0261050000220004004001a340508d42410000c48348100018100c0811240880224210090080000000800020000010800884020084820061031040000204001840080040280000010281204a010600850140700202300c08008008800600308600008c00000810102840058818208248800402a0020090800044a14034a010400800942202c00d0000011201005240a552040810242900c10800900000310400300008442450002108408000b00202010208000440500410000900008800152600200802550400000308e00312800002208000310918412000400040a0020050804225a440900140102c00800048040802800000008818440410040308012810100212002008012142000710e02000200200250400d4ac4880000000010090</t>
  </si>
  <si>
    <t>A35637_0935_090004040240285004050080040010004000a00a800400200442500010018a00350a0a00080815a21241041021095070001824201004045800214090000a408800248100a02002108210010a5010210000a600008108010000208040310018908802442200002040010018c02402200008000a08008242000200808452000612e0810280214020a008410848100600010018000c00250012c42308010000812000400940018100608652402100940000102210902018102400012040010800840002608840408900c10a18410708140010308010802412900948000000058000042c0295010a81001a80880000000a000e00100040040e0821a450010200240542a00002600200048042040808152112810d0000a11020030800800000020a81014000221000000a208010200048500200c00410000040a48000808a18c5040010004a20280001000080214881024051800041a000002148140010000000c10402012412a00408000c0000084234040034020a110000a08008500110000000442002110010e5040010020080a01a40080a00040204094031890020084291200800000030</t>
  </si>
  <si>
    <t>A35637_0936_0042002c00808200540810910008040002010010500008248c0020a30a40020001241040010814860a000048012052700150400400010850000a02002010c10058208012100208210008108200542208050048c00a5000001004821024240821001804200801010a30880085280000a050458300000202802000100140100840448000000002210608a0000081004891040a21061080004280015010070881220080024024055051080801810274084004280061000204000090055070001200200000000040881840220241024001200a000e0204044004880220a000042e12100902002048008410800000d08140040108110640012002040340200110048500240040210508042412800a0834800840014040880004a10804a41080200000000031001ae0005a802440800800700100e0080014200020840001820240084000024000a010e00400400900802312810c08000000440018108818802400000300002000110008048100800812002410348842800100040008000000800140200018300608b02000440248002100000d1224040244a81041080010004a010900908400b0</t>
  </si>
  <si>
    <t>A35637_0937_0052002000002200542108000208110242308002608808240540000910102918008402000840240008008002050010008100318000018000100202800102410300208540800242012108810c08800408a00400400110448402000908542200012010000100848208010100840902800100000200042010000c00008600800400810500108148340300c0060040004014000280060261210000a202200a0000aa40002400b0850821850881200040a150000b18408040040000b0a01000085a808940400b08200200a0a450400102240012510010840840840800200200040218800602b0004800004005010260005024050811020004094a002018d1800041001004010241020014ae40010c00a1a210610000210400800240042900802442140000108302910400008802240808000010240000940000000300f00208008000708200142400c02058002842a50000a0040a20010200201815010020004284020800220080014081284080a85015820020044054250000001201080824004000084a308000050200100800800210210102810000d08110200410e0000200024015824020</t>
  </si>
  <si>
    <t>A35637_0938_8d08008002000010000000902400452708200440400102000840f4020200061041801014014030a04080810285801044024840201024001840040890011801024040a412900802208e1004080000050004004080050004001000080a14211001880a012a40148300800350002800a0004800060000284201080085010080001041081000820004010090a840500902000300808100c10400240000248000008010812002202048108802a0014084a20010060041004a04210000040a010000000812502818440000150002002008000600208040e1054004004805000820080201220880241860055240281060800804831090000a000200052550900a00400800800012318010400e1845250020024000014000080200200a000010000a0041040091010020081041890240a11011a408640a18010240042040a1044201240020010000800805025000040201814040030884201004000020a30001004290060894850a21820801001010a010000010600208400008002008a00210602c10c40102318108242002050000202418000240410c1030820011020844a01204200831001001</t>
  </si>
  <si>
    <t>A35637_0939_000081a000140040008500908800110900200440000e08610100c4290264011880884054004090000820074004845200000000000010020004214200a002800500018c00142800002000548810842302800040000a0004014200010014051004281000084000030081004a21ac40008010000c00b48008000000200302708000642502348040000000000400042440150000900000008100042a0000800084004241000a10804a50801800000244000840a200200608d0000a000500000000010840e02000200008110a08042042140400018940012400a00a02018118258000000008810100418800802000848012340400d40000810000a48008100002e00400800100052908048008142b08200000100a12800c10500a00200c10040040810200a0250001021800800050224060a008100040100540002400200400040842e4000010810020041081040000821a808248002440c4200041091004064081000280251000010020251220080210a110200a5241024204a040a08100202810100042040300140c0241010831820030000045800000090210050081021890044004a04a60</t>
  </si>
  <si>
    <t>A35637_0940_0202848052440000010208248000400200308150110142200500d40b0000841041a250402800800202d10208000150840a0a40241001041000084080250080001245214020a84844000000000850200010020000080000800240081854041000001200050220811880021a000c40840100118000442258400100008600a0050000a850000052002410402818040008802058310818400110800240508e00140002002102840210808c0800001000020a012900200608000102008240700300602c00000b40000100f42800102000000402208052242000548802042d00012010102048300040800440c12400940010008b00c4001000200010000040011240040020001a050c1821a200810000100002810248812800000040342d00c08402410440002310110940802002800008410200908000900b42010002010118010010e0a11800a000018008040608108000000308600c42500810502008640c00052140910200a0030001000000a012240000102410940c0031a040c0000a202002440140018708008402810b02042140518110042000208848200a00010802002a0885241000</t>
  </si>
  <si>
    <t>A35637_0941_0a00e0241000a008042010140842d0220010020aa18240410002000a00052500b0200840084aa00610800050610442a00002148200210a00900000000102018e42602040400050248418200200800842140008010800442902102010008810010202010008140342108b10008100000118100300610c4000004084040a20020040001080a050008500810250040608800112610500048100202042208a10158000152500002240800040010002248002018418110018400042002012b00802002040500240500008800a02000c40812050110012000d00600202010308002210102008010010510c10800c42802018008408e40458100000140340a1020081a000240240008900802c0800224aa40408a18042840050402100700008010a4011000200230a000b00200410448802008010840640410900b00200000140402840e0a040142200000400400808240740008600042400a0a040102600d40c08000a0001220010824000800290284810811004a40044070800045a30000a610142800310602e00200408d00740b00040700d0004201084001221a810212c0850000010020000</t>
  </si>
  <si>
    <t>A35637_0942_044024001050010231280040040081034021211081814800081034080800820851880200000014240090000800080010a04000240804204001260a808248c10100a4000024800a10050070a000000000040042000210800000c4200001000060220ac50a02108442000000208400508850100400800050002908940408118002248000a4800045ab0040080200230000040820805a408110500042052018048202042040910058010348800400900148002100942850800000248010600000000002902010158000402400910000210100a00748000c10400100040400b40e1201010210830a408008010812100200200800a02002842400852000010148010100140040442110e12002000040040440d18118202450140110400000540008000c0a208400010010010012040010418010008c00d00440042018a0800880210280200021060090200281004200a24210804020080000220010890024221a540108100002e0074a412000c00000742400000a50402800108010110d0084000040800040010000004004080a340050100040048040408200240a0000201844050200001040</t>
  </si>
  <si>
    <t>A35637_0943_0518200900a02a1030a010002c08400000210008100000800d00600012108000c50200510a0021800840841864004050a000118010502208800800a08410310d48a02010448a00110300800400410500040042608240c40812002a00040400110402452000300202500852002800248000442600c0020014000a24a700c18000802002a00900010208050248040200000040d00012610840200000042618200000040c08002018b00000610102100050210208042000400600108100900210c40100848000440008800a00502040212608300910808802002110408100a0800000204201a410310702a10100548910440018102840800b0010265080004a01a04020004a418810100800900802140010400e10048100440000202400a0a60080280280224aa00500412400b0024240801811a640452202052240008500c0014204200a01021841240800000011010010800ac0204044004001ad0011aa18800400248000200500002140040208040000208852102240200148108000008800b4230030261060004a450400800002800448050140200210502c0844004041024010a10200</t>
  </si>
  <si>
    <t>A35637_0944_8800040112300010252000000800840142850018200000040400d0800804a00001a608010400100048010010a4840000091060881040201a400140212308600002200040400100500900440402d10000800040908018208440008250200c1054005a040840002340800852a00100108042012210542250000040042310000200008040008000200110902408102400a0040060001004880210010204091090041000000a802612010140048000640808010c0000200201204821a000010e0081241004020a25080000240000004a000518d08c0000014204200001270080aa0281000000240210044201a000a00000210000600208150900842418200c58000c4280224050061004a008410202048010c00008400902400b0220200040081004004011a040108c40000002a08048000100a00a00140302948050110c0240050200000201011880a00810080024034000011000040250020030a008310a42002048818100c18800a40d12000018400018008410040502a00108800802818000000000502e00012200002800a00408000608200810340800208100048050c0044820045200</t>
  </si>
  <si>
    <t>A35637_0945_0000000c4040005a042110000402402400812100300600600050a0a008110000042652910048108000208840c0841010091020090024800004010204000000091080204090800020200000a000802148340008d00302000002348000500608050240440000a00100c0010001080004034000081804220811000090805851004261a950840a02000910008c0094230800a440808840040000400a00308210000400412b0a90034230024004081080024200040040884040210020070810010801885060805805030000a010800302000040210600210010400010300108210848050240302208400a00000140100100340408042002000800050402608348048100b00040518c18110042002200000642800000e12100a00842000110210800400002012012100f1800214060881810010001200a000000108400000002058402c02900602400012018052042000040e00a00a0004220000055000050000880044830000a01021a000942040110200108802012100e02008600810508800c1010024a010a0040020001000280801080810000010004010020a10004840084200201000080</t>
  </si>
  <si>
    <t>A35637_0946_800a642000100a4850a210e10e00900100850208000642252100402802040808448010402402040408400102c08400e08158050f00000000002040102010218c02000050000808440000000050010008042550810240200500840008002a00d00202852802100012000340018540102310040000b08c48000108910010100410400400048008400200000610000102200300100040a40900c0010004ad0800040801000004201891004a25000210890031a400802000800002058040608c0244080004820024281060200a100700850402410a08008100008852402700852008010902000100b08008000002400150100010c10400100d0030060001001280a000400208200100000008040842200040110c50810410a0a04a25060000200284014011200021830220080000a210040318042800102840902100000600e00010000000102008008000152008948050400a10c10800008040248a10a02040010040102100410410240000740840042408052a18c02a00100018c08602250402800018040d00a4040805040a202018208250000800940110508010048442012a0000020861</t>
  </si>
  <si>
    <t>A35637_0947_0408202910040800240008a00840100002000100500000440500008210610210f0a010052800100708e00200208c50040140002c00408e0000044885054820010084a100740302200e00000848000000102310818000a1011010220811ae08e4020850004290000041800044005250000a040418440250900a00100102100d50000010800002150000310000c00040002000400410018510202840000c00902040812400158440a00610008800000208408008658a00410802008210c0090000815004004a740000842010000200200308000410640040800140000d0014080a000042202002010808410010108148310100048c02042d0810004061004004200220a900002310142850102c08218042608250200c42500818000900402410500800158300800700200100042b0044040090081240004000000a00085001804010a218042808008048000500840100418840c18900108040500100000a02000048800612b08808012440000042100600810000400240a0a000000258442d0000880820210010064800220a002140310202e4094000204a04a40841000890070211004820</t>
  </si>
  <si>
    <t>A35637_0948_8850810500000240240500242208850908002200800a10000002002000512100840840002000002610400812040d02348100208900a5205a04240004040000820840a110248300252100900848140002810000400808050400642000012000802c0000200220a00a01800004a800840b0200000021280001040000010a000010002050248840000008200450912400002418800b4040a010002802018210c40400410308200110800710010002a48850040100c1020a902300800000400000018802408900442710050818000002342040100010000100340042008018600600442542100058000152010400e0811801251000080200014094004090881020240040884020831004800015044001830071050261000060000004000894a800050400052412410800a02002b0214044240891080011080000020240080044284000080840260020205000230a01044240060000001080000844020881a250850a0205a402818c40000c4080201010000021821a00050011200021004000a800542848148008948c0080010020244831094884211294004a010400410242100a4014041000</t>
  </si>
  <si>
    <t>A35637_0949_094800810240294000021005a21a04000011800a10010001810204000a210800110448150000102000000440008100400200002800442200400202000150b0000001011010030210820820a648912040002248000012002510900908202810108200040448040450018a0084054080081000010811a802002d08048000a0024201041000001014001070a040000502258702600748000842200000000200a0880041080225001040811041884000080014a10080205010294205240a208e40050050508208100610150a0051204080a11aa1020244800004081801281095020a802300202248510000000c40400b10000200300040442100042042110400000502008000040a00010840402200012158600040a1881000a14a000410900e0200000200800a000c0004a410000210000200500000040408010200a00110800002940002042a00250200000102140400908548842c4090031221800020800080040814060201820004040250a810010100608010d42c02000140010500a42000d0000040850020200011204000a148908252c00510600002108008008612550800000500f0</t>
  </si>
  <si>
    <t>A35637_0950_0b08400840440248000c00c12600400800102310100112a50142248900100800e08800040100010050018002c50510202a40100810010a1a01004294840821020000000040014a002010110c52012442800208c00600a00000600148450108100012040108042308010e0020a002900140008000800608010408800400200842800502d08342240300240a12440c40000000100840802540208100440410110440c40200208600400810000850740b0005041080201840004a90800800004201055040220220840000001094220010240801000041844004a00204aa0860844800280a300118800048040800900a12300110010400400000808100018502012002000810200100640048810100100012000908802450400048040c0025200000010824854000080020040204085030000800201080000281000000004820000040804810081004000ac00600900108000210608042948902510008a00008000e02800402600018840c00a08208402a08312400000c02008110400b00e02002208050012210800848010a08000100e0800ac00c40048018408810102400042140010110c0</t>
  </si>
  <si>
    <t>A35637_0951_8508a00800102008010208400210800400008500008010018000000040050000410052400008a00300508808808100400000502018000000502340a42442000008050110102800402a18108400000340048010218012012000308040002000102040450400148000300812200800c0014a000210008048140c40202650a00100212400208100402800c52800500000000000110608400000408200408e10202410900142802100010850242510008002010000102a5a000100800610000400000110800a42200100110448812108908040218000050042702018140900c0001044220200021061004a008c02a42010140000640218c00e4004804801040081a05004205810210085000801014201010a300108442902940000100900c0020041230080020211815800a11020a802300210e5800010000090000a00000205010000085070000090001085020a302012800000018840600108400000018c08000900100410208400202010608018052410552202000000042040800802050c0040081000090000065010080821001a400400a00002900000248000702400000802802400a1</t>
  </si>
  <si>
    <t>A35637_0952_800004051000020844a010a08448012a00050200308a12208400502100400110008a0800260020020021044220091050221005840080080040084000060090870001084004821015000005a202040008002012110402c4881060a00a312000800000010000202610208100a0001010094011000000040a000808200002000f50010842002000540c00300800002200210000500e08000140408a1001200000a240540200008400208c00848810040202600c18010008100208010042410240018000800000010c0850000a04244884a04020004040211080800044021800240a10010000a250508040800100248202240408d0000250080231830a010202802400340050058400308440c40a00140010a18002802d40440800600a00518010000000040318500000600000008802102000848042010802350100a08d0a008050040208000008000a1001060000000011005880850090a01054010814880050000a202618108210042000a0085800031815024041040021200040020284840080035200aa10302008002000110100008e08000002240350112000a0040000024094a30080</t>
  </si>
  <si>
    <t>A35637_0953_0a0a402112c00810200c10200252100202008002210502242900c0000021a210c18400110140050410910040602440140808018118400440400008258002100302012840100000142000c08e48042000108212200240a02c02400000100500400a10102040010400410400000010448000318108808008850000850102408308010000000258000e08100802000b40302158010840c0a100100100012210008002c1004005a00260894a440000d0a90050001025240880000881044ac00010e4010280805240a20860244201020000000000010a042440402050208808842010510402918140900000210002000802710600800010040140000648000d4a800000140040210b0041200000060804200240021000880214011061800805085850020000000a01011020881244225800201080020010060a808100810140802000a4000004890041000000024001805000005061284000000810a01000000855000000010210810020a010442202018010500c4080080010831200010200044090015814020051084204090a948040200810002012700000400c1010a45884070085204050</t>
  </si>
  <si>
    <t>A35637_0954_081021004054030010060051a04010244090860800000a00080080800a20a818a1040a440140318002000600602800000102008318408852810602002500308010242502a00000000810042810400e00108000000508600902840240408410840818c00500040500100302052440202800500110000000c0000820220a80000245214014090020810040000010040a20031a008002200c40f0000031081840204005214001061840800a000000100002000200018802802c4080001090090860001000204200230801000081200004000010820244090040a040008210100042812042000058a00e12a00400a0004010060020021244010200020000080081051200020a408008b10008850008800018f0040240210010200020000804a81080080284041840894a000810c4000a100000002440000202108442e10200840000940300000200410c40102c00010008000100442402240940048200300040c00a00208000400502c40010500108450200202a1001000801000040885001250090281a010008000218800500810102018800808810a00050000108018040400c4010230881</t>
  </si>
  <si>
    <t>A35637_0955_881024844284001010000011040044094811000001081a002802e08300002000000610000040100000000a00010440e0204250021845224801240010a008900140200102840048240508b02e00c10d4835800820080260a41280030050a90094244014010001005011000000201040090810200021a802112c0014211030800004805020a202612410408812942800240200008000618000040250100010010058c00100810010408210a10100000808008900400200140400010602000802800850f4a108000600c00042400040a0000030800020080050001820a21081a000012a40000210208450200100000008502100a0000a040000142442000002010050202140040000812a0000040880251010011801014210080850880000000004040020834040025025094200800264000060001044050234000830024204010000a802110008b48840002700810002500010040902008b0060000044aa52412040800440600a50a0800210021840000000204a400000240100b08208002442400058042a00c1001090000281201841024000a01030230a30080840000281024200200040</t>
  </si>
  <si>
    <t>A35637_0956_030020095000805800a01020800801080200021200040801a100908012010b00450800c02d08042400310012e4204000010025020050040881200210a05810814a408112008210042010a52002c00000308010000d00600100100140512410200200012200002108200500040840448200140c08000c0800000880801a81004004044000080010040810a640912000210500808842012500000800408800010002040402048012a0020844080080200004840081a000002000018200900000248810040250510010200000002848908040000010012410200100508c00718a42002a0834000080801001a00010004a24a800610008002148800010310400000040600200050c10d40242002200b0800a000002400500200042500d0804024094294021800011051804814040a240002000142440410608210542000702c4084264000a000010000a1841084220a000200140850900442102048010402412000408000112c0020801015000a80000000010240280024801a508610010440000448800112208840600100608002300110500200000002200412200a40040802800910000d0</t>
  </si>
  <si>
    <t>A35637_0957_0108c00410108310400600110250c0080004801a000042250140f00000050300008a00100208100110108550200410400a00300718040200040040a40202b00e0280001240a00040a700510842900848b00110200200a00440200910100308b1004891220884000000024001810020880030000084025a80000014840a000200208440148012648400012812440f00000250900008200042200102110118000000010408200102300c40002940848002000d00800c10010008a5040040000a240102d0814a24890001080000040a000002400408202402108202010100100000040600100600808000c1a00024000010a81040241000044200201041810220a802840a08400208000000400042202310810050010810602808010f0004825810000010000220044084281210084a300408142a0000010000004001840000a500002002440900d48000400002802048600208812000c0a018502208008602050108818410c00900018800200342402208000000110802110018400012048440c42200312008802000010642300000600a00018010c0890040080000805000200221000a21</t>
  </si>
  <si>
    <t>A35637_0958_0100000800000902408110a02000000508840142210200c00512000002002400240c0a000600040008900b00608040008910100210108408042240000152a08108450040142110140800f10042112608012448008d0201a000908800140808448458000802142310010400808910100000010a08000000402148108200000312202140400900212800418400400302308008208500c0001020a050002400148240050048810000000410650002008000000400700008c40400202008900100008440000150210400c1000a05084200a050010000400900500a0200200040a042052440800310a0004041050030004824a21850000010080001850200821820884024ab1a00001004204014010a200440810058850002408108500010712200000002000508000440800c1220200201890840081000224200a210c00402a1084044020001850001001080044214020000010000a81224a04a000000100002010000202502a10340840042000102012700e40a4804080090a052000048002000a00a0050840000000800034200201ac00118040842048002040a0000000000010010050010</t>
  </si>
  <si>
    <t>A35637_0959_810200010060805a600018010002400c4080024a110810218802408300008508740008800402812010000002210810000000350000200c58010040858240010910800102308958002500040040000400b00508000808442000000000040400012808100700018000210618000012140810510808b0201a012002010050018040c0014090034800000021220081010080021a01004884a80014a848002008800000000600900548010008002002848002200d0060880884090000820020811040a050200108002300902850010200010108010310000002c08b10350a00402c10000c4010061000801820084044021000240824240084090811200200004000ac02102210402000540002800300a10042108c1800040280084a50a008450240112000808010a00410848000000248448610500000402c00000600110810200840200000402200112400540902042000000612648c00000310600400440040002040010750900000a08410800102008008400042c10000340210018102410140108848500c18002810000200a00412310018a5804240290241080080884080030000200010</t>
  </si>
  <si>
    <t>A35637_0960_8210002500100040208008050e08400002808000410808800500400100042e1070880a002000008300c00b0085041084a000300108810800110640340102108410000012008212200500840002000242000452410102812c0214094000a810c50610012002012000100948c08040200008400100108050c00c0001814000001025005030a000500300c0020090220a940100800002000012800008600a00a00002010408000210900a00c0000014005005000884a24040284030010091800240a142248a00648208112010000c0014004080000025a540c4080a002200800a40550000200002618f10000512d0230000a80800a242800008a08002c10610010100602a18048010040c02910100a02148400112208400a02100012000600002800802110040110a02400400140140202810002202800e00240008300800000502040a42040100402410002300102102500b10402810802802600408008818010008200008110800810800342802100000710000c00200b10400010340210000802100040008058052802400218400010940c0010080885220041844240a54210015010000</t>
  </si>
  <si>
    <t>A35637_0961_0842808012440012450d00442402000c00240040000a08c0a00204a148000300318000000200208600000000442c1020081804210824085801020005041ac1000845040000800205020010020804040031001000044a208440008108210110800008110008902002308040200c00048052410808208c42800302210002000112402802c0000001201020000801044210011080044080a41014821804200041040a00020204800860820020000010001a550410412400c00408050500018002408900a00000010800042048400440208702100502010040002800102800400648802940040100400100802000240010240000408210400500800500308108200042800808000710208200400802910040008e0205880040025814010884a040040040048402a1080840000080a31010800840a002d02200b0841050080001a902200300640500040008150b00200242500a50400110840a00100d08100a10940502858008400402440400008a0835a800a40808540c00108010d10240c00100002002050008540010042802018248400942400800100802000610100850000e0034031021</t>
  </si>
  <si>
    <t>A35637_0962_000000090214200a000000900210000a00110650c00400400800100a40200908200000940440250000800d0205094220804061a000048012410408a4200091040004840034290800000025020040204005065001001000a90030231840870034800804060001241000011200004280800801a218240802010300100158000240210000000302050800a4040a04000294a20231004a218400c00000112100702a10102142040112100008a4211020010030080020884004000200005020844000001024204845061000200200010200020080804021000204000204210091aa00d42248008050410200200100900208018000b1005004220a010610108010400410500002102308200040d0000800200060000800015080204020221005040280264800011a000048602500200040052108000600000000240402300b0a44a002008b00048c0001200040000a20a102800408010402800902010e18042240440240302140800310a0850240201a600100050c1084024024810891820000081250a20060060044840a000942000108c00440a0000020020224890020805200010080815241</t>
  </si>
  <si>
    <t>A35637_0963_0048000042200240040008550818000108340400e08018000010140140100010910008040c02050100210442a08140200000000700c0a800040800012010000602408850240012252508208048012800100008400508408902800000440210008240010808040010000c08008000900002002010200c4a41220aa00650108802c58c42100348500010142a0841210011001040000004000004095a042408400208040140110040b00902042010202052140018a1081250034a848048208000042802000802612c10302058112600000608c10100000000608a00208018100602400e08048042200740600010800040000110812402000500048202000212012000448100148000802408102802210758000300812040202110100a0040801a800000008242018002e1a000408802248a00812402042002050410c00042248000a0884240280801a042800400040400800912200000002102402400000240002008800000000008018900000118100100000c12c02700240102600102808402a40858148000110810002402008610000a0000a000040000012c1054000041060001011010</t>
  </si>
  <si>
    <t>A35637_0964_801821080004004040280020001885004800a240100540000000e40b00602200802000500842900340410408000100102358002208018058402402140402100800208c4024a210448f00310650802900002000a0005040291280220044000005084844000a050012400200e12100600210218000e00008000842100000310008408810d00040012700000050c0010800a100b18410012412048850102000510c00040000242042210c10048500e0080000ac1884800ac0210021810821090200844244034800081000225201200081004000041024884024210a11a01064220044030004200201001a042112000042112100c00e4210000a000010408008440000908000150210800408042002018010108648408900000300040310618400050200000000000050c0800000814050a110a02e00000448040652c00000048c4084020a408400010000040e4a01201ac10800808c0030a008000808010000c02500042402010c02210850800a0004010010804010084004a11a10050204000060801861030030000050080a940642000200c00040000008048c00208048412240b0a40090</t>
  </si>
  <si>
    <t>A35637_0965_000020000004010a400800700c02002602800100308408852000048140540108c00010040300a00202c08c1a000102040110200c1010800a802c08a00200100008c00d0284014214801000201041080200a000308200000040808000010300250050010408210008c10302408400448050008800800200402302118400400252002410b02300200c0010a01004220020040a010800800010a02110000d0084801800010000001000010800a100a00a1840820000040011024014024000000a400012b00008042900500c0814080aa1000030004205011210001060a000a10c00040142848058400a00808400008150410410048048010400112200200500018010c00148000400510010540a40810100610410240512400242400e18208002000008810102b1800200201000010220a008018002510842902000000708440150802100200400802012450b00008040008048012800102000002210502650102900840148000512600c00300808318200442000802802000450d10002c1204000210005880021240000014801000a00830200004000821001080081200200234804014210</t>
  </si>
  <si>
    <t>A35637_0966_044005200050a852040100c08802100102a00000700408840042b02240000010050258800000042040410210c00842448010000010048000100240a08110000a08000c0200804044a100a02408d4044080a108500602248812000950010118f02a4880014220a550c00100000802948140202000842008412200100200208410800c12000110400008200842050100040108708840050040200b0841ad1011aa00100440110202400210440002a0201004800810200200000000020ac00040000000000a4004a00020804211240a25020020884044081060280010090804040000000830025020820081010250290a500010008c0205030a008010100340058000808000500400900e50040300858000010000400000842202048c00400402400d0220230000004800000084011200080030000084010800210281804a24201004221200210070064090014025a418010d08640410408a0000201844200800094210021240050044011084200220061004000201000a94070a000110008410100008408400c0004044214a10001000061824040040001a40090805080804200210215880</t>
  </si>
  <si>
    <t>A35637_0967_8800802140040040252600808018010442200000200b4801010090801015890000280001060010000a010310818400c0001240021841000050080aa0000001800a402002900950340810002800002040008540b0050040000250a258000600000010c1284200000810830824280004000020000830021000050080000001085000a150040200208b18800852000800048008410810240002600242500a08802408100808010002900050200900140000000318008058442a08140400100940012002200a1004800010864040010a00000020004261a10084220061000800820a51040811a400900042c1800000020000030025800880200091010001080044290040004010200041000001060020205010820a440000a00000240108000848c0230010020040870000010020890030a100142002812002112048400510c10042642a1a11820060004004000081840840000000054020804204ad00240402410842a48018a10242008010d00b40010200600002840000008402100042412400100900400300000248150400102200e00818800810200110218308808018140808040040c1</t>
  </si>
  <si>
    <t>A35637_0968_0010002040200152400410300040002c08918648000310a1000010090821010820024204244a308048800000a00000200800210000842640410808910300008d0284080060a800208200008240410100200002200442200000840150042108008c00040008002452500c0a012c02000a0000030801240085010014200000000801804004000004a010058840110042012610c00100050800802010048000a02002140a02308202000008010000102050010810002412040d0800a00251084880001010814a008a08c42810402242008010600500a0040000a848008000900c0000200801010a00001201000210a00245280001080080040810224ac18200000110d40002400b08612010000040208402018010008410800940000a0841a008110000812002108a00440000048208010e00048202500040100100100e18c10400900808200718d4800284004a008018000a1004210080291000000004a442400002b40108300018e10800102010602200110012002002800010c0001801000040001a208118640400900a08240150400a4061004014030000831014005200080081201040</t>
  </si>
  <si>
    <t>A35637_0969_8942200000800002100900340618440440810402900640042c0224085a01a000802c00800100210540000008008040000800008000910008802802108740800100002802400a00058100d08a0a00000204844040054200a000240100312000002010040140942200b0880000284060080005020005204200080094030080004004801214201a110600658000400100808018000148c00c00600000208810100e4a442602300410000018a00002202000608000318208112900800140408c00a40000200000200500042412500500810050400a50208000800240100300248410042b40a10040b1080880051044820234220811a012040840902500800e0804000000014004211090884000010210010201031204041210804210080010004800000091824040060820080020090200000090a000802008048010000c5000851020210a01221004264280080a000000400a0041010040880800a400d40000000300000208b0000aa10112140142000908a10600000000840208510040000012402000008500018448450040040502600012800d00e0004021840010240001004280275010</t>
  </si>
  <si>
    <t>A35637_0970_804a00000000020200a000140c00140140002100b0000005085010801020041840000885020804024ab10c40450c00000a40348008048010010000002640000000208802008218212500708c1095220090840201880021204030020a040810c0284004084210001040020aa10110840802640400c02800100202140600008010210540002042118d1081000a000c4810040090870804a14200020a150808450012502100200050008800800000042808140100150602102008112008600100452152808000640f10208c0a00060220000a800102c00000200210012a08018408950000a0204040011084a00080a250242100040408100800002348108040058902542240000000400010840500050000008000e00c00800800612000158000000b00810100308910842400100000402000410440400600000002000010812812640a12008800208640402d00302410400442000800c02108440f0090a00090000000a750000012210440008908102010800418110840010218608248600000300200000a08502052c0280020020080044225004294080820011000004041020881004030</t>
  </si>
  <si>
    <t>A35637_0971_061040804050890010880020ac10440300052000710218000800042800252c10002802000002000340008b42840902402000402010b00a12400400048100e0860020005200804040201060044285060001200091005040290040080241a000010408040202040350600118048102a02042400010100000112808018248c00302010000040000000500000a0080060a212002000100410042400810040100140842940640042040010212402c0000a300110000200050002c0290000010010ac00012042208010200040c02810340040342000000c02100008008140208650002102142800440008e0201050050220040240800885004204080001020070241080004281044000825244801040030824810841820a000442008410010900002010508000202108808402002002802008e00440218102a00810648000502802810148300012200812412002c00000400808c48008400308808040200018412440000100002200048410000408902410800002050440040948400a00000210110202012300000d08000c4080021004001081000a100f0a00221860801801080090881010200</t>
  </si>
  <si>
    <t>A35637_0972_0840002000000240200400c1240000004084015821095024a102a0804851051000860011084204000840004240a01230814044000024000084020290000011090084040014804224040044800a01080201051820001801214040000000a800500202c00040058210018048640012400802510000848010010008002402c00440600002248100402000200412100f08000200100040002400800808000710650c00802602910240100002000842402010140100000010442848250608c08510a08c02000100000808f08040d10640040008108242810000402810002000a5000041000014001080000021091004201841060000a050c0220090a20081810220015040010001041040060210084811845a108040042950002048040400010002402602102002000500210100c00010200c00240a58040102208008400350210050000110048400840e02500802350012100002208c0000810000801090204a05284020200a00041060000080820a118018840a1004200000a012000200048900948040242000a00c12802a0220824290001080080050020000800060a40050000000020041</t>
  </si>
  <si>
    <t>A35637_0973_0558040502102908108000800240d00a0000221000010000081040a24815200000240a810940040108900440648840202212310718008a50002148008302a00000008040700110410400c0840010020220220a108010840900a0004840020021800800220a90051081020085004044001a400210100200440e00000010000c40802100000018040108442c0ac10000818102a08602010002040100000018240812900402040202210950600402240000448000308410410002850200010c00400510108050400000f18850040c0805040811081040004004a000450000000208042c00018610a10410400050100310008000200000440400100000000640000400040042118008200010002000040102010842448000300050050100000a10000a0814020000840040a550402840002400b0080200000014041010800000a400800148000900200002000100b0804a100302400002b00200040e08440440400002300400e00048808100800012212800942218000008242200c0801a65040040210221810000881a84070a81850821004224000200004015010090020205210200200090</t>
  </si>
  <si>
    <t>A35637_0974_830020001000024a200108d02800410400810008410250000800002250512600208840800242002140008208010800100010200400910000042a08002002518402200050940848040810010000400140140112e00e0a410102042a1074a81080084290210000a402208740202000c4200004080001000214020284a20a20814284880040a018000c1880284080040001005081000861850004200024000000280a400200308040000500202002000008412500000008040400108040f08210000040c08100002c08400002000f0000041810001200000014000000020005a240050442042402018210240502200a1201a00801000800050000004a10814020044050024a058600002600002500142040c0014081ad00a00000000e0880a208400408108000000802010c00300040108300800242140102202000c1070021a912748002102810c42c1000244000211091820084001020004054240081880804090215a00020001004050050031000081081020204034a008050510510248802002a0804200811805010010080050810041000040000004020a90040080a10004a24221831</t>
  </si>
  <si>
    <t>A35637_0975_0c00002050900202010000048402050440218142808058c00902300942700008000040002408148440818918048040a0000221021021000a00080094000200800a81241024000811880000060850220030000a008010c10042140a0a248000500040000400208000918940a10900800010040108c5040811004a10000020024204201284884020000010a64200054010031000004aa00010400000202208508008010940100000600018810040408000500808202008810648a10000810c1280044074010221201040221a400e00b10610000a0800090224004200040010021a04020000200080040040814014200040080014060080010a002058218802000100300042110008002010502a48850450818008008442100a18210010e4241804010834030020000a80000214a04001000050a000042100a02200400458808940200110448400a0a002000840042240000512002c10302012000000058048102100000000c0000225084204880004a40000884090080880251a818e00402000c00010302208810c0a80004880201a11004201280000010004060004ac0005004015004000</t>
  </si>
  <si>
    <t>A35637_0976_0600018000000200400608510a5000000220864020000201a042000000200808640c1a800c02b5001240000020801080894000210800080004210080a21aa00000040910008300112008010448140948010010008700a00500040902402308640002540e0a008040010a10000002208048100500a00040c02000900100000348448842400212008900e10200c42442218148108300002110940008002e00002010000008012602200240008100202010110b1040001050090830804a010812a4205200011200200014804041080814041811000200205230021844080834044000000230000020091ac00c02500040018008002240452a40002110108940852400640240450408802e00100000050240810058000000508310102208708200000302000110410900042800040240048810000408000a0081004001001020801080004000240005805201020084810841000004840244a010100800808450502808112600808108200c40400012040800d1204081000a242008000100400050d00940200610442000000400312500100200040150002a40400400802400002000208002a0</t>
  </si>
  <si>
    <t>A35637_0977_8258410000b40800200800018400c42000110040000e18040000000a1020ac0084a20000000800804831040020000014224a008a00340008442900110000008b00008802000000410010000010d40b0210a11021884840011080a000408008508402010200008212900052c50412040840100810a0085a11004a048040000210002000208008658000008000052800b48100108110640810000158100100008c18840400250052208000008040042008040a08800202552002012208000100210c40142000012410208002902d08900000208340202040042200040a10540c02402408200110000950600100908002002800410240c10040100000510040002800000340100210b0a018810148308410e00c02058c0004800a64080060884240000010044070800881a100442100540010200212010208a00318110048240902900100210a1040224081020a84a240000010602012000308408a00740448100040100002a1071020050200000800a508600808c00e00018200108900040002008040048000d0201014040201240a610600800010102000000b00452a0001284220054080</t>
  </si>
  <si>
    <t>A35637_0978_010000250024010030081801800280050000000ab00200802040000a40600410408042810200100208a10a0001811014001265210084044005090031820a008400412100902a0800081084225040000200010041000240804010081010200801280a000402000150200602000c0040004245240084041001090201810080041044280004a840710100808002802140200340500442000110a08802042300040250510800000210110050200c02840248408200442000810200008000508048c02810102b1001a100018808040800142108a0831a00000260001820040001020001080a108110808402818010440208058000000440100442102500100008c08840242040248e08102a00002008042102010302402000040852102000d00c40802302250208310800800010402a4804a00890a010442700008108400412650002c0010044801010800051070000a40090001884210060801050000864061001000080a05a108608408052400910208f08400608002200000208c08148810000c40b00650b00040610012c0a11005030000884811220a11a450210000c1a040000200402a0</t>
  </si>
  <si>
    <t>A35637_0979_0010402802500040010210418a0000044810000080840025805030220a30000081a01084000214a142000042c0094000200800831040044080000005210a908b0aa4200250a050458008840a42800400140058900b02000000640002600508108442002100a0000811015240241000a050408800348640852100112142410012000042000a48100600010002800400102008600c0004a41064820841010001200214030294000000060040010080205010a010b00e1200204aa12610000008442502108308000b18200800040d00040510208158808140808800002100240058d00608800440418042000410000a02000810210618c40a4a000002000750450400200b1010000000004044204020030040061000204094201010a50081004204014210000040000020004240020261a00000a00041040014251800035045201040210a402600010008402000a1044000084804200230084010200014a04200024a050000c00800c0880000280045021804860815244211204080015020241000031811000000000894080001a01020080220000004020020001010205011200200004a81</t>
  </si>
  <si>
    <t>A35637_0980_0808e4040004010041000801201a100140000502a10200200142300110042408040008110400000408110250e0000000a842548a10402240042900000240408010600400340108200800102010800e42008118808240408000800808200d0020a20801204004020250820800810010020011040080805010210804014211004200214290a00041091805000804020030004030040801a00040291040a008318400000402208010c10308810040448a02000410510e48c0080200005010071a212810a02002000018100000c0010a802002808a10010500048010000800d00800100002800402a10842202800240240458100c10a0000200004a500200a0804084210824840a408010042802e0210010221000204000020200214011090004080060000a010810100458c1084010004000004204040080a102208400710e00000308b0004210080200210040004000020890200010020a04800801040020001044080004081814800040004215060001024000080234820021840050005884080811020011001000a000508850002700002c48802048a00100a0001000240010080020880</t>
  </si>
  <si>
    <t>A35637_0981_800801881200020240a00005241850004014810000881a010440042800002e00008010842140008112808c0a80211000000230200000a44841094294805031000020251004a252600200000408c5040014020070020200a000500040110500410a00400208002040818008050900200108000908002812002040100510018c0280201080024005070804201a000400210608a18900440042c40050100100102040500940900052b08000000042200800000118200600840800012600610b50c4854280084020000005000a800002218000900d00c00102000852640400448408810500018058400710000440200000000810502010400600010200500208452010400112200000048c02010d00002002400118200500000040602210a0a20000250004820000810060a802000200050218010408800900010008010018202002100208100600d08200140c40812000a08442018010242008040000b00040c0080800815a90024241040080210811010001041285010230201220880201010044821000290081880200090804020200044005241024800a100418c0820050294020821000</t>
  </si>
  <si>
    <t>A35637_0982_850044005030a008000000000a08402408900040800208e1000014211041a00021020000240281001000071a200140040110102110d00812d00800850148018042258012100800410500508200002008040040a08800650502008200600810900a02100300842000418000c0200000831040020800a400150402100040000140000c0034020811800021044000240000045240021080004080080820020814080000024821241000001000001010a20230a010408202010008100108600240000010e00802200818000412010040808142000008a10400142050200f08018202440a0011805041840241044040090024010024084800040a252400400808a4810020804000a400400048000900818610a00500000052c0a002042008940200810000100202400200018002d0004211001830280004220004840871000a60041244880a008000012012002840100200008400440100040110400200202c02c4000214810820880a010440000a1814010010a848840008a0034001001a008952000a12300808a1004800000204a052808d0200284040000a210008c4001800014aa0020a01</t>
  </si>
  <si>
    <t>A35637_0983_0002410000a40000608908400210002d0034a00201845840240040081a212200150c0a400202802050108040000100400910100500040a1241000000000051001280080020a048640800058448000200200000000112002c1020010804ad10240002140a4210000820801a04800040830200a00040204085080281a410600158210400408040350900102210050100900000900248c4040210084801800810884080230884000000020a040002142910110010100240500442a1001001834881a402840b10048000a10812042a40010512008b1200084084a20204200801064255004824240ac0000840000080080041061001841051004804245000080024a002002800410200c1824014020a012618000100002000100300008000010e1240244080a050810810010040208800708200010c48400500018100700212a4211200a000640000200a08c0050884220040060a400842d02310010000308808940940a48000600112c42c0014024000a300d4a800002800000542100c0000001024a242408010512002800900808408800202200010700842400400812400c4244200044021</t>
  </si>
  <si>
    <t>A35637_0984_0208808d40940800118000a4a20250260800210800041000840020205000a80024000800080021061000880260001080005a24281090000000200000811030000a00044080800a11010800044a010040b10600300148010800008300000918010c02040000340000100000000000e00910008010242000012c0201010080000285891020a21040a800100800040042842000008600650810100002012508902402800008810212000040800810400040018210102840500840000052710d00600010000110200100640400010808840400600908840800440040402400018448900448150000000410218050400202640b08048050042a00342400010c12608000d00108000100802000c02042012402108408000002600240140908110c42000e00008448210150840110140000210408010008d02008902008608300c58010d00808200a0011040a00050030000000001a200100348102200c0000aa08012140018448400812002012008040158410402200400000300310b0000824040010205050a01804820884044825015000800800280094030000020040004204200201810001</t>
  </si>
  <si>
    <t>A35637_0985_0618400002008040400308208c0011000800030a40804000001004000844030020a000800100b0a048800102e10400400100000600200a0251020010060211000001a400100140008610a10010040800810700118000c40100a0a80000880804a840902b0080000020000a418112a40848200418008402c0080820220051030805280200010014a100000850450000008058200c00048d00c0a008000200612210000840110008808808042810c02050208000402202010102308000400e1040081000a202710700202a00012100840200100100452800b08242202908042808000540108200110c40200810040042208010810008912202050002918010e58410208a00402100200200942d0835000020004020000240020050840864020814024014800a11014001080000030810090040a042140800b10108010e02e1204010a01040080010005080014010821000021080854044000a300300040040802000a40010010610c1200040a040000f0010a252000040248100000110200940100a00408400212840950402908200000408200402e0a01015200084081080030084200a30</t>
  </si>
  <si>
    <t>A35637_0986_001000014250004000881014025001280a000010600142002800808342512000458e08012400118642200000600c0004000020241881000084000010874a80031a04000240201005a000208a00000102000010018100042000300108400400800040c40048212548800050002910440900200d10210248802000812402100a00042042000040412200108c00500448840010318800012010002000200808208208000802000402210150802012a0221024a10884805a802208002100e00400c00442108002108408000012150500210048d00e0220811080010814850845000845064205a102a0020001800000a000408110a4a200100400008010100010c10c0000014a400110002402000802040350408c00600c12200800040218100400402a0034804801820001a040008158100410700800002400048340c00410448842300000400808d18010910000200208110a02012100008150140210c0a040400100300508a1080a802000000002000800540040000140000410008000c08402802010050000110040140900a4000000885881280060001024220880800a80044210810010</t>
  </si>
  <si>
    <t>A35637_0987_0a00000400c4a908040000240258050002800148800342002c00a4000860080020060010010800a10001040001a14004081200060020001801040a002200010410810000840a08018000450000100242018002a10000200400042a40010100908c50040100000400000058a00800508010140300400850140a00010440600200400010002810200800110240d1000820811800030260a10084830214a610a40412002802110000208900c58800800802100a0880805040220820a008a0070044800220000050040820880815094a100010610412852410c02808108000042050c00500a5255000001001800280031804220000821880010221804880854820040200a008052408052400910000002008800802400100000a00200410640210100c4001211880004a81080214000040200005080a002202040300618f1080081034011040041830200205020811004001020a400050640002402400000800542a42040408010042408050a0010a548100048000c12a0800005881000000894020804a002800600612902802200508110808e02940040012108400100a10000408200110a0</t>
  </si>
  <si>
    <t>A35637_0988_0b4045010204080801020050080004004204805010001840251000020804040000a250800408808540400808010100e00110000c08400802500a00002348200910008102c42200310008200200c00308a0811a800040000450840a0000840020880004000000a140018042000000700808110000500240540e00100302c00640408500040810048208e42c5214040001040a000800400842002310052800002008402a00112400a0000001280010080214000824200890004200000a90085080045024000821a010800200402400250200010402200100108808200400002c00002800a02018000440218000840900002008400c02152100212412018440008810002818002d10850000400040b0201011040a60000054085205080004a012000002208350d00100210d0000000a30000011001080014004a30000804800884080000060a800c00618050940048250100812242c0000090200880060841000250a102210408800c0091094010025000864844090010080000880835a600050308210050400118008040a4810001000811024a802800912018a00a02010c4000230804a01</t>
  </si>
  <si>
    <t>A35637_0989_040060805044200800010080041854210200240000030a040012008a08208c10812402100100842640808218c12010540040300c08140008c10040a0000a000848050c50100018000008802c00c4000011a002a00200200800200018450000518802510b0020a000000200808c0200a14a210000410800010808210000b00200608000100312208e00000010040142048008100400842000a4090805000870a61041010881240090075800a040248940042000010450140f08808108910000a5004214004000a600100000102b0000004ac0804a200100740002000000308058840248040050018142410850808010140410050202002840952018c00400c40800000008200c18002810000c00808000800c1a012402e02040300000140242450100802002000412040840400b40500a00b1841080024a04041a000200000100002242002408400248842202900708600910258812042102008c08310202100c0aa0200010805001a10080aa50118908200a4000000081040070000a04040030080020091801200200044014020001004040840010000a242700c40000450c0020014040</t>
  </si>
  <si>
    <t>A35637_0990_0908c4a402000012402a10602248100048000002600508c42112b0211000000084020250044020014051801001200000024031000800801094210001020a400340000842242a0800ab00040002400008240000100a0a00000200801004041885040a00230201020060070000040080a800208008848e00440108018008800802400000040300108800340000050000802040700012210500000000400008202012000800800058c18202050140c0aa0210080000aa02812840018110210840200010008200500000002800512202902400208100002540840208008200452c4001010081054011804024a040408008000000900008002000000008600000e1251010010020840021820a00280a040402008802802110140150210800a10250850040110400100800c1005264a010702008800640010c0834040210090080200020000200040864800010200234a400000302000052908208442e0820021000040800255a000818440542000802610410102008040140000010200100200102000158058000100e08050442000010310010010412402100012000908250800048012400a0</t>
  </si>
  <si>
    <t>A35637_0991_091861091044004004011034084210270084024080805000040090804001071810005291020010060200091204045024800054210080024854040a802002600410a18140000000408100218042442400018700000000e02150c0004000020085204850200020000050094801804004020035020091a000410240100448100a4a642040808012000400910400400000018600108800c10800d0890074061820a242000302840000800c08000042040200010000548408042740b1021080014005294000a00800a000500000800202348048018410240900402842700000802a4290294005000280090000050204000850081010220000280a040050900410408c00a4814820000064000050000090064061001041a800048302408d00400400900c0010211200001045215000000820010014a002000600040310c00412618010608008010808858008500040010218808240c40842000a42412810440a0201290804850810064200005020884a202008440840110008908010010500018900408a00442400000418800102200040200f0220880014210240281010821240044021810800</t>
  </si>
  <si>
    <t>A35637_0992_8910812052608100118400010c0204000084204a000800202802840100012800040000800f02008700c0010801051020830004021025824054014a90a400a0800800005000a200218400508c0a800000110040118000412802008202010a00000010842108048402c00518408000000000008a08000018542000000200808b00412000000002340008048450900c02150200210800c4000004020221241800880040010034200200891840840290084a200418900208d00a4210205000824044004020081800010080a00040050080841a000b00000442d00000300400602600800600900500300100200c00008148202c00a42200850a08210310400200200442100812010800c08448152000010448210540c40812200102240008e0004a040940008150108808208040040002000010002040500c00958200400058040002508900450400010808002048802400218042810412002010048408508240100400010010500242002110440148100200440442800108140000300200808010200048500800148802000308202002100b10000042408810600400410c00850a0084204000</t>
  </si>
  <si>
    <t>A35637_0993_8a0241a000002208408008012800810200240010200500408000a0aa40048018040e50840902308410900110212042c00010000908540a00c00000202048000008600800840002100410e00602900002040108110448402010000840042810100800040a0801000010000040a050140012202000002840d00508a40142000140c0801260090000000060000800020090201800805a050802142000608200e10010100602118208d10a00608500148002200c10000010040140010002208008000102502008410018c00200c00b00800150108200e0a010c0211240001090080080080805001a10040080000270804820ac00010c02040000a50112000400a00940100000248200010050900000202548600a48008010e0000a008510810000110c40050002210a1024004250894000a400a0044a002008200002100448a12c0000084a01a10804044055000080051020841000a002802110240200002c08100a08050248608140818800502300540410902010000642008612000000a12c12002010450900102800010000108002808042008800040912210200000240400508a0040080</t>
  </si>
  <si>
    <t>A35637_0994_044024014080000a318008058400402200000408108048c10000f0a000200b00448042402100208008010210040110702240108018852c00012748008048800600c00000c08048750000000a1a10010010250010080280040244000004a008150208c00200110010c0040000081000891200001040a050800000240642608012610000048008200110800a4850220280030080800804804200204801001001a810010902218408408218e0080040a00201a100110000040208218300018000042100442800000400400218002202350210518600010400808802100600400602040800250612608100208040002200402d0090004001000014214820860a008150140812040b00a0084040004a848040610000052102a0001010021084200040010a85204850000a81040090800a202c08108e0094060210a05020000a01014040a21864000041000805020a802300110042240110802000518000c00458040402200002710010002010408108008000410252042148158100618910048410048010600010148000000802150408500a00c40000608800418110000a18040e4201200860</t>
  </si>
  <si>
    <t>A35637_0995_0108240000000310450c00012000400240310440800300418100500b00050b18000210c40802000402500002400002a08012000e0810081280080000a058010e02c42542000800240a00108002850b0000820000000085804090000004200821a440000408052400800200c4800000284244ac18058210400500800000908940a00d0220021810a00835020890014285020a00001805080084801040001050860000080200800aa00542002100400240002100110402440108010012208010c00000000100000208b0044041000830060a800808002450040010042b0081240080014884044060010ae1004000030854000031284000200000040010081041040080894224011004004000000290021020054a040002008802018908100600000400002212218150002440300802150010648002002102210208200800008c0080295000001024221a000000a50548100808008400400018518000202602012840100150008410240440a0811800280080060001060090a00a50001001a04204a242302010c0005a000040208610c00408000000100042512a1810040000054810264001</t>
  </si>
  <si>
    <t>A35637_0996_8800602900808800258200418002c40000810500200010a4244000000215220010a00000004000814840875240841200021a20060010a002c1044224a11ac10300810c00200110042000440042000840a00402408200a10800308252402a10408002000040a00418908200010400548048410400010202050100808008008010400050602910108400040442052140808440800008040100848910008010010242c40200000010200a0a000140e02042200008700c1881040010011801880a200102000202208500008c08010200040640000500810802800a00102a00d1224001260091a042310a48002002148340040500c5045044090010800a200040840802400010010c1000824890274880864001034844041034080240060021001000200804a400018000e00400b00200202400408002900142010012410000040810402a00010410808650800448802018a10400002000900000502000100648400000152202600402810c40000b0010221800840201010824204090040061040040014200021005aa1210040001840020080001810240820060090814040080050a10000801</t>
  </si>
  <si>
    <t>A35637_0997_040800040040035000a100a42010100700a0204030040220210044004024880020044210080084031071010084090010210205010081840000240800840ae08852412440040100000410b10858402040042400018718002150240010110800200252140002008158000400800900a42108010c1800a60884240800201800000020080054a810000110500a42402c08048112000200410000400012302408108a48842308800250208102400500c02008248c0080021a000042000010600c10018400042340010a0051a042100802112200200808802440000000200010c5080091090a11000251025a602110c00100010c0084001800200001200081804800050214080014000890041a10000800a04000030804800090000201800000a000c0010204054801031a048802408008040310510240800c4210a500a18440000c4210010801010044880881004a218002100940010100300018040010608600150500312100008c0881a800e02000400000018000000600100412810852050000402008100c1815860800000880200040000040a402800100040b1814004840040031801801</t>
  </si>
  <si>
    <t>A35637_0998_021201080010001a400210010800402240000010900140000c1004000050091020240080014001030801020820a04080a000402208a0aa08910b00010100800012202c0200804874010864001004260880004231840080211000004044040041a040050202a08000a10200040040008b0200a10030a050c02000218008010010002c02140a10040a0024021245080804010801014000050070204000230000040000200080241880020240a842d4824801021041a010000a0010074280810881200034000874220800024844000031040a510740c42812800110048f1800880841024200000021081000010080010260000001a218800b02a0220850800020001020001a052100000a0084014800014220864200004210881060001000004005230a04810a410800240000208100500000c0060a00044005211020021000a452008008248200400848100800248300800b0001200270020210ac1000080804080831005801025201001054000824800894280200080230041800820020005000011a000c0000a250002108902610100140c1014040224011200810044210050004024800</t>
  </si>
  <si>
    <t>A35637_0999_800080051024a910100600600840000a02800040000500402140808800208100b0001001030220040240010005014000a00001041000080804020000820000830205080020010014a80040220044040024200220001800a04010000240021084004004204221054a50884aa00112540000600900200a0050280214054080001884004220804820001861240200000090804001095000080220a01850000080000044040204810081010ae10800300010500a0010201084000a002140910002010010400100100c10a00450052500200602300002008100142a08210000002812002340800008008650010500102000040500000a00c0004881000041004085a440a0030840081000841041000280a000200010240c00400918058200050808410200200510900440200d02802242442100a40c1000000830021200040004800280001220200050084a102200048048508c00052910d00340550800c1201200070004811000000080a10204214261001015801084050800070240824261005200290a40240050020000200a10200020004040011280080821010821800054020a00030801</t>
  </si>
  <si>
    <t>A35637_1000_0810200400000a52348500240002810d42b02202410040e00000440050318108102040900240008142000002242152400000400818c0000081214205204810880080800080200010891094020000060031050041001804800004801014a80020840ac10000000410800510a5040200220a052110c02a1201030200804000804240000000a012002a10002240002400818140d00002410d0204094a412110c40600000c48108100000540800800802210202700b0080000200830054250005a84000240a000040a00a1881004020884220260815201a010d40018100800842008152448048340000802010c40a02a0005850020040080044014000800840040200080801000820084080211034004a200000100200100040110210200400a4ac4010001204200004000200030a200000000000e08c52108000000400d12048000000b4a300e0000080005020000041080064800000060824a142818010802840240a4010240024044841084a110212900140a58010c0a808000310140800100900202110800810042450e00048000000e08a0a11094890820a50000200081220001864040</t>
  </si>
  <si>
    <t>A35637_1001_0800c08c10000002500100108018000800208310600010000c0290281205040860a00280064000a00001010040a110a0824211801044a008000108100200200008200840600848200e0080844000290834204200804884014214800a002218648e00102240202040010902810d4060020010200001280a41000014014090081000010240084054820800004a442402210600800400008812800100040008a00c00910148010312c1840000040004004200860080204801080204000001081a050010800200040900142808540302012000400640000c50208140040400018010050208800448108000010c4050a240000b10208400c00808a02302400352248000040002000400a4200090040a102408100500802040d08152000910458002800400240418600e0220080280004021001041021080020880a00810830840010084204000200824064a540840a0a000608550002142400a00208010040000810002a0805011000a800540402300250400500440000600a12448800600210c02a0a000140000900c0a910842102240008000208000008a1250810804085a110840800118b0</t>
  </si>
  <si>
    <t>A35637_1002_0402c00c02e08000212108440408010900000610108c0840050020015000840050085011050200020240884201240004ab00412400d10848500800010000000150240400002200048d00a0820a00224a00001040805040804000004801001005260200040080040820020200814000001210271814001090080024a040110208418042002908240c1054000001000210041000030005280000025840220810000005034015010281040804010000011001800800804245000000a21000801000080004015031a000c0020010004000a002000802000c00c02a0001a810140c0800090204800201044ae1200000884230821840000040000014a040900500240510208800210400c4081000040005800ac00908802842440048140a00200008c0220080800020030205a01044000a000c08018008002a0011050041021000804010a10005a81000a210050000300210200808458802040810640010118412002800208208008600618400800110040100a0800001200200a00040001ac00810100000240400910040c12600240008000c0080000200080014021010a012c1264011011820</t>
  </si>
  <si>
    <t>A35637_1003_0258a40010a00312400000c0060a000548202102018a00000000440242410200040008040a00002450a08c50802000000008210a0025200804234810a40051000040084284000a44040060000004080010054820820824044010820a018000b10800000802910050210040008c00a00010010108442050450c0a31a452500100808840c00100118008248200002140310400a00a00000002100048000000902410000440040110200010040500000000342208c00200010300040202000458410440c0085000811884224080004a21840280071844054220000001800820a212512200010048200200040510402002102800902012500048102240400a0024001204890050820090800004070a000500408908402100a4080a002010018208002348012400c08300840802102200640500410402010902000240c08002048800100100400a10a02000400000848108c00040a00002a4010004840020001010000011004001010020000020221020a51001020a000100000000918400c10012008040008910142400c10908002200100400e02040400048012100818402052940a0801221</t>
  </si>
  <si>
    <t>A35637_1004_0410448d0200830060220030044a810200800500600000240040102102442e00010202802f00902518008900008d4040a21000890814200201040080a01011005000a040008b0040080030200001210881821200040220240040800034201810261040084a100050018040800c0090084004201035200844220a200000500350a0001004024841291080260050060020240060815a840112940a00200300600a10100c42000310008800008400202800100a08018008550008200410010a0a80004034081024240000005000000004a010000e08010000a08800110008140240000a0811a200000510012000402840000d1004080880210090015ac00b1241044004001800a00010865240280031a21080040205004040001060a510342c18100408000140810c02210150400902402c08508008140640058000008112050400040302448010012040000600100240000050a0a40020224004001094804050020884010050800220000000080a050500800600c0200a008400000242840900c0200241000021200005244221810010000260201000a00005040021044084000025000011</t>
  </si>
  <si>
    <t>A35637_1005_8008802112848012000108040c4010004080040010005a21040214001800001854000040204215041010800a800902f0890040a200300002840408002440310100040400508a1000a600300248000902108040d00200000400440248000c08c00208910040a50000800210012012002000310808608002840002a12050400012200800000048040008800040150500010602810c0824004030a040010110802008d40a00050500600010000c0230084000250000a000000802902448000140010800100a0044800085080010000a000218408a40c02040d48100108000e40000412048942400018400002000000208048700150a00002600048200b00112600000808940440010510a02040008848040510440010142002910402218812010010602800052400902040800a0000800860070a410402000118158108b02202000002200048410310000040840340040008008050812808810010208340000010000812300118402840810400040518a00808818000000000410410010402c10000040210008448002500802000140018800c00000400240048010510848000a4014064000</t>
  </si>
  <si>
    <t>A35637_1006_841881855000000a51000080084000240204200a400b00000c00200218042500850418510042800008a08008440902a02000010200c42010d0000800001231015a40210000804204080800024801020801240841080ac0281080034030a010150a10840402208008000410010000308240312210218810050100000040100000048812000340200008000202400402802202000842042002400340100010808208100840210112100008012812000800000118440018140b00048002810000e02912000a0a408110800802d42400000000200812018002600340110110008c08040000000608200100600400040100210400240a48050800000052008800018500300012240210402000000448810402010400458010140800140500042202012000108002000a4a600040042010600400110200410140100002710208000402a0a10004081021a45284020801801200021260010000800211a40000005801220281850020004080a042002052502c00810a08800a00040040d00c00040040848010200508c00c00900100808400610142410002200802012a1885044000064800a64021</t>
  </si>
  <si>
    <t>A35637_1007_080804ad0224080800a218500040c50808108508818108612040240108040a1000020850240021a45020840084280200220a400008500242800000140100000500008000200b0a048c0804021084244a212010d0044081204000220850010091a45041200084221020050a20a452000842200000e18000110002000008000800c02400602040400100058002812440a4210a800000000c00400300542810148408c0014200a61000805800204040a00810890080001204090001211051060000851000010031221000200a800200208508a08802850110c08a40308800608002040000158102300808c40050008818002308a00400102000848400210010012810100940008c00018c0810020290805a01854280010000000200000800a01040060004030a808210a12110d40010210010050410400148202112010440242040f08850402010010c00100c40908040208200402000408840200b08048042c0280000021210084801001080814024a100002c4080020234800041081080004020010000081805204201080021070880804800800020804a440400050202100d0010030aa0</t>
  </si>
  <si>
    <t>A35637_1008_0418010800400840212000048010000408008050000400042c00348900040018f10410000000000042610300808812040102208018600042012000248408900102000850540010440000d0000080274001045020001260a840102202250b0030884284064800a10050054040804020021020020085005051080a140010000400812100202240000010510000102708242000008100840000002008210300340600000b00012040308812000150400008000000012c08802200018002010500040502c42010200c10208842002840800340000048200012a02000042100d50800800900858200018000450000040212000300c00008102142840042408040440010100240208b10010212102000100602a08900040402048902048000358402000400200200800010208000340150408b00000450900d00250000018008000810f4210030000081025041000a000100510040a18040002112240b00408200002008040200600148010000000a1845071050041211220810220a808300002140208040000000610a00100908a00050008502810142800a5010240020040845214a80000281</t>
  </si>
  <si>
    <t>A35637_1009_0210008c40040810010c0041004854204000050880080a800100202052240008840402040002002150408010210810c4080001040000a61205200080065020080040000070020870820891a04014000201a20200010040a90210830840860800005284050000030000885005000050880241080080220004004031a60a018000610812b00000000000008a0a940c0011040811050001850004030015830884a000800900240300000000c08010400002218e10440c00500848300100a00540008502840008410e00840400000b42048600600058000810008000440c18900402400040210002900d0005894200000014040064a20000004000051840010224094020005a010800000200400248840010800242408010c0010000260000880094284801011800084aa10800008002608000d48040000a0285215210801060080000a00004061004200200040220000030090221281014220014a200d00200400248202100600000802c40000018040808400042000400012042c08640002400e00800048200000000800100202110818202010940202002412800158c40d0020090024810</t>
  </si>
  <si>
    <t>A35637_1010_024024010020000010000040044055200800845220054004214010080024820001041200040281a000600708200000042b18008a00010a00010240100008300010010800a40300310100a00c02c00148058200408810402012400100710d0000aa08050400000202410010a12100000248000000500210000a0014a002510218408050a00a0801240801040880070020040091090000045040000000001000a400002048010140000602208402a40010210000848018540000048102000102c0084090020000ab0804260840210014250040060201a000000210042100040802002900100602300800a5014044810a412b08850040010840010208018252008000000908100410a1085041064a112010110018a1080044800000a200310450010000800118108440802850008102000500200a00800a4810030000860a008002c00310108d1080200804280024020850010020040000000844091060241a000008112200110000042040a0a042048600400408410502800240108040000852202910400410400200c4020a102100000100200012002018208c0041820040040024000011</t>
  </si>
  <si>
    <t>A35637_1011_0002a0010030225800000080a240440042010118100340640000c4805060011000884000000804070000030000240284a00841020080080211200a84045040801040a810308150342c0801040081000220001051001201800080034820021010800850044010200060090a20014024204035a000342018400340118008a0020000200294200051a80800281280230000a050400140000000900000312810112052000440850200208808800110040202440110c10400002100008100c00258c40c42002a48042100e08008802400310100810100050900142002500408a0001044080200051a018d1080a500500b1010200000820850210825201810820800a04094201201a000040852c02308900408a0890201201000000824010040000a102300842200210400c0040040801044080880025000044a84200200010a418c0200034004860840024200210201a010200100a1081000001804a400102400110700100250100800410050102000102410440002940342008602000008240100a0020040090095000850204881204090804820200080001040030040080094080085844821</t>
  </si>
  <si>
    <t>A35637_1012_0940048050140108142100e02000000a0200800860020000010250000200860040a01a40220a200042d00100810440000950310a00802618810408340000200800c10052700000548818c00402100440002410818118200000802148010208200440100040a0820a400800850c02500200002308018012002408942000810808600000100808440018202800902900000000a08512a40000000112208000000410010042802210100c4221201210021010a000f0284a100008800700000402a02010440000048100310402010e4800000211825064005000200221011080801080080291040040080860804044020054040000044004010a800050010408000040a4201244010834a200812a00048210408c0040204004a00004200025001010044a010408000008a40900548002000400510410c0010000055830864a012402302042010808608840102200212600400e0000010080800000a000202840400140202000710008800900200000212810218200c1070000010000824000ad40a08300200010700002000c4000800a81024001280080281030020020a44a10060801000200</t>
  </si>
  <si>
    <t>A35637_1013_0512c42000000008010300808410040c48848710800018c02412a0814024200015000294210021000000010a40804014000044891021200014000020011201040044a10080020870040014081800240001221a400a5021081040211a142008250250100808012208018700440900c0a200050a10148800412108a0040221000880a402342040102100200440000a02042408010802000110400008140600200800842142000448100f00800900800052200c0800804845224030044820041804a810e0000010811000000241010aa00312508802058802140840012e00800018110002010202000040802502848208040100610400040842048410108048a00810008010000000642800402a00008000300800600002208040110410202018402400100548c00458a02450000108308008002808902840000600410b00808000000248240e00058450150802102308700e08418010800048702010100a00410140008310008508250100008800402800810a40100002900210108400458000400300100a0800800200000821801070080860004024a118000010640012500642302140c0</t>
  </si>
  <si>
    <t>A35637_1014_0140000c40c0021040a000d10400c10e0221001000001204804094a342600300700c0801230004800800095240200084000040020004000a44094890220200044000880284294001a000218050800a0214830a008340610c50600208010700010040902a0001204800064a842000202008048000002000812a00040208110040010110242802110610408018400402040002e0000221000010a040602008402240000200348000108408600000500818002000900802000900900002008412058010000200100800108a1840010001210080080004040224a242000808210818052200802410a00018000000808042050110c00212050202a12140208a00400100400000310810040408802000800410010000452c00000000018810802000010a48108540400808008142240102010200800408050208958208e0000000a000400240500400210c18100000200742408042200912302300008000a10010000040018058c0820020000070000000a31801000a80080020050a11030a800040c08202002010018c40010e0080200200024000810200011200000884044040204000000040</t>
  </si>
  <si>
    <t>A35637_1015_040a418000e00248100f00318c0201224a142040310a02000000000810140a00048c18942100100700200002012440848300340418102810000a4081830220840a20850004091050000804845a81000280a442010010c00002000808540300310a4051240001020010035824200000000a000400f02008002a0880024050000881000010295254800040821080010a150440000048c02540100202210a00100200d00608102000010c02008810408110310300e4041a000800200708000008048850500002010410d10040102840a00050010100a0801020290041010050044014020a310440000902812002408808002200002208440048108010a10400440c02002842040010100e10000440308510c0095a000850400040418008100e1210010284004081040205880200000000210000a410812008002318500c00842110c0810810200050000014010000031040800004044014810001a00024840ac10a00010208a1004000000030280200a00020800050030200a300608450008510802910218700050040400808010450400042000940c0800200040041a200c0250004001220</t>
  </si>
  <si>
    <t>A35637_1016_000880a01004a80804011000205000270810004201011204010004080061280820000804000a20204a00800204041220000810080814041000214225840041000884080004081240060071004010040011000080050884000000021241051021220000094001010881040000040280090021880804020a002940240450110050400400e0800020030000041a400040010702600418602410100002002008340802000d0220004001801a65a400200102000210010800000700a40008c0801a60004020091a110d08210000102048200010000200a18000008110002a10a10002410900242010100140208040442058000100002210802400002100108c0885800200801a700800a5000840000a248408000240c1000020005800010880204085070024004260040a01084004004011081001204004070090a100808048208000040212500800042000810202900010d1084004a100148112018408400440002640850400000c08210800808200310008408202402808040210a10a00002100008b0221010830a41050210284044a81014200041220a01804850080840880024001030220</t>
  </si>
  <si>
    <t>A35637_1017_0400248100500000108900658012842040010002810c40408450d4080800041801205881040201240a000a02440802800202700410012e10010b0020861000020800204010884004021801020011000080024a510200c40902800040108400102048800200050418800408200100840208302000508600c00542018410400010200852200200500d00100a00940000802100200008000912000240000d10840400150e00842300c10902800c02640040502208a4000800064800031250085020000224010864800820005a40250a850108308200a4040030a202112410a00e40c42800102002000000010800000b1804000030000014080000800ad00050410800440000210d00018240042140000002a00202a12810100200108008800840010200800118800012000000f42000600200000008440200308600200550400142000900000500812410002248a0000010060005004090214205800050a240800500210400008712a02910400140208000600000d00e0025000000824000200004021240000080081804000000805ac08800c00500800240040810402a0241060010204281</t>
  </si>
  <si>
    <t>A35637_1018_8340000040b02b00402000440010110600200102000110218c1220210840240020a618800042008710800000050400500802008300440058d4000000014080000001045020a80210020801000a812900902008000240000800000008018810108450410408340110010042000442200100040500a4804040200a20045201000880a900300318400718848c08010340240400010002c0010040280a512610002800542e00000100400812000142840348000108a40c00950802300012a0821044850084090210280030021081220800824201880200041060004810a00880201a000a00800100900100c02012840050250410318002c00100010440808902040010040018040400208050c00440840208010202042000102200350900a0280800080a000018000000012000540a10008200c5a018502902210008800140000142500000600a18410402800008000418800602400112000040050000040802542802902010010840c40410a00a00300100a4240080204811a11070000241880000004804000014204200000020221000840220840000831820211800040004054880014860</t>
  </si>
  <si>
    <t>A35637_1019_001864041000820210001040804091004024240880040840080230800200290000a002002402910050010710402c40300810000008708412002100240748008210800400600940000100d00c40400e0080210800804000091010000001090041880284080800061810004041a840840140242400218410840008800408210242010002a40000058e0001804200024084235881000200a100800058312610410008410008242210018058042952208810048408000040800508000012800c18000102400208150000710808140000008208000510002110000200000000f02c0040000080804a410240012400c4024050010830a200100100850100800108242002040a40000b0085284800000010051091004084055000034a018108452010142002310100e08308010810000040410000008010100642118400410048a0204200010800810840020081080820a51800040020a040000942058a0081220850244800060010840201804090801200201050a610000040240018900c40e5050010800a042008808000052208b4004040010840094220830024860824824040030094241201</t>
  </si>
  <si>
    <t>A35637_1020_0000010800400842602400208000012e40008100400a10000950a02012008800040402440e00250040a00c4a000900000a00008210b0840010210a040000410452650000c0030a258a00300248042008800300200500c00410302000048200300012050002208440008902c10050000812040400208800000200942610800240002040440100500700410058000002008008408100200010500840300900040218102040300210718200c02902200a00050200102240c00100200600110c4860240044200a10050061080211020000841800044000840050085840a01000020241220000804230001a40000284aa0001201021a242c50040318008800842000010800010202000c00212000900008310800c0000841010024040801814a04004010a208658010042012010200002000018000a0004200000a552a00150600412200842400000908040500408110302100240208402400958148210600e40500102042150000008200440002300540f00800852040040010710808002210850240a10000208050002000c00840002c00008a1001024080a24840811004050200080841801</t>
  </si>
  <si>
    <t>A35637_1021_0002000540c42000640810a5024a00014810000000810884280060201000aa10018a42010400048440100412208500140002050200240000002e02800200400c4005a000048142018000050a00050040248000600840402900902302110d0050880000000820810260084a440002a00002712910400210010442000202000548a0010000224a218000300458d02200010102110212040400308810052000600c0000200021044aa0000a812002a02800010400d1020885000200010a400d02000000848000040710808012810c00010212600d0000a01010820820010015a80000000810a00091031020a45030810220021001844881080801044a000808840410402a0000a108900252800542100002800c10640000800808000018052400100a0200044060004004a000c02340440000340010440b00040208608842600c0080a05211a108200008000040052010100048000810d00000600210802800400200100252208318402002242910640110e00012500100858040800300c18840400012400800018a4814014004011a81000024004024000800820045200884000015804011</t>
  </si>
  <si>
    <t>A35637_1022_080000a95010801a210400200208540008000400218000c1001080000a202400000c0080050000015201005221810000a04220041040024285280220200870021081001010201800800084060005000804004250020284010200881004080065241a142c00a00100b08012018410008002308100900200040a42202012400850400810002002302408048c1800030000a20821000004290210084040080081881011230005a000200108840402902110050410402452000c08800640600900650050042800050200400600800f48000108000008018500200000500108c0080a01260000044a000e00002040608012000910818052440908000002100d4221a802d4084a10080004a000802840042048110040612100400000040908000c4080200010844000000244240240080060a100012008c00208000110c10102e18100242118310c08002448850440808100000440202000000248348108110408800b0225801241000220001014804010200804205884000aa10248510c0280040014000a000108810200000c00000000000340000400940000202000058810052e0080064010</t>
  </si>
  <si>
    <t>A35637_1023_001805200000aa0810200000080010200a042000010012800012f40018000108e50202012440200300818840010410000002040000858610000408000500c00202242842000800452410000012000008342600210500410140040840002a00c40600100208208600100502052802a00140402400a5000005200a10a440400a10800400300000250800448e00400042010010008240010540400050418000810c00800102100210800a0024a012842250008010808400040008002600000100402010648208058108c48408040a4080040260820880881210024044230000000290230a00024000021000001060a90801841080a01040290204240840850a010010c02212648c08000812400600010200818010a18000000212008000200000010100850112518400240900048018300400502800410640100050a10b02a40400800810302510c48200002802210048108940018102202000102818000002402200800400b0020040000210880001040040065a00084090801020801aa42540600150318400012210d0020084204040805004a40094800021260074021084240801010080</t>
  </si>
  <si>
    <t>A35637_1024_091000201020800020010840a40a050000108100808c00800800000948448208102802000000018000100050802000000010150900c10c50140100a18212a00512400110640200240a00508040010402010110000202008100908b08210000400000002042000500008d00010000000818500118100002112000200008800410240402c0204800020820884004010001a242008c1800040040004820221021040881040200a100210002048842808b0a212410252408812340110450008400858c1000a10040040001020a01020000000810005005085044214271030800040000080804014220041805000280030820200081a408040440800412000000040002108918000108000012100a0891804810824081001040020000030010004044050000210a00824041040000081000840070020250244004214011005040284054021831200804a008842000840400908102c5200004800850a210c4200000020000240a210410608040942140210310000242040142218402018a00018d00900218400800058012000200312018a1040820800260011200200065084090010200274840</t>
  </si>
  <si>
    <t>A35637_1025_8400a00000200108002810012000100448210008508200050040d0824000a00070080081000200044040844a800010040048240000b0000815244800200020811000215090800244a418a42042400908908208718818218812100a0041800020800884050200205080000801a510202000040900300000500802008142910042410410e0201014a01020a44010040884010aa00802410110a40202400508402a52010408a00602200500802040902140502700d40408040040100240200a1a00080210000030800001000a80030801005230080040010024a10044a20000005280200020a008400710008140002202408c18140608c40b4800a010c00240400100148810100818800000040800052302008800042802340100242b00a40418402000900010400e0060210210a012440010a4a00044090020040080880a44240020001841011010040000030800020000820a00004020030220040060884011004024a012000c5000814030090201060024000005010091000201804a402900148000212000008212800c00b0201001060081250030200a04020880020844000001801831</t>
  </si>
  <si>
    <t>A35637_1026_081001840200001050801820000045014090201020020aa00c02140040102600108010150802008010800a08000502248010002000152010040000002000f10e0205a400002040600000d08a12150040000600210450240000700208300800308e12440d0a908402418048000002800140052000c1a400040200040000100200a00c0050081004a510800248c0020890010000800020041090280041040055a210852800000402900450418050208800100d1840261800200004250280894000a100800000208300840010000c0024054000095080804080014a00260814800081020a00221a110048048000a02000002408308012400640000108a00000050940208a0a500200540000002902902310d08510002c0200020001000000020a01004a840008200418000440140040208c00100412810840812200000c08600c00248000702000000002002d00952050000240000000a02108040108800012450c00a00100c08910200040102248010510108800000140800008410210818800402008110b08012802102c0224060050014000010040001a040110610440102042840508b0</t>
  </si>
  <si>
    <t>A35637_1027_8040050100002040100a00900210400000000042200412440002102142610a18600e0281200800040050895005201000080034210880a20004010220a402410800a50440040810000818212000100d00018458408002250000040212000000110a0090004881000a210c0000000200881031a200200040910b0280800ac00410400000600000018a00440a1a04010010244040080000a042b00048208108248410102208808102b1081a60804200804040000030a01800000820000a810000c4a010042202200908042810012802010008800000218c00c02210302000240040002502810210000308058140202002040800000450800400a0a20801094a20200020201020251000080090200a00004020080800041210014020030030000a040400050012800f00000100842058102000208a40800200102040000200812100600002318400240802000202100142600400218c52000200400010908400900342000410c10048c00c1084830a41a21021041850020201004201094020004080880a05811044080a042502840140008300e50010402040008300a0a85050054811001220</t>
  </si>
  <si>
    <t>A35637_1028_0202800810d0000005040800884280024800000011040000040050004224891804a000010400000602200048252000a00a00312c00c02802102600048118008940000012800000002010208202540900308000600118412142500108000200250250800408808518600208600000308112348018400802500640202008200300a00110008140408000110218050840108010008448210402008812602510002010842000808102700800000912100240040a1000ae12100848148042d00000800800240210402210110000100502300140000010002042048000008c00208e00100940812108800200212150102008140600b02a48800c00118008408202400800802842208000000418c02c0014061000014820a010000010102000448210010940102600200000840040140008540200410008902902810002010c18008000c0024804821804825201000010001000020040890050094200a000202000400200300408100208802440200100150008252200000802000150518402402110140100008a1804081890084a000540510800010012040a4020880020081200024011804040</t>
  </si>
  <si>
    <t>A35637_1029_8308400502940800202000a10c00d00700208408a10a48002800202100402600602240100208902040000550252440a4200811000040204895024800041200011000015044201205200801000284090a010010008000602002d00a5225040090a00000284000001a208d1220011240000220090040000210000084004810091000040060001044220021005880020884000280011000000200010800a018018c02040400a00210208200a10450008308000808402000400100148108c08c52400c02040010508c00308010112702202002500140040c02408808012010100800042808000500210608c0010010211a008200000412c1020a040708000102002040002100010900302a0880080221014000804244a000042012150400d10848000008142202108002c0004000a04021011000a44a100400100100700802002002340200112c08d5a250400008002142118310000000248000410108200c48002108840450000300400842d00a48200400808200c4260000815220080204010280830a700410240412900800218640800400a0280000015051290840001041010020a04001</t>
  </si>
  <si>
    <t>A35637_1030_0a0000095204001010800800a800000240040240200400402000500140140200808a08000002118010a00948000400202818218410000402010e0081800280824821240010000050a100000400800608210002218140002800b00100308408100200412040008008008902a10440c40142142700850402042808210000000c0221080000001a502900002000810100040240110600418000e40000640000c1000a550a0210a00020080805a050002340400010002010012402808548000900c40d02200800410200510208000002300400b00018a42810c0a002250000602000c0050090a000108c52002910000a12210810542a10000400a00502000000202400a0000040020001085000220201054041801004050004024240230084240a002e08b00540400808602000708848000100418018402040b08100c08310050400000a0a058900900002140c0821a442110000e1000020094200a900c48000940100000412000c0840a150a0081021820080040001000800070020024a04240050004050241090080004004a01000a70041001091010800064200010801205220084a10281</t>
  </si>
  <si>
    <t>A35637_1031_0902440002d02240018008042c0800030280030010000200000260011030000884021040080204230800800025085040090001071000000800004804244a21000a000002600842000308810800500208840010400410008000a0a11020001010801044010895000201000201a440400200440000310008d0000a952310a18500000812000802140b0070080200020804004280800261a04094020010090004800001214231001040090040094264804804a408010002500a4000001a110200a40100900100540108150000052808842000000540802000b0a04000860011201040064080801820040a848102840200448600008402050c0000051060005880001080a008012418900012010040308308800218402100900850000800200412150c0800060a410918800c00100902100208840250502c00900440000210000c40b00008010010500458802008000400900300800802002050440000400c4040000011a00241801021250200210814000034a200402002002040100b12010810f40140200508410640110842012200118a0205804010004014890015080090060814261881</t>
  </si>
  <si>
    <t>A35637_1032_044800005000290811031884800090280200000800000840891220001044810090844004214001a008200108400000b00000110000400602900200a00058000c0a04050040a040050100242008000808200010408002250010848a40000c0000241000204801024220004221010034890a00081081a018000600050600010b08c00000102300402700640042510800300148d00800808400240848502800712000442140050000808010e42800c0081860010825001000200214a00800031000241090224a012210002042d00808902202000e02008900200008648008c0044200000014024000080a000410d0800801200840044090080810020021821000a052008148400e00a5a408000048250010000810e1000004804a21000801220281290201000040044a000040440118158000900400510240a12040308000010140408240002800a00212000000a02400100800842800500002118010440200500040008710900a00208802142b4020a100100c00010e00040148900112408012048310050200002a4854034805260060004004810064031210000081080255080000a40000</t>
  </si>
  <si>
    <t>A35637_1033_800081a910100200200418002210050000100010800140052140002008008408500e10500600008058a10440c40412400018140100318000800308000042000640452c0200a800200a0000085804210a100100210800008000800000302800242000040100108010400910808902200142308500a40818810b4010021a810a4804240004a000308c00842018052002000510c00010610c1200010050090800260044084a000402a00200e02c00008150002010d50002500400a1840800004a000402000818000800100600102c0220045880050024840040020005820021a00080204004801000804061a40080015800210020840a400440800008310108018140348042648c10040000010048a00012a00110800000602802002c18a00600402a00308000108800400152b02900240210048848802000900148210f08010500a0021a00001004080010200200021080830201000080830820040800200000084001801a11044a000042100110200000348442040208a40710a00418600800100900740108e1005015264284004020800044240000090020001011a84090000015800860</t>
  </si>
  <si>
    <t>A35637_1034_0b0264800240800205001010aa10d00100000400608118c02502800202010a08910000000800042040400402a0a400000940010608000008412c0291220881804085000000a000402210000400c00200008302200002850110840140442c10100402800040208400000610840102200240100208010000050340008110d1001a200800e0085830201041861000084000020090000a808000000300018d10400a0000004280a050118e0221214000000000000060040201220a840200410410802410648000000108300650050402800310000040600010242058008108910002412000348500010a10800840740802102800300800100148840300200608448050602a00048300402008000000102600400400000840e08218110010008018800048000002b00008440002602200000900440c42002300a00252100110800140808948002000a00600010008110040108100402800008310202900840002440000150100000912058802a0a04041040001a208c50500b10740c08e00808040a0a24230080080020801064820204840041a008850400302100800400200040c4201040040</t>
  </si>
  <si>
    <t>A35637_1035_801884201080810040200010000050024000215081010084010000804220040000000a940902018108008800450402400a10000010100c0890240000840000000a400850102210000108000a42012040000042008400600c0000805a048608e0201090010a000100918600012100200008402608102040c1204004210200005804800034085a002400010e00110208a08002010400c0a100502110040308858c02c00408200042200002400502900008242c00342800810002002200008a0001285040a000140000402200410842008208000a48240400800100400810000e1a050100012508008000c0011050084220010820084000010a90010201044084891010005a60a000208440002202840000d0814221200260010200a900000800000008a48500010200202800800000108700e10200c4060210a04000024000a00084004800821020264a000800840410410008600010a00200342200c0221000020094010230810000200040804004200091800a80080220040861044080000020884050041084201044034204201821041200050044010a218008048210100a0021020080</t>
  </si>
  <si>
    <t>A35637_1036_011001244200200a11091004080080000880020040000804014250a102012110a40000102e02210058008000400002940000000100748200012040000210408208208940200200600110d08040042608a18402b1890205000040084055051000a008000100a42740800040800010c42800000400258000002408000710000240402050440102010000208240c00000110012108c0205200030a00205021850240011214004004800011221210080a102150118400602042008200250000200c00800800058440600042040c12000142000d00300010502040012008000042000100942b1000060804004841000814014a400c42802800302108000c0005040000040204061a41814205204020020841840001020050030824051a80001821001080084a51010091800080004080005020011000200040821020800000001044200001205231040001804040810031aa0010801044080081010000081204045200014040000015200001020080001050085220014050000210020880004000220000000221000825000214004821001091000004204881865000824884840280801004210</t>
  </si>
  <si>
    <t>A35637_1037_040884081040080060210830004200030201a008e10500008c02200842040018300e00400100002640c00e0001a00020200841a108110808400242b00040c0040820211240011060a300c4004001030001055a810440802400348348600000012002442a42000202000810048450142b1a240000040c1001060210060000814040a84000805800880091080000240800064020801aa00040a0001a040400e42008000802118148010200200100008b4200880001020081040004010040010801211024aa02010010400a50010440900500800808848040700802210410010008540000a4a00830000a010400900308500000840408852048208140000310a10100a00000002010508240d4030200a10820001004240000820220a118140802540640000000b1025260040000200001050840080800290201241840045880000000814000080000824004020a158002d00310242802100800200018008c00802608150040200058000040440048008000800208100c00248112200500018040400810100400348040d02000102008400000000040002a0a10210001240201000280061221</t>
  </si>
  <si>
    <t>A35637_1038_0002000040048000208800800a4240204084201010800a40000000201a050800010a00c00108108600100110010010300050700d0011020080040021010291081a008100400a00410000018c4010040020a21010041a84040024014000280864040894040820020210081a412010500202000308000a00100408248040108808202110900048010100242208400002818100910100802102800000610000800c0884080015034a50004880801054a000148600800000000200b12510200100c42040000112400a0050005200004a01074a000602000100102a0804280005801855044000020061040821085290a00020080800a010000440100012100418210002442048040200b40200500302810000000f08800900302808148318802e48400200042140c00900050100800000300a1004000041000000840840014085000200a308500410412800c0000800000040800000814040005000841824a01010094800841a008810040000400a0821000020060801034285000000004004805094210024241070841a440400240142a18000a00040002a0040811031880840020280811200</t>
  </si>
  <si>
    <t>A35637_1039_000080201004000260010010a21010200a048448110002400810600050000400a10600040008a10610000700008900448842102700140800000508340440018c1004805054004230040005000840230010200000804a00885040000000280020a010800100100010700300c10002708048400200500250000802210410500052040802040002018d1040020001000205a240200008652c02000342000b10500c08042000218000600002c42000308008000000a0a45004000891a34080040800010004081200251805281240000800024890095821084000231001261090240080000881224200804020a800140b00408000350202400600012000010f12000010200008108010600042c00100050010300000408902600002040008000000c1250010a242300140000010800008010c0040080000030884000001830a410400208300302008800852002200200048800800a40100500800200010108248810402018210a0010800810040000210010895240801040aa1000800040001080204035010a00814aa00800002800242000510200002348840012900400a00000208100300e0</t>
  </si>
  <si>
    <t>A35637_1040_0c08040400940010000600602000802000140002308a5824801004805841201081841090220024004840020a402100d02902240408200240040e08200750800050818400b0005801020800020085014814240080000200210010a81001a208008000100c00040008108058450000408018702310100202010948000252008452040c02408148200a10208c00402002a0a000010702008c00642000150008010a18800240210700100908850410040000240800750818000002842000608440048400440240008000800002110100058508810058400002900008500010950000140a0200a610e0041020090004080000230005a80051030084830820004020845010200004ae00410650500040258008200000800002902100000a00102800840208150110900d40200040840b0a00240020801884210030000041040281011000800011810041a040000a4000034200084885811260200020260041800041200220a240010918440510800000402000010c1a00204001a418000100200c0060804011a008000808400242818018708100000800c4a10840000000021041040090230831</t>
  </si>
  <si>
    <t>A35637_1041_0c4a200800840010402e00500a10900800002752610c08440402240802108a00418042040300802040418040c0200080830040210810001085000080010800021800805000a150042000800250402400900258810200000800a40100448008c00042402802240448400040a08c00902800348108440458002408200100c0090201001280085811021080840080290820040210040040a10014004230001020000040000800800021050000295220080040281020a212010008040410000402248000a0030221020050020080040081800000014a04a000a4010a008400200408000c0011011030040800281010a210102500108800100000048240400002e40110a4880a008018e4080000004291044210050060a000808300608200202800c00a00358600018100c42000400a00400300300c10100848902108008402c4004010010005010880a802400a42240412c10250008140248202048410210048510000a0021a100100808800300002418210540802800100208100000e0240011020094a002900540042c10208018408000708448c50d00310000b1090800001244831010050</t>
  </si>
  <si>
    <t>A35637_1042_0610000440000a0045280821080050000090020090000205894240205041a000842800010000002008e00002210c1090014200800030000001220000270850091025200020090805011000064050200000a100910250600112000010000718342408910108000302a10210010c1064a202418600200048c40802000440600202e10400b4021011040020aa18942008000110010812010c00008058008200000002040000052510c1020840801084280220a100410000c1010080a600000a40000040200010340500048240000b02908200100058052500502040000000002840040502002000000600000142840002108200610c1290000030a44000800a200440800308200000000400440340258048800040410542000240402c18000400010240a00208110002840802840100342900442850000102042002600018040400002848000008108400002202000040c00058458010100000000010300000800c4295041800820a04014050201a410600f40240000e0a108240800c40000900a48100210610c0a400010402940000410e0081a800248218308008910800110b08a0221011</t>
  </si>
  <si>
    <t>A35637_1043_0002c02412608040042210108808802008242000400a4281000030284800a000000050040040200410c10000608c02208b00050000002400850002108208800400010500040142040018402c10d0080000a31021000a000002040102300008140212802000058040808d4880210200014234000011ae10412100048000200a18202140100140040008008c4010200004054a000800040012408a02440b10212200100300240008210400a50002642808408000410240c50c4011244200004020011000800000050800041004044014041010000a800800108a0005820041060081004810a118210900442410a0004210080090804284000821264040010000085050021800000000ac42040000b1800001010a80000240080a042e10012418000800000400400210208040202240208c1010020050044001a010418810400842008210108000108200010300200208310408010c02100902548208a5004004240800a410010000a08040a02110010700552800100a08040400600048000810442018512400018000000500040002000110418002000008600a0040284280220010000050</t>
  </si>
  <si>
    <t>A35637_1044_0002010840c0820204a41080004014000a302000200808010000200840000e18452400000108a4005281025a00a040508000000a08000440402200900400000740040840900a08008008902c0004210014000a10090061800040010220080034204a55010201014020034000844080a04020a00071001040094804a040108012002812400900008008c4840a900300200010000000c5240044010070831000024a002442910510000a5844000020004221010880005091020010024ac00318800002408000040800000010d0000a84010801815880841000001211020024000010204000004080890000080054081a058810600610010942200012008c0081000010200000070040a402000000900042018c50810110008940140d0801040a01020200040000814280200050025000a408008000c1060031800250020aa10000940002608200040400840c00300548a00040040900000002702010900008050a0090825a608e0061a910c02242208400400250140c00a1234aa00d0a400812408208008a00058418000108000010a08c0040a850100240000000f40018142608850200b0</t>
  </si>
  <si>
    <t>A35637_1045_8202600000000108152500c00808442440208202208018040d0280291020000084000050264011024011000040044004204a00200884224210090801000840014084801034000030281001260250000080011000080a042050d00800110900010402c10a4011040010064240044030a058300010a00c08040440212100000208c18800d4a11021a008040e12040b4280205840044880005080000061240051001015040825800a80820025800010010001881020040284004a84214080801ac4050000000831001815ac42500208900012f08910048400008352200108408802102000808008200200200c5010a110000900410040042040940402e0021000a442140118600208118802000000240340808050600000642200008d00040242400040900600400802650810b0800000a00000204040000080064291815800000004a152100000140000840a0000a210418c4040880280004820290091001801040010204881010a60010014214000ac00440800000302000758000450202800200100452008312000140000042142500010042002100042018210640258000000a4201090</t>
  </si>
  <si>
    <t>A35637_1046_0110200100a00b0800000864020010040281a000410918848502b08a0240801050000004000a200540200108c10002200812112510400840c00500008300600002810800640a10108308008000442048008710100550210840408000312100e0004200090aa50010100008a00002308000608008842000012c40a40202900000212000100100200208500a00110a40100208408618018810408008140010810c0000050000840020050020054260a01000a000248042002c00000100000050008c10c0011015890000201a00000800804811040a64000080081270070004ac0281020201860080854200041000034a142800d1005201224010810091040040014000a040258000008040400600340502610102040850000800008000200000c0010021a002008308040910600a0a000400000018800e00010010018410800000400202050300c10208510808002000600c00c0800020a212200400400450000800a42100a10642808012740008040800800c0240000280a25031001000044030020014210821204080044210014aa00218048040002000240800000200000b0210010020</t>
  </si>
  <si>
    <t>A35637_1047_0208008500800110408010002202040002818048800648410000000b00012010b00e1091050025004a500812040100248808200210d1081041080a05024000804864280014a840202000018000c1040011070a00020aa52042100202102700008408542100810502800700442110202100418400812842010408140048c00c10800850402102200c1080000090080aa4250010084240800240a212250200008252800000000402008142002410102000010408010248112902158000010940c08400c02918200b1014240800210235a000800c02e0004010a108200008042000d00040908240d00802240542608000100d18912808000448040302000212040000940842008200140012802c00208208000c00400010848000300110952000450902010402210000a4000030820a048308c00402500a0000010a508900000c0054210a000610400618802a0800001041030820054004280240800000a008040042010000808900000840000202250808412410d1040830070050860801804280a010040510842210100040800512a08540808102200050600000540440900a0000224200</t>
  </si>
  <si>
    <t>A35637_1048_0900840102800310008400210010000308012402100108000002302a10200000608e40410442810200500210240000400040400800402e08150108340012b0001860801004220041a500002410000348048302508018000c00000900000210d18810010042100012700408040050808000418008802000040f02310408018000640000242008140410202c00000908110210018240e4090004030a100a08142000442200248002010500200c00800108102c10e00058000802b0070021840a20810014a000502000048000000900040040100c40a4a410002810000900610808900040258442200112842042208800408a08842600000742b40010800100040440c00b00000600008648402800812010400808812802000010202808240402140a0a24011080080000045010004021a00800820211220a802118408150200000c00140100a1030861000244004224040005800080014810041070081200000090820000010000a018c40108840040600102018900c00012602c1041001004000200240020895001055000000000ac1804020800024000210a01000004281010001000aa0</t>
  </si>
  <si>
    <t>A35637_1049_8440000800f42a18010900100410002700040002008a4000000244a102110b1005004a010a0000000000080041a900000108748010012802440000108108b00400850100900000010800110400000100108040208f0001a042802302248100c10a1851020090005060004000240040010000080000a05814294021850010881080251290890220000061080a040c4a100100b0064880005000881240000025000894000815800a210000c40c10000040540100400000400502008108400248012050602000040300108242150800108102c00d0021094030805200ab00000040000548202410808c0084215010084a50881010020040280000220021001a00000260885840090085080000210020044060845041040040024004820090065200230000011800051a000540040000002408140a10400040000008908b0a002000400312000c0065041205080000000a60821025a910848112012500408600000008208600b0085240200000010000221021000814004084010010844000080220210001a40030201085000280014a01024021281020201005220040045080044880a14080</t>
  </si>
  <si>
    <t>A35637_1050_800a40000040020260010040204a000008140000400210c10110c0800a000208008010c50000842202500f0080081240004024280014861000200010840010040a85a100040040700b1841080a040a0015204010040801004080a040702700950040c42400050518a00a10048400000040010c00000010850100202200408200808540008100452000812400500600010148200402402100002140008300c40200010e4201a25000800a252902100a00002110810200050040048510208208a0044030200200210840240801200031064a20080000081010a10001221060a640000300000248010010018100c4020870800025820000260a250000c18010202d40a0a010202808050042000840840010800100600800500a1000800094200040000090000831804081050204084044041000040241014280200861050a400042800300202e0020200004204a008110010100810040400152508e10000010000142200340808042002410240000400900002010810600850000000452050050808110110c00200050100200002018208110410000e0814201800001a00244080a01061211</t>
  </si>
  <si>
    <t>A35637_1051_0c0800840204205024801000200a402000000400800908048010408212100500c12208c00002240048608518800002240208640500c10008810000050002408000800010002a0230a218042600500008002402b00840a1280004000a210200148000500400240208000200408542040918002a1800080290280094240021070084284200284050010021224a010002012010800210248000008a50200c10008842850040300100c00018a02c02a02100112000240000010842b4204010800020840000010220021024000000050801241a308840010110b40a48102008400a48050a0005060060844000000030220000801814804a042000008040c08000608002000010448000110e1004280880a400018048808900500000310200200852000800008300100140c00c1004801815011040000800240a200110800940450012902052302600c00240402048a4a602008002c0000044090021280001800a04020824840831804280000030081050a010a08000810440050000110018600042a0a202412218100842800a02a0800000051004285040004814811061040001084010811270</t>
  </si>
  <si>
    <t>A35637_1052_0010452902808200108000c0005211040a210040e10002000800040008010b0014800805000001801080091800a510240050208018018840102200010040c18250a5005000a200102c00002248100442240000400702450840542200000d08810010402202108210418440600000000850000200000010900000200510010a08a08010100012040718040010012400008708008500000000842150002810e4020204084800041a100a08c0ac5000090000001010ac0a000300a08542100a1001014040a000210c00418810040002102300100402000940442218002c0890000090080024a050808048002400142110010e1000845a00080a800442000840e50000408042400300042600040508000052800050000500008118208000e0004000280a01820040005000a41000025001800011220000010814a10200800000811040080040800005084a000442040008918c10000050940040012200010212100800812302210200400800a4080a64280890a20000000810260890010000204014011000001020040280080824061a000a0084290250800000ab00002e0840000000845081</t>
  </si>
  <si>
    <t>A35637_1053_050824004050204a150000210a00800840218040900b0000805220020821290010200014060800210010080200884040000001a000200052000602240042b00440800012840200102010710010142c4281a000408040248910000900400218218808002600a40140008010402c4020205a402000808800100002900000c00400240902a4211a640100a08200410000100050810a0280081024a058000000202400100100040702000400408000648202200d00000440012208000740200800200110900002250f0880000005220090a00061821a000102408008002000a50040442248100408300118248800240012000208642040150400a08008300508a00512402040010108202000100c0080215040800a042d00040110212000008a1804200205060a80800080200210000a31280050825004000000a142c00a5000894280000005040000a85250010000020240091804a00200284a00aa00500200040040050008800008600400a02b10650400248a4880084811a00810011000004040a000012000c0240045080810020a00084020000220004071000094261200090020010020</t>
  </si>
  <si>
    <t>A35637_1054_0a0281204080a018242b00000008542800840012718102010d40100a4004aa0805200205040081204a000400e08400c00200410a1804000004024010000800064a00080080021244040000060880080090205881820820810000821201a80840825000000a200640310808600800200040050310500458412002012640a00700c0a040900802208600b42800002508010002100a08800040108a0a010800400a00000700940000600058442900040010200800c1285805004204050800041021a050400002008800a02448110c4a940000800840600002808208200a0045041280040030004810825a002112208008142410a4804095004280a040200e50c08900a00900308c0030a248810100212500000e12010c00800108042000012010910240002400e00012012400400000702810e02000950c0291000010081221000000000060000000a002010f40040310000002050800000048002000008458010800012002800040040002800a00000108450c4044020800800800811080a800700008040a10502400100a0810204081040a81a040402a1204030035200880000814874810</t>
  </si>
  <si>
    <t>A35637_1055_0e42000940000108000310010052840000102000d08a4800080040800010080881084040024094840081810a00000020200210000814020801000205a400410048050010402010600300218808402000900410000408210100f00800240400200200842140000208000250248c00a4024010800074220801004a140200100008010400400010110000d00c08052102812050a1010a042400408048440000208808042002000650218800808400a0000a458400840050002c0021830a41000821080210000001ac00800048900148210040008200a40100040000040300048010102e0800024050870200a010d0200a312c00002048110042000100408100e5800000000000a800110000812300040010808340a08402a00910500200a0800250210081260a008610048812300b4020020020804240004080040a31080205850250020a010218218248502900312500000010812002802002210008010810c0030000200080800005014200800001831004aa0a802800018012018002a52100040200400010902050400440100200010500a08840042308050300102010c00a0a30800200</t>
  </si>
  <si>
    <t>A35637_1056_810060801204830044240000040804000a800012810642240550100002208d00400008500c42208318418b12200010200840152000210218810108810202310400a00042c00850110008540002402400040048100902c40010008852200100c40a02c00000212448710000400012002b0014860004000001040a100500600c02808900a0000020080000805810070000a14080830a00000040814010a00081000044040aa00200c00040000042000202012810340650800502a08540800140040002040800000008340c5044060a902150108500402040902800608208850042002200100300a1091000240204004044050040000040240820811ac10410802450a4000040830010204211220011801050040001a45010031820201000844810080004000280004220011040200041a200802a42802100140500008540658100202000550000010848000a0820001800840004a000608240508000010a10010200002142010818a4814284810231060004001050044081220840074000001200a210010100040000c0034800020030000a450c1010220000260880205085010080060260</t>
  </si>
  <si>
    <t>A35637_1057_0d00010100248800008018e02010410b40800100d00100042850000018400000600008c10400a0064250800881044200090200081040840040200020a00aa10300640d00802010400300248802400842000248008e00402c00608112000300040240d00008102510a00140612042c00010010c0814a840100000840100b08e1821001060890000040041844201000000001010001800244050880030200884281801250015210200030001010064034a10841020021010040000201080011004000204a218448810c10400100300a1a24200061020050050201020880880005000040284a01840804200200080800040080081860001220805040020800004244080020201000021a808c00308140400b0091a412800740252000300618808400700a08240400540a00840802112200a08840000000248100018c0005080005010810024050044021850240801000221840a810010400a02112400908240100308008242a00c00e12012002818010b0044040a142848300042210e42800000000018042f0021a000412000010550400810400c0000800240240000800800024001024000</t>
  </si>
  <si>
    <t>A35637_1058_0242212140040040202400902810440c02250208818c1844000200010010091004a010812600a0840090804000040090084201080004821004000000a01030021040040020290a04a000300000800402010040800100842000448148410100d00400002408000248c0011281840080281a14010801800014200004240810020040090000004210aa1041020a04080810020051000220a010140802010008848040000a48b00350010b1000a410200102210200248600542042140002010640852400002258408008108c0a800248010042a00102a00000408300618000602000c50100100550400e02212040402200050000a00e0804010820000090080204251004000030000840a040940202000008000440640100200a0004aa00c0080251044214a602810300008110348208600008b4001040040200040220800044004024004a40221001860080200085a30801800080040000290211020010224240204210200000014041801000881a300200840000c10848200118600400c0a000042240102008100640502340802000000500008000408810300b0840884010010220825000</t>
  </si>
  <si>
    <t>A35637_1059_0410810d4010081800000821001000244a848150010210a00940a0200040820020820a40054230244810005a24001220805000800001040040040a00220a110040000110042202000100c0800801204084225801005ac1041040000804a10005a04005024880a442810100400942040900242000d0240801090085010021824004040040004a14020000800804090281850020004204885200030810040000201244220000a042518100210900500800002000858400400400a40210400d08800000400010000000012a10002848048010308300400002800100240010810a0085024810020a400200010102100000002600802a4045040010a50030021084000060825050021804281001040020020800800004a81000010210040054240044020800a10811001a01a050002812000418000848800248208008a0000005001010020220020044040050240a958040e1844020080200801a040600c40c0085000000070020015821044010001040890000a840100200118112000300000402240000108200e08842010200100140010612210540648142100400c5804040200004200280</t>
  </si>
  <si>
    <t>A35637_1060_0d42640050800800012400008000910500300000010400610002b02800010100800840140b0220264a71081804891080810000a010050800012008002100d00000018000d00100010a00000c1844224210011000000a24a100008148110d10110400c0000801220241040000800214210001050800a000010348a08050000440002002b40a4a20a01091845800000a800000010000e0091000030224001010005a00240a040542000a10040450000000408210502440400b08008012408400000c00000108448900c40808040800008008900002000c4010a208140700012012000002212202100508800102000012000410500412000040000052000418200010a00900000218110800c1000000241820005200801200884820040020084200004020a412c00600600502000008048800110a10d5050080831010004804850040200801010034040080020004025801080820800200081030290044000a01020200841290841060090200004001001810284a112208018000000600c02150a40012248400842010000000848300b18012208000240100000c1061005054214891010000</t>
  </si>
  <si>
    <t>A35637_1061_0240c0a110400110400000208010c00000002048008840000400e02048040000600040812000000000e18300410110048008410e0040a200000008940642810802e12400848010010008a0040240000094001210811a400c02008840340218900810040008300040110c00008000408208002018412a00112240802008400210000500c00052000910002812400102808252000010040000102140110a00b00040842c0200010840040220001084890014011864280211020a10a00040000020091000a94820000084201a452b00008100100108448002208a10110210110048042140310208200140410002502002610c0800a800050800248008018140200140002150000200008258902c0020051000020280015080881040010000061200054800a008a10042240040308000112100018802040a08000042210c00408100202200008818042400c0000084840011080040800000a218408800108010550100908200000a0084241004804a34a80020040081020804230a01040024a450902040000c00048a40002300250200200000040100d0824011800820841041000890240240</t>
  </si>
  <si>
    <t>A35637_1062_800020000224a25800011850040000010284804070011200080000a800100800012840000e0a31010000004840a100d0021a008000600000402008010050c0804020a100b00002302008408410d10400000000908000840952900000012818000440500000000000110010048500040000402000b0000844020820824000800081880240220004a000100812400440808150110608610000a02042052000700a0880084210000080094204000020a11044040044000210004204210a000850608000800010100708c0044800210825064021000800200024000854890010040210210a040100800650042050248a4000a000008000c00f0000020a00000240004244200a442c00010458d42000002248c10000050840202108110a00210000400008000102000802802000800052048610800612400040150318010800002100108852408900008a02410c00240550800108010010002100440000c00400800100b18208308318000000700050100110002a5040004a14804851040805000090010041020804804880230280020810004001210024801040010800060010074010800090</t>
  </si>
  <si>
    <t>A35637_1063_045a002512408210018408202000000442042110f10840402500008848248000640050142040110202100048c08810100010202400e08c18410202000440a08a0201884000815a000200910058800900b42240200600040010c00008040800c4284881240001a400800600008040700040040100210012050140910000c10140008000e0080810a310000842110000000402000200800412100918000400840c0000084a240618300c00010000c0a35004ad0010aa08002108008050000002818142800140200610208012800600100508200110010010248202312000842202400848800000600842018c00d00002100210100248102f00a1220a900042850800000008400210600048042902108100018050440842008050442000910040800200850000400912800412442008148910a02a0014040811051000041a410802102110210400300042000a0804a100900810a0041030020020ad0045000081054034050060804a400050448800040a0800000041220000200221801800841004a14a402808800200110002008400100358810042200918408018a0000001040000855060</t>
  </si>
  <si>
    <t>A35637_1064_020080004050090a110800110240900400910200c00008a50412c02250242010040008000808008000900640010140008200010018b0001084010820210a40844a010002700b0004a108c00600010108042250600000002c1030200000040020005055020005820241830220000240021200a010318440800800a4010080000801045280021245800800280a81200a00210880051040ac00402800000f10042048040808010018310c4820a81014a040408208408010502140300402008000858100000810100500110c00000000342252100a4241804080210014010005225880224085000040020060050220a102310818008810c00c0080825060000824a102008140540010410a12800400a0800000804844a10014004231a410800800810240250008a00d00a40000108102108210a50208402b40100040000118002900348802400400610452802408018100510012c48002002052140c00200000540000200002408502a00042c40010210000000000010602048010010010208040300a1004000021040210040081251800004804010050800020841804004011004000220280</t>
  </si>
  <si>
    <t>A35637_1065_8052002402400810110400400208500048900000300602000000400040300208b0841205000021a00091040080800040020a448818608040052640000500e08c42202100a00000002918810812010000108202000e10450000400012200800042648110908808208210000000800040002002000800840000b02012602208540440000b0894025800014000081220a000000b1800861a84204020840040070000000050a048448c0020a442000042a00040500802a0a000000240142000800808810102812108000008200040c00202208000c00018140602012610010d02000112b0004054281000000804214810a200508200a00d02902810050000358010d0230804840820011004845064000805800040084000000094814040030a202000142008440000a08a0000080230070200000000244090280a04030000200085000810260240810804280280a24030ab0004840050030014060280000020214244004801001861060000024091041041811a010002202800000d0024825204040880a042300000c1014240821800240800240000210001804090890004801044000244010</t>
  </si>
  <si>
    <t>A35637_1066_8640c1a010042a0a010a00008002842100040500500848012910040a08140110502812912300048000800a00808040000050300418e08242510040102008210d1000084200021040880834820001060884a100000112e08000040000018200600800c00300008048000908052052800052118000010800c0020000804a718a02000102408a0000091844a00094004000040a200c18212400a0000011200034021a500200800440a08500c00510008a12200208208410000a0211004200020841840060210811080040801084080000a210410040250010302800200c00840202010c0200221a01801060850050a81011800044001004200a810110000002202810a0005204010805204200200030220020000000044044201a410500a08800000000058008108e5004244000024024240800004000050020050a00000880880250010260020005820a000500200310300942a0a002000308400010002000000a0835a048c1821800080200020040011014001800290004a400200000442402008008250000808e00400842018340a1010000850020a240218418600002512000800002a0</t>
  </si>
  <si>
    <t>A35637_1067_0110c00c00440018108000000040400100a0030240030aa0000204081024830840004095244a14000a01880021044004800a25200081800044040281001201024201000094205031a408050012010440208040200410c0804060800010281091000081200020844a400618400810b08140048408010212400040010000100208050400442800050610100400400200300408100410a1080200200230080020200ac10040112002610808448152000a00310908000848040d0280241060011a842402900348002810010600012840848142400048048410208218200108600852800108048002808100802002402010050400302048800600010050808100808010442302000c0000021014000205050a110840000440b42010102400600208c50900000000100008402040300252048d0880281080054834024801001221a10084a000400000818a0004004085020040000a400500500040308008200408c0050031a000300100040042000018008000608040c00100808440400a1200210044005a000408610018810200008240810248050010100a00002000e4281880000824051000</t>
  </si>
  <si>
    <t>A35637_1068_8400000412040040500a08100040002540110102510d48002042a42202200118a00808500a00000102200152202012100a08000200810400042e00000400800000810410800802008c0854021810004a00000a800550412000b0000210861000200080044a000100818e0204a102400200540008140a42502408300210010550202400c0011841080045020090200a340210300800c0890020081840090080280001014800200880001800800000020874001850a21290200020240000825a250d1000824200a00084001a040808a18208200000212802408102012208408640800f0025a012218c4000210000000020811020001011244084854010000004880000230805040091000a450a0a11000230004080a00000011004281010020084210080204081845201a012d0220000040805285001060030a450918900010000400110118c08c12050542040110008100008a40150d02200258900440000400940108110008852c42400b02840600410640800010202000040200840408400002010400018940a40850100010152110a18008402208208208a00402400c1230090264080</t>
  </si>
  <si>
    <t>A35637_1069_830800840004800844a918840002010400a10010000c0040804094014250220000081a80040201241a000900240010e0014000000810a80040094201200050021884a00020890a44001064800004010a21010040805204044044810801a600b10c10000e00900048010402a52800900008000100210000000042010018900d4201014020880a202610c00408112000a12200408402c1005084a80004a808052800010200240708108440000052500008110010218048942202b0064a008000002000800000202100300408040000150558210800c4010040220830a60050a042c12200818158208800018402008148108900100200000100310340100000410010000350402008900200150148800200018008a1240010800a14080050280a10040214014220800040a000248b02410710800048910000150400a00048240400240202012800800c0000280220a04241050004850250001240020040020001020000824001010240081080080801a910200402010000812608100042a48100140040100a0050061200020814001aa0021201a00090084864201080000a41010010040041</t>
  </si>
  <si>
    <t>A35637_1070_014240885040220070210020220205000ab40408500810a00d0200004200841800244081004000a040800350000002000000018008200c08500100102008208000200502c0a00000261020084204080800801a000000040110048000418218000400150440048302910240600450a02200442108040010100108108500c00b00450002248010000800308008902202802600800002250140640000200200118010400a40000600818102200850000800048808212408812802000402b08348a0290090aa1011880084041000220020a01a00061800210004010800250041004a802802810400410c4800241290a110440510100200802200000408000018a10040a0a01a002208112610510000808400008a12040102440310202d00012408040500048000410042008810802a40300610008200800840a0a640100950800d0010890a21aa00340848000108100000a10208042802302a08010010002848d12000810100a0820020800220a04011040000000004240811800a800200010840440110400200018200540202210200100a10a08800500b10048010658408900900b0010850</t>
  </si>
  <si>
    <t>A35637_1071_040020a040408240202918008050000900000000000410600040208002010400848400442040810008200410800040a00040002a00352000c0050004a108000b10608840c00800200000040608800040108000208b4aa0880000820204201001080004064a000250000050410142008a1000091000220000210081a10080041a002810400a02040900412200440000940002a08c1080091030004a012418600408000208348100008900800410400000410700510200902b00048540208218200140102808200708500842c00000140000800000200800c00042018808408408002800040008d00008008010a4000004060054044041200080204031021060250020001804220044040015014001200220021200201040214804a118000a10000440a1010021000800080080a218002000048a00012100010048508048250000000200050818a0200094000280020000801804084084a150008000e00c12002a00810250c1080a000410400242442b10300000010548000100c00c00c4204214881a012000208802012608300102000a18c08000702000418810008c00000802148410a0</t>
  </si>
  <si>
    <t>A35637_1072_0508208000040100200200c1220804004800844a00030020200000a118202210010040402c48150412110000450800008850540200000a0080210014820010880245000200801000000004044810010081040000020201200000035004080800084240000084054200041044810020804014a80021084a000400200340c08810840110a42002312018000212010302a02008010858400400d08010510000a0060a902640a0804a010000410000900800142000a1060044040080250211000064014200801a04a008902840100c0030044861000000040010001040a100418800442400018008208200c5a04000090a040600102018900448000500500302c10110742812012408800010000000800212918c08050842c00018102608410000000a4000200800810824a412000002640900110040100102002000018202810c50a00008508410902002402048042010b00c0220880280004040881800240a840100100208600942202800400210210500010c0a85020a002300400400610c00400010708800c02c0214054805040001001a002110940902200210000012010c02000000a1</t>
  </si>
  <si>
    <t>A35637_1073_845020004200015201a400240048800200a0064a100300e1080210805000a010402640900f0024021220010a000002400900040a0060080200244204050880880080800000881820051000200000040204040a808042802142300210050208800800810400300008200300050112e0a942012608000248400a0a008018210050848c50000900408810142440010140308442000002000000840910248008008012000002102110300040052800a00200250500000200800848108218000212200112440a40010000a00802002c0220800a90001200040230000851a008812e00100902812542200100008d40300a10040518740400002300a10000818000402050308a40140200400a40000140a5010880065861091000090850050080000280264820244000860001200020020815201060a400c42000850418308d0260a000602042042210010802500000048610300002a0010000a90054021044820801010a050012000008052800102140700c0091225004040030200880001204080080aa00140010018a02540342300010000d18a0a400a00010502000042218540840948008c1</t>
  </si>
  <si>
    <t>A35637_1074_0040440040c4200020a00810000000074005001011810084000050080814020880800a50064201821240894080081000800a00001044000090040021810a410040c08400002058152300002000040a02040042a1040244051054080070080814800201280000240000020040844040a808010a00040208140040042412208802218142502002408808008e52c00c00800018000540810500400010400000050202800002240008000900000410908118002818150012400040a4000800020060080290810a41a200050808000540300200900040a02000000018242100000800410008108042010002000040042100412410e4a210140102040408410008000810840102012000e1a05004014001830211090000a51204210000870031001004220a850000200950412050108040000200812408000008840200600300010412200a08008008042250040848108210000500200010b0004021010804201850204a140400118000a0210024020a000318500002000a08200000b10a10e4241060890820001001020204004000221000880241800280210054850020004881020810205220</t>
  </si>
  <si>
    <t>A35637_1075_0100a40140a0200a542000640c1291040020241820080204a040200000108000d40408400000118018400002442042000800300b10e4a00880200001855a20800a40011200814804030001044001200004204201800840a80020014000a000200c12410e0004020a018858010812300118400a00000040100802810202418040e00010502002440200440000100e00100148818250802000900002102010000000042800002318918040040100000010200a00102c40c02840000418a00000a1a44034215820080090020881224010a002310d1200004010021810080814000a000008040400c00a0885000004220054a808050050052242200200000000000d40042000052d10000000000448008240708218440002408000100800c40042000800810100210848a00102a40040110000a0241800040a108010200a00c0a912008852010000442810410100040408600140800000200308040100318000140600110108000008800000200812540600a4a008100c0030024000011021a400800302208a18402400c10842340300410002a18802e08202200c0041801200214020800800</t>
  </si>
  <si>
    <t>A35637_1076_000044010200280040060814020000234215220010801081ac0000000804020000885040004035045000080020044244211000060815800801030021011030800080800000010050a000c40402850308800200000440210400002302600f00040818002000040000408100210000408002200810848050002a4000800040850860a90080000800a21090804041020a80004a00014044804270894801800050020080000080a40000824a40011014290a040a0064000880040a21060010880001010000035824280840a202142148240008110c02452010c00a42140018c18242000208a00308800400250450400840000a00300640000b00800040410108002c52300000200000010002c4010004050830020280090290884255240801244205020081815070080021851020205071091000041885014a348010e1000061a810802040400100c4280084020820041060850260200000000014200815040a142800010200208c10e00010102040408700010800d40600100202008b00008c0014211044041001200880270a10000ac00040812440800a0a000000b0004200060224001011</t>
  </si>
  <si>
    <t>A35637_1077_0000000540040042048c08e42248002400010000200a0061204084200060831091800001090800044a00860a002110800810400910000c00c0220095800801840a000100a0004000a800a00a12400000002008000402808c02d00358400018410048042502200410500112010010042012002108300000000248a0200090800a242102908a0020a000042000142008808242210100052510400802110a00242a18042840100200000918008052100008600200250400442a02a10000918800448000540208100110012400100140840742000058002040b0080821080080001214200210870800081020801010881a118010200408d50c08000408800000c10800c00242410300002012c00800000308008210202040100840210600510a4a00004011240010810845094210ab00000800340a10812602208000800508c10140008200050000100040000440310340000e52808942042242000400010410050e02248100900440208010102202000608642008050900a40050810002c10c00000a0840a218140810000302808410800c0844044200220021040065800850000004014011</t>
  </si>
  <si>
    <t>A35637_1078_0002a5281040011055001090a000002040012248200002802410800300218500000052410800100050108e00802840508208340000640058840408100012400800850050a0204821a000812010800400800010008340018400000900502800108a4000084810a202608248450102100018008a00142210010100040158010202c00042000102102c00242400c02a4020000010010800a05204010030800005220000004a318200600c18008010042010410400c0020090040001a20081851804011024820014020800020015070a00864011040800240030200a402200b00000040100148208000312040c50508810010400018c40400202a00008800610040c42c0220025000081280040044004221a900200802000208a42000800448000400540a0011011000220201020804011890004a80000084000250211000000040250094a700600300008810b0004020240060844000040020000001001200a80004080811a01050a45050030800800800800a242d0284030a040000018218c02240258040000002812840f00010242400818202100800112210b00140200800440a4060081</t>
  </si>
  <si>
    <t>A35637_1079_8048200100548b08008100740418040a08100000108800a40810042150010500108808040400100440808050858000400200000a00a02010000400042440a1004200a90000000040060000020050284211200280801040a80050020020a50000020a400048800018a10500000950800042110510400c0090010000010080000241200224a84a140a00508440012000150000200400418800100308040c0095ac10042008210010600d1a018500400900602000408802000640800000900040000040002100548008d42200c10002202110210c08058000040b0030a010008a42040008a02210808050a42000a00b40012200500400010f0001a20271800800a002242800248008000412900a0094044060020804044040280a000600a18818000000108002a08240200100000018500200212818110208300008908d00c08000b02110200c0021200840050000021000894804a00210280040080850a210800100008008000148c5010004801224200000004214210880001220800a440c1000000000011801220204004a000042a10310a4040084201230801000084200010011040840</t>
  </si>
  <si>
    <t>A35637_1080_0010008c1004004871010800081005020235011241080a410000040202600400502058940608000008f10c0880000094884a05010010805851040210a110010308200000b00040658110000012802000000448410040440000700240000810602010040002200200208248840410040808008000602200000a08008300c1880200ac00100110002410a40608802000000008a00048248140000a0000280001804041200000010ab00800418042542910102100600002010048302408400040802052d02a08308010a1a41005010a000550c00208040840e08210000400440440040800012448208b0084015040800a018410a00008040040800012318442000002c4004000871800ac08000008a10400f00c1080001290800061290830821850204a000252900108c4084004020020240890080810000084054240000000000014004054a11050085000084200a60801024020810000280011010031080244284810001080040000010094010205a010050600040400a0030820080804004060800200810080220010244820255000044041045094a810310b00200c0240000011004000</t>
  </si>
  <si>
    <t>A35637_1081_8c02848000108040040200008042042208840000b00412410800700a00442808200002010800800600d08008a10902400000208c00d1020000050820201240820a452d02402800010010100c50100702000000100042810800500a00008000508a0010224280a102018010000c0080280001001014880a102408000648310010810802142140502300202050500140842300200410052000240012400a0040a80a81024000200ad10a00800400b08140148200012242110400952000800400040040502240400000010800410100102612208210c40000808800040008940000002102208440408a12002150c00950242008100a02000040100100110a00000800408800212210052000400d0200024000020824841204a01a400410702002140000310142808208040940148240600410848c1010004020a00a10800881041060024a00001864804001040081805000091000280290a10840841024004a800800108140010010c40c50002212010100900640000c4881030020024260a002000b0031030894000a11280810200ac00402410400000318000b0861021004200004230040</t>
  </si>
  <si>
    <t>A35637_1082_8000202102040840108110840802110600000442200000840040008000402200900002000800a4001801825044000260000004800800820081200821840060001000804014211805a000018052942300000640000f1000880000000a31a400842218500240002148908002000840d00040012c10100a10800a48000002808d42440812300240510000000200000400902400e0001844000014034044010041080811040800040820811801044030294010000010861014020010005800814844a110342200058608200802c0000824004a800610810410402050012208a40240100400010108310040000100c00208000000042202410c0000004280000a01844200200020020035840a040048018200210318002050100810442108a0ac0800030221001a41001200800000080010820000081005234200050080041a04001280a058212000340408810908200048100008208d4040805240200060045280090805a342010410642100c48940318100040c40410208010540a18100248010002000442100010810040000240000600b0261080014a84a002d00002200442640142500a1</t>
  </si>
  <si>
    <t>A35637_1083_0052008800840102058b0885001200004804824a01001000281000280a310610800040002802010210010008c52900840010000800510c40000a0034010810001a64251030004841001040864841020004820210085005a00000a048000300802a0081214204201800090040080044a218008800252208100842218200700008058912000310200000002818100142a00100000800200100c00202118810c4001094014021240800044860010280090a510010050410400c0001801250021004a40020824841a00020a402800600000002100100a0001010a008010200400050100848150010810400000940900312400a00810802442c08108508000000808800300b00340410200040000140a02500408c00440050048a12242d10458040400840208208110812010000a42050102008140208012a0010064a11804004884060aa0800000010044800020224a000300a00200800002010000408000608010900910258608000808810240252210000102418010048a0000060021840081004a00040890034041014000004831010080800080004804020200000004214080a140540a0</t>
  </si>
  <si>
    <t>A35637_1084_0058840000000802200418100010800102008300800a0a418842000900110800a0a048102340218048210310c10800140210100008e48212940208058412118000000400c48010218900810242412442000200c0000060004004a240102800142c02410d0824800800070204a510008100542608a08a0011020020004a20884801095000090060060081844244004800804200080001814214000821001024800041010211014080881aa18040002200618900000000040040002040000202400040000210212210108402810140000100700500a5041060020224091814205211090a100300800a18800000842200408200d5245801210000000050000a012c0020881a14a21000884810040080010a40040265040020010a440c0001804080284031a402808450008140242148000800800442040040902202110000010102808808558a0051821011200080205231810060000010201a000e08e10008900200802450200042c10402900b00008b00240408010602148452000208a10902100b0010020000041040200020020080020a042902240010012100000608400c4800801221</t>
  </si>
  <si>
    <t>A35637_1085_0008012010042310502008440008840000a48400410100802502800000402908110a00102402858100108f0020214030000040270000200085210001004200825241000060834041011070200890004221200a200100c08c0284000000810084004054020011a610808110c02050200342242a00018010000840102600200042452000400848010b00410a1091200030241200871025041004a900440c00800a0010000080004000020080200050231010200000a002400400a1005270040004884224000834001021041000284200010860050081a010008008102900342800010c00300348408c1a000810140000302e08002810100100a0040240880241201044000020010044001244030200800291050884840000220220000000a048010202010440100802202c52440012018200418448840800212110a00150000952100200600200000a0810040014000000841040001024080815041860a44a400008800110600140200000c4005015280011081200080010a042900010c08510540000202610000c00000908800000508e00848000900a0060820801000085020021800841</t>
  </si>
  <si>
    <t>A35637_1086_010240800004204225240015a01000004201221020040884a100a08000500010002210100202040348418802248c00802012110100400208800040008008110048400c10400200602110c42402012500000600c00f1000800000a810202500118010810408040200c1080a000002402140408200202000400100000452c00102242150a00002108200040240042208008018900102a1010040020004011041800a102840240100218000800040002012140018812840d02400848000200052040110248010140700048e0a800002800448100242c08410200040500e00b1225841010085041080051005004010080824001050a418010200210110008800248040c0200820080080020050010005820061800841001200800201a400340840840c0a010002400058442002b00202048810802a1210250080220001004000810200080a01000040040a510808a4040021890000044000080a018800612208c00902300440800200040052802a00040008d0825801204000810290041080214014014004a208a08410010102202402c00100802010000800200000010410110108a4031800</t>
  </si>
  <si>
    <t>A35637_1087_8050a08002b0a900400c0040800284000a840400200a5001000000204000a100112840040200942000110e02a08902202258000000440018400040012210c00350a02000c0220010810810020a05024a058012900200018840040b0000011000a000002048250052000800000000840002408900102002402a4080a000c08200408150040900408400200042000000110008610140408840240010000a00900040c0090284a418000140042450142900148108000a1041280220220081014261200040081011240040800881250211020810040aa50840000850040d1051204280034000000011810a008000200142110a0081800a440342842040018040052100000800700a0004060000030014010201000a808c02108308648810250210942802308440b00010802400a0000804841091260a00000290225810085060800000804040871000224000050004844a000408a00810008100218308840e48410a0a002010400208c0881200810000001865041004000010000040000aa00000240042000410110000800242018008c00500048400b0080065040021804010044801064801</t>
  </si>
  <si>
    <t>A35637_1088_0750012c00942b10100008a18400110c00000510300602248002200012100108c40400100200248000008408812052102840200200900000800840200242100002052142802800240800010a1280200810a400810308800000640012312a18200440040b0000205000041004a002400100000c00600608c4050a002300818800008100808a1201000024005884010a000408a00818e4000200020034a000200040000c4010004251010004890204001001040800200001200200060801090020040204204000800061040080210811a01281021804284004080a600200a0080010000000015201804041214010234010000804024050040031241040040204081080000a008510008e1200030820060800850000040260001004080001880044000a20a010110300002042e0880824281080280200000a01a000000408c08142048a40202200540810000c00108050c00008010400800200452000100010110240040202008402008100c0230050a418800050100042a0201210041005091024004011a818e0a40010240004001040801020001200031244201800884a00000020050890</t>
  </si>
  <si>
    <t>A35637_1089_0000002802202000558600608e0890030885a050200140012100400110240800108002d5240000a64000050221001000a20000070801a61845010a812000218908e1011004825240840000085000214030200aa00002200410142140300908140048402800908002000b08040802102a10100d10010000450440302040610600850440008840100008510c0281260281205040890000081204805a210800200010010040048018d10a00000c5204800041060000220a010002200200900912402000848800200a00508000500448000100000200842042040850052000018418050008100440300100240c40502150400000a0225080080a10240880021240050210020001040814000200224031005880080000040000805011261064004041280880000061830000a802c40242140d08d40010010108000202a00a00c02040408148500008148608000000840440218002000010100b48000818100410002002a02550700600008440000300652c0011020040230000a610a08442040040e02000100000200008800a4020800031040020840000a80201021000280284000025a44020</t>
  </si>
  <si>
    <t>A35637_1090_8158400800c00000202000540c1801060a118210200640802940040908018500040008000100248542100240200002208002440000900000d0240090210040000005201010220261040001020a15020a300140000840800140600002110400e52008c4004005231080804a01000200a808040608140210400800908142100a10250140008040150610600a02450a0010801861000284091020a810608010048002400142802010310300600440000110300000508800000002100050000a08010842200002240500400012800e08a1000800004804040054004061001040804200204024070061884220050200080a000010908a4a010808818600800150c42142248352000008302840502100840508500010600452002108002800900018002048008650400200048112002100640000302a12c10008010500000000a02800a02210140000010400900440810000a00948000012000250548c08418a4001050004240080014a00a010c40140002008100200150108250612400000042000800a10000018200658442102a48402200100040400b0225000800800220255044201820060</t>
  </si>
  <si>
    <t>A35637_1091_010021a102c0800050800840000840000211a042500040002000840250200108000808802a0024205201800205001010084014a218250010112808812052500808e4800094810a24270000084a00080224000040800040805234014a142800812440100a40308000410218800c0020001010090801820205000a20010810851040041050a040258410a00400002808102108018308202000002a00218300442802002008000500100050800002b00008302608d10000002100042402410110c40800c00000042e08a0244200020004240861001020804004235801a008208008100402008010808a1020a902c40100050800600c0240010085010000840820014080004031200010ae0080080a00800090051081001080000271800004001200080290010021044000000290204001a000518800110208200000508008a50000400b48108800800050000a40010608618242402400340900000a08d02040c40c02048002010340408500c00000012000a1021805244a00001ae00448602000708010448300850202910100200040210050448000902800110018200008000a0230844820</t>
  </si>
  <si>
    <t>A35637_1092_030a00210200080030031020081080040814001a60080044054014805241021040884a400440a12148800148840840802012412000402c10010900142200c00c10008c00000a5020a608f40200802500052242800008212500000200410200018018000408010102908008240900108048042518440002050008848000000842a40c10400102510100300648000008802248000210a0a00020001020830001000090280000005091010060204020820a042d00242400910000100200508448e00040702042112200900a00110240b0040a000150050040500050240800100c48010002800250610400800802800018140b0800a60084040021a042300000800800440040058418312c10402800110500000e0a008800400112008010e0200a000300210108308200242502900010300010200000900340808048008818000000048a02510800040002040042102710310818042000200302602008610400050808a08108500040810812000800402400008a08d00440100402800410010052000002000300948008d40c00042018510442402400200040050b0804021804210014200850</t>
  </si>
  <si>
    <t>A35637_1093_0100608040000000448000158040812840200300010300400102040000600110a10002110b40340400000c1280810000800844000015000800270220040a800a02000000300002000c00048800840000b18018608418a0204020011851801080001005060024010030000800a800c02800102c1084245a902048000048000400a52000408002348000010018400502040610300450008c00000100600410408802010008000240300310018052000b00040100000840000240142048008010850000040a18100800342218040c02150040000100800510b4a910000500648040500442000000a0094800001220020011a200000e40c10040000100808602040010200158510d08a4060240010220045211014000880200a10064200031805285200a008412b00612650842200140002008600000010d0031020060020000044084800a00001840280240034081810800001060000200891240210804020011050201044810014081000034820000030860060005040a018010000d0024810020085821050001200a000400000148a0804084280004030800a910700a0800080220800a00</t>
  </si>
  <si>
    <t>A35637_1094_0242010500300b0200010840000a110208000702800202402000242a02140500008442110000000012500408002042000018012000c1800010204000010a100a0820044060011240080851800880080a802440210518800910400000108200000008012200800000100800858900408810740e00148608150100200400d00500210440402050000000400002800008048240010402412010040002100200840802002000050008108048810500400800400908810058010142158010808008408810000b10200110a48008d40700810200d08000400840248200550010d00200502202a10100400040c0881000000024050034205ac00208240200000e00202c10d4a90804090081800241090204020810000204a840002040200300412e0011004090040830015844001074014061041801000200094030204a00851000a042400b00202008000218c1230204200201011a058000e08808048a0060800850240001840000055000040000221014851890020280064001a008c10002002102002110310a08340400100948840200100802010410000108150100b4200a042842850012a0</t>
  </si>
  <si>
    <t>A35637_1095_820040ac50000012200610600048002b0094000201800001200010aa0045040010aa48040400250510618008000902042812348800000008c10042002440100650e00100c0210a012110858440100800200308110000a00012a42800308208c00800810000002448010800a40000940010212810d1020005090824001000880040a000000110102000000a0204044004800090090081014080004034201824040804000280210020011284215080001030a01090020041000010020280800804a10250aa02000808408202002040a00500810108010000100240012010142a4a150508050242900600808002242218400010e02010840500140340400208008c00642210140300000a08500048b0010000041aa0890044000004840821001801024a24010050044000a14080a002100208c10200112000100402400602008000240008440c08010802010608a0800290051801000284000a000200240a42502908000408118e4200a000800140002610310c02800048212008900c00018400500802100600102400000e0031074000030821880000000a002c0031240850020084020880</t>
  </si>
  <si>
    <t>A35637_1096_8e5000011200a010208810800208040c08000308418810810002440140408010810200402240848200110050c4a44010a80a410100500002000d00100102210810042010408842400200218c0800020204010081000000040004020060050040221a80004000a358500240e00c0080204811a008008600100048302312a1000020a900000218200118902c02010440a00008810052040040b0800031260050004014000280a20000025805000010aa58048c10040850c0024021204200010860800010280010201050a402002400012108000558200c0220a118042018a1001000044a01a000c00e02040442d40000000810a08400010808048110500400410002b40340440100800850040108800540400000042902000012210110402c18010100040042108000012810302208000a00c08218040c08800010018000c0a14200011221060005001284020001a012108800212940008a50142200058040400400840000810340600112042000050400400450c0080014024000040041001000201020090010004a410a00110000100618c0000210804010aa0085004881210881001081</t>
  </si>
  <si>
    <t>A35637_1097_0010400400300042008818048200450902010208008250040410e00040002d10210000000848a0025a40040000880000a040008900108400110b0220050800001ae00802b08002018a00010402102202802100b0020000281010a002000210418000010008040002b0014880800000084a442910e00c0040240080010000001201a042c40100118100c00010000a00300502108850800940642a08000400800048142800250202800300250002c00a0801a110048c4080220024015a118e12200440102810402000b10400d00108100218600810402410200b0804000000060ac10040900008200202008040102200418008002c40002100112250200908800902400352140000100000040902352000d0804041a040440200108400042018942340848400a10540410400e00000258918200410000700010252208310008c0090804004820000800000080280030a400948408040740012100e00d12048000402a5a11800000a200052000a0a100c00648a1a002400100410000100808c40102040012b00c0824284044000050040090a81204004080000a20800840200044004811281</t>
  </si>
  <si>
    <t>A35637_1098_040000045080010a400210840648c00a40058400018042450800808010200008010210040000902042100012800c0040a002048600008240840142800240008500800d02a4a040108010302000510000240142500840008000c0031060850070060a00280220a000200110012910700140048000340808110e00000000c1084840014080200044040090a01090200000810220014a000c02400200140410318810100048008008a08400048d40000000458008800012052400050440100c42400050940150208008212040810808000610110108250142d42010442200402410802048200600000b48440402002100312500008800000140200640110200812010a0010020030805a20a05040810a400800118810000600810008000210208d40440000518000042a08102c4830044081864001a00040205a118a08840000900008a0010010064a002002a0201224020044000081000814a700200c48a4800040004840240080800800010820001000801081010200800000060821a200002200000500b00410000002148800710800410c00450100002210d0040880000024010a00200</t>
  </si>
  <si>
    <t>A35637_1099_0a0020894084001805a108248242410000802400908008200800308010400010010810002208048100018002400440000852152500050008100040a00610218008800540000a0860ab00a0040040000204044ab00002218000a00118002e10302440012140000300200600002000c0a112448818000a1000014214010a31084824200214211000881030004000260805014050805804200044020800090050080004024000204020054000004030a81001811081a800140002018200110140010000208a02548400408200042048240148800040810050102210118008840048d5000005201050000000080024830a00000820800a950040050418010040c0800024004250020091005000044020200081004220854204a90214010004860a450202000212008008450d02b0890054021810240204030820a000010600000c40a0810004260061081010040090070000820281015244005a218000340012400248050200508200052902000800100208800018002400002040110002040900a4824240880000840000094084020050844000000214021200000890840000060031044810</t>
  </si>
  <si>
    <t>A35637_1100_0808402840440200000610100458142a0000a050808152600c0020021000000060004040004a00a202400102008800000000018810e00240542402a40408b10142a1804040020011010804aa1080030080a11090020844a10004004250240800004010014a20240040085081201080214020810081084000000225010800030001000200a840642008300000840002908240708348208040802200400008440e0014030084001220000800085010000200040004221a000000a1070810004840250000014211010001820240280a00024090000840201030014844041020040204040004804000001a410050400042118100000810000308040240810040000010500210700800040008800000010208800002610040108008250800008402c02c0005200000064aa0010220000854231004044241080000010881004001a000400000300a00000040100102800002400212010000208108500d0891024080200804015080081800080000004a00a800002c08002340200140400a02242140042308002800c00a1251080281211081000a440100400142012008008048140d4200a01880</t>
  </si>
  <si>
    <t>A35637_1101_000060010204810010811000a800410a08040000510a10a08802000802008400450448c1000a200600e08040200c00408842002010202a00000442308612400040400402202012400408818a5014000834a50880004001010080201000081061001041044a040102000400000040100058012608410400102740140310800840008000c0090a042a0851824884000a018000200012c1205280004040a118800240c40208100012000110450002000800540000540612412c0020841020070001a002802040340800900800040140a52040f00802250400008100000b0800245000014021210a90040281000080004804010040000a512742950100e00a00200d0200000a40000090844a052002000000818250c00000248202142200b02400800f0025a300000410000900440002040400142802100c00008258008b02010110000018002800400012002140040708000502c4000080000a000010810a42800248b42200108048c02040008802450008000c0a040b02942410208048008800d00000200e08300640050000b0a01041000001080204a310040008450452000c4091805020</t>
  </si>
  <si>
    <t>A35637_1102_8050200402c08002042100040802c1094010824010804005000080821020020020204814000001201020040a000002640000042a00812210552840842402e0080080ac1214030000211895204891000000010020024a040410008000440010c0aa00c40000140510a0820021801200020061000814a048800a0000860000000080240020a24205021024a600812102200700400100400802500840000818940040902808200000000b08408140000040610400050c00400002040012200902000540000b18500e00a0821a000008800408900710c58102000110142400200800400c40108000300802a00842a0230850080000001081000a34a208008040218000042a00008510000c0080024284241011080240250060800a250018a00a0250050214020020801080000004814824800800801a012008110140000202000000100000512c00800e00800002a4021040020041004040000010810091000010000a05004811844200a10000214204260081a040900900000600c0820840011050a04240a410010212112408a00400200158600542040810002a08040200c4080005a40840</t>
  </si>
  <si>
    <t>A35637_1103_800044a40220a000202810000040412000108150010400440540942112500800000000840202010300208400840900042240100018c1200001040825824021004800000210211060200020020205000880804a40001204041050004a61000080004050020010230051000860050084a80821a20064041890040081014a900210002810500850402210018000500508000018000202802100a02800150500600800c40000200000510410208000c0004820000020a01200080094030221000004090240800870220005ac4011220810034230024000040000800810000040084040290290a01a018818018140808b58100108340e00012100200000900100240142500a00140008308040052400210008600002800510e02008358c08212202800000800010100800002010048800612a0084800a810300058248400010a40410108842510308410452000300040400900d4000a110a0030005a010a08002110a0200804810891a01a00200214a412010e1044044044a31800801020040a44204010020090030004a940000210418808410010c1000084025220804a60801294880200001</t>
  </si>
  <si>
    <t>A35637_1104_860244800000020a10080000a00200004004a242100018600000500010602000110000800040000200000b1a84044010094860841091a80000034084210020020001844024010a202010400048110000818118400312208c10a0824a508500002402c50108a02252e00048000c4210010000010880201094080000001040041844210060080a000b10040a0810220a00a04001820080a51004a00800820010a40a400900008340200810c08442042b0015030000004804020015210020840244084240001060050021000804000000025a018102002d00900900102010200000c00000310512400302e0a00244200240821814884090064804050011040844041000800010040050040840220a800002008902000410400810408800800a0201204220a150410810400042d00308412008140048802000800000200c0800051200011200a41014200a85010200004041860820001000094200890004a852000040000110808108640800600300400008900002100902900000d00240c00002200800000210b42440012508000042018852042c0050800000a400010c00100a0804200080</t>
  </si>
  <si>
    <t>A35637_1105_0442240002002800040c00040a18050042258202408452008010b4031010001000200050210010020a808802402040900810340808808000100600a4070a100810202140a4281a200210450440440008850252400a00058d4040a300042200110250c40142000400a1000080080010280025061035a000000800102000a00a42000000000148100000b00c08540500000008b00200602442000100010000600408940840810210000c00040c02008902040218050040140648142242410810800000208002402000400800000000240002000142600850100a12042110812808000802000012608100002000642100150900b00012c00c0000270001040080200084284830210004041a400808110400400a02600812802040008800500202c12908100040100412e1040000205a00000000064a100108240008100318418152300200442810000810410408202002410018000402940240102200202200410000b00018c08210218d00e08200000d00400a00040000012010208600010c02002000512008a4284010010804a20010880201280020004805000880a80210254200a30050</t>
  </si>
  <si>
    <t>A35637_1106_0940000000a48310048200710000102002008100208100400c00248042008810300400140800002008210400240440000800000508000242400000200202808510408900002040100400852218400000310410310140c12042002240008008800402900600800448000c4ac40010802000040318140200802800b42000518440c4000010220010281000000285024024011a000002248c40b08000202c00608412000100b0044040810a810910008000208c0025000241084010800010000001a450102840200000308208040200048048000002c4201024080a04010040860000000880a05011004004000010a84a010110852c00002c0a050100408040018400002102008e00408840c0200a002152400512012000600300200000a5aa42000a4a300610c00f00a00100608802048008800400042000000110008200c42140000208110100000802000400100202210048008142c40100112508b08c08012200000402408308010d4280030050a00011004080000800040260000204880040000001280030060800200000200090804004205004a048040410412002410c0000814000</t>
  </si>
  <si>
    <t>A35637_1107_0050610012008a00202008702c08800408010602200048410000840a4205811021a808400640848050200008808102200040218608c08018140900000400c00000042050248008008100410000000a40a0010a008342e4000200000200820080220a14280001801081834001011004ab0020080000025255200880031050050080005290a00070070800a04000034020010200031065841034801a042118810040110040210400408058050000400808102208108818802142340102200c0844000044895044a01001005005090000201880871880090040231000811070000080000a25020250060800290244081030040040004801000884020091880240011040010000000084220a000800100000a00450200440100040450200000818450208a4800030824200a040008210000510c02010040848800100410500200c00e0211a208200300008450202000310818140000010a40110040018410600c00102100000210c0084010000000211240084a000402740008050000652200110800008140500008200800042018040000358008002908000202108208a02040148100002a0</t>
  </si>
  <si>
    <t>A35637_1108_0000600040600852500200610c40842002002118100e50002000608202018808c00000400400102008810240010800408300708418008410150840800050200408252000040808002a00048a52540200000100000a0004290010200800010044081001080035804020010004000000010844071000a01804244020060080051a058d50000800000c00900810410000100002010440010900100a00042108202002010040940010a00800800010300808300608148210000740000302000a1000011020011a412c00648608c02048148002208c10810040902200102100208842012208140008110010040002840300048210002c00802802100108000402818800c4814801200090240801084000830081800224814040000010840014004a010402a0230220845a040010000208358808108018000300910400c00800000d0000a10021a00020a052000a00310000118150448c02440012008100100800c40408a12242600350208142442018010108800212900a0000044850844060000040014201020020220885000030000ae00a00400042308008010200c0240090004890004000</t>
  </si>
  <si>
    <t>A35637_1109_0c1001004220004000080040000a11004000820201001281884200094830020011200004060825a500900108c0004200a202250418010652000c00a0840000881201011040800804240841200080090281a218900442410002c02a10000210b02010100d08842200e1044a012012a4834840a000800850410040042600408300002902000248400018850000000108a4024881820001041020004045001000200840040200000021010800080000000a210d00918002040800000200008040e18500c02258100a08400400902000a1021000000280291004a008000400400440010400102040b00802a10000400918400600408808012040158002708840410100900818002510000a10442400110000200700810802c0a312108610048040440e02102100100100042402a4001201a40020021885010001000a00005200880200080240280024801084204020051aa10112050500108a40418318c10002542802800002810110242c10002010640200742040050500008108400200c0000274020010a000000c10400b0005a000600010c5244000080004060000000000284034041a00</t>
  </si>
  <si>
    <t>A35637_1110_0200010000440900200118800000002000b4001040084821800084804804a018012250502a4890000880075000a100000152442108650c42040300018208100300000440008010000a00252c48400408110450c00e00000402800140240600212800000342100110908340048040240010342000500802410000008008b1020800210004810241260040065a010802200240310100800c00600840100a0030061001060201020200081000804010800840050040840010000220000020000204000070821000a01051224010204a840100000440810112800110458200f0080200200024830081010040044080004800890881204800290815241211000a402040208a00200100000c1081030080000020004a400500b4a848400a1080000a14200080000001010840090080001024040034201005070200201040021825044070094000201000044254230081860810010220a04020804034091001200800000080000000004844841204a112208310040e0084214824001810815081000080830005020011045a010048000002908948000002000240400500810002040502800102c1</t>
  </si>
  <si>
    <t>A35637_1111_8002a0040000004a102000200000002d4814a212418042c10010000b08208a08008852540e4210a142000642210010802018100010a18008440140850310000c02240800800218000e10d08200102000240248010940812000348050400d00408a00010100a4040210020284284250080804040020a40885054200240201041860014020804a30040001824010044291020020801200011064015004010820001280060831204a00001004804000a000008100202840002908000400700c08000c1014014a01010804020801220001274081004880a402000000408010812018442400300000a00002048402300118000010d00400c00040218042c0851a400012d0000001820085805201020004a00001854081a800400010012400c4a45890214221020080820880001044a800208310400000100200108040008500002000802800312200440602000842800002700700850910802a40540000000c02000448200418700a00c10840402200400c0050040001080021025000000a202812040040040100a00c1205080020000010820221811044a00241aa0010204284034084061001</t>
  </si>
  <si>
    <t>A35637_1112_050201001090030821a018108202512c40002040000400440000b02a08440310240042c40008008542410810040000102818142600402440502442850008418008000102000210010000a0200804040810820200020220200010291015281040000004000001000081034004a100948010708a00c1284011020090050031801a20244004001000000000060044200011004040894800a100b00008248118010052002042100448800500200000100018400000640a0a04080210a040208002248002040242040900000808c1080015201071024a218810008050000908400c08852040202040008100800010200002240810710002010348810142000a18200500800248000408c0280810050200010041094000844200001050810020825000220a00a212818140002c0094080850090014a20014040024a410000040c0a440940812300000a02000c00000942110100200240802c0000005230040a600412208008440008b08000000002102310800100000940040910400300148048112402200000c0001840800020024855011041201004084014a500008052040100100b1005040</t>
  </si>
  <si>
    <t>A35637_1113_8248a0000084001000210810081010094200010000060000091200080030201080aa02002540010000800c40602100008040400200a0224250210a900010000408c02010148048010600040002400300118700300910402000200a02000500600418902248000102010200210110000108400208900250110802200100018410200540500018000000008008900d00300208c1860080a000302058050000c02410002000048008008b48240500048842240a00900400d0204a342210008442812900400200042100908800000242200140600c18000c00200000442a0070881050214000a008600040858810402142048018412802150108000048400010002110500a10302808808000902202800252400008440012e08200640210248000040a0a110010210208402510002240610000808c0041230294824220085001040220280014010040801084290830041220021a012042442008150a00618a00002200212002000400212000048202002418a4204084004001051821880005010004004060810044000040060084800221020825001070280000080001080080084820800840</t>
  </si>
  <si>
    <t>A35637_1114_8308040842808018400210040010000000248002100912000c00248000252818700040800c0221051890050005251080810040811044060884024214805200860040804014a100100310c0220815004000a20070040a800000200100350200418c00100100100350600840a0004220224a402000810000012302140108c1890a80044004a01800a50050040040000001004000030200004070020200070004000254040001000a01024081040020aa08040008802600000000210102c10042812002d02248140000850c4090200820820021830a450002400108000800000c4211200201200041004885211050204004020011a21081274090000200001a04080030010001000015a20a800000310400600540858800400000402008000400940308a40012400010400c0080281201a000040c4280044801020010040020001080814011080071a002000108000042000400842000008008010500100858d02300010040800b5080804000001240011020260000064280234001000a00880204290021000000004010240011041001084240851094080224050004021000050004040801</t>
  </si>
  <si>
    <t>A35637_1115_810a00210070a04a100000d52042402c00808050a10012e00412e00840200400a0004880004a80001a100400c08010000208408100010202050048940040100c18418400008308508208340008800b00012640a08c00040410c4a30000a900900200010c0004a000208200000450840002008110000008142200810242408018202400b4000a118b08310850000802008352500110200c40248012218400e02050d00200908040900202040400400140450800010c00002a00040008008100202810a0000a040c0840080a810408040542400010008800100100242d0020001001050a842218508100000052002040100808d10400c00d48248202100052010002140812050408400800802240a5840820011045200000000050021804020000030014a00201060040010080024a41881800020840044000a50840095001004084000000040004200084000880a002c00a0061a10010084010021054a00000080a040308000400a0011020010a400000c18008400440908310000040200412900950000008852c48100002000608108208a5044040201800000000020044000020834801</t>
  </si>
  <si>
    <t>A35637_1116_8000040140600100100400902000400240350408800800208840908812102100a1001001244021001020044005881034a050042e00008c00400100800708800c5a002110002142000610208000100140002010400008000502e0091050ac10912400000000800110110900e00000900000008008110240542940b0014010010021084220004020840834220840020801a100008010402002400952600a00008a4091000081840800001ae0080004010020a00071064204004884005041800800211024000064001840a040002a02140202b08048658010008800418a10002008500102000018810302000c00400008308000252a0200004220065200011001a000c02040000010008410450400212000410408400110a0a80004001014000241040000244081880084000280080871031000060a04020030020060004240040280a91000201831040a042000048000300400048140042210202018200000500102b0011000004a042402000210208018810200c10a02200052910852000800400002000c00448210002000000100910800802902c0080244020850224a41200884831000</t>
  </si>
  <si>
    <t>A35637_1117_8000008910042948408510908048440508108640300a02608400400118000800c00808840a0000000241000084095004031800000800a00811044a200008100040202010b48b00010010448200002402250500c00202018800440a4001250804064090054000225001040881044070a848002808800200102b0080861030045800a800d0a050308000b12002810040150000e0050001850014084a208c10102808c50042210508908542040d1200011051200000040040040014230010000000a05010a940000100a00240000240008012800d0204280280004850220060805851020a040202808000600400102b00410010040850c00802008440308200052010002a0210030050200004280801810a608200610002402808010000800800800800018312c00412010800502200210000010600d00902200000000102a0800070000a202010c00000002a48042018000850800010a00108440510800840c0010001000001040200095010201000a908952002042448000400010400240502448802052210048012c12900008300200200a48950000002118810802e10000c0280014021</t>
  </si>
  <si>
    <t>A35637_1118_8000218110c08a40318c0020800a80000a040500000050040000000300602200d18000010040100040b08d08c0201004a200000408418c0854080200060a300010202000440a1000041030220050014a30014200030000041250200a01870804000880220a01a002818c5080011010081004860001a200012802100200910300440010c00a00350100042200010008008108210d10808010808000410208a08c0214084004a442000b10042012500258440808000c40810400a1200081000a048440208040200410010040810000202208400410258840600202200d0800201051020000204891800004a842000b00008310d00a12000a02042400210000040002c00908000918940842402248058010c10c40440040802240042000710c0280000011000aa0000a01001010210a150800310000802400b0a442018600402850000810208a0025025a010240000110c08800208010400000100610400200942508000108000100840800c4000a240810010200402500802100018002c00000d00042402100548000c00048150010710042002012a0a858048800808050000102a1004040</t>
  </si>
  <si>
    <t>A35637_1119_080a80040230015001260040a000142002802600308808000010000240402408242410040840050112100810002100040202500b00002002900000018100c00118400c00240a0014880010224055204201861011040000800284800201020884081010000a008340008808400812502818018910500600d00040000018410442802050c00118200000102010810008000440000c00210000100a0a200008218402c0010805200a400200012040608840600018412400100c4024211ab00150802102902110002808c0040800084201860010810000005070090044851005880800014030800000040a000040e00a02008408052c40400c00000010808912042112408000600000140000c10900002018200242610c4000801000020830081a002200042450208000810000340908008918402800010c00012300400000a08000100202000500d18858000400958402818002450000448100002900900010c02002200640200010202500200800000a0000001210080a04000241025000a01020a818208908000200100008352008e08c4284200214004001851045060001050024020000</t>
  </si>
  <si>
    <t>A35637_1120_0848c0a50284014004040801804804000021020241010ac00000a00850140c18800800010000140508200002000840800110312000508448002500202010000112048c02002200442c18740202000000202100b00048010400000040402008e4a40005010004820a000902a02002400a00040100208440010540800542f00010002410940048600000018000050800a4060001090200204040800050030001044800200010021a00000080a400f00000310800018000142002140010c18350008100000008200c00000000d40900000012c0040040210044a20a042008912600800800002402000840000142d0000805071064020880200810a20001830080084000a81024040021000845010820800ac0000261054010094214201820004810004000020810011000001220a25261a808410010400200a40148008418052010842010402c00900440010402008052810048a0000010090860a810600410000300900010308200002840800a40008300b0044205280200020841080201081200801040061080201000040004200021050241200200020804830015801050000014220090</t>
  </si>
  <si>
    <t>A35637_1121_0000e08040100100002008c0200a00080004260210000880010044020224081010aa40000800002200008248040102940018500010218a42412040110208010508010500000100140800840440400600802400500802008802100858050418400c00400800818108200800008000000252458000b40c0881004000810a800e00008150002802500010408240002348842502008c08c42010808302000a00c02448410048000410300010248800302a4800000860a00801200224040000094280204000aa1204820001025850054000a058000152000440c02802200000408048400600010140010200008c1000a01011061044004205000090000081020000200004820020a100050612800a0010005090041044044200000a14030080800084030090021020881a41214030080870a41000204244204021241281000a200940840050312810140018000140212010400208012800808210018000400000800802a5030821004200004050a000200510600800002008248610000942000d00000102400110108212450840100152800b4820884004814041031070000080000000034821</t>
  </si>
  <si>
    <t>A35637_1122_8240848840142040008000800408000102802200000000850400140208510c08650240040240100740410000200c00000208000000250400002448a02412200002200100a08000040600410c0080010014800031000060201084810a05000050000200080230000a000902402810e0a04044000000881041020aa08002000300248802400050400e00018848842400100400400c1804004000004030081085080000054224010a208810240100008010610000a02000800140010002400010010000900000008200400010052502000000418140a00102100002040010840010402a0031020020090201045000200200a900e00400c00e0000841a40075804840020280045010850205045000820810041020280214010285214081804245a000c00300000208440808000d00000200c00110040000100a0050000005020844220a810040a08110402540308a0001210055801054210a208208200300808010002840018610010210500e00348148008508010050402008018300012a02842a0000045a508140a0a440848900100900012010500400050300608208400002802a00400c0</t>
  </si>
  <si>
    <t>A35637_1123_004205210080000a25200041a00014000010a300200f08600010b4020a600400310812800000a00400000018048c4010000051001021004004040a85834001064a04004040010204090081284000000000a008d0030220041084221024001081a018400040100400008508000000200002242508510a0241040014020011050840000014000270081080080850004834204840084a84a000200a00600e0024000000270095804250000040090000890a010a08210448102640100008800308810902002018012110b42400c0020210025000040241800204a010108008000800000142800258410458c0001040820800000090000810010a008640808100200402000110040700048000802f08300008110050002040140a40000010c0221040080020041020860021890050031a100808a4000041040200001010044060a040108008018100810000052408800500408600202142f00802150e0080201241084000234811000804010040891820060031080804090014020820070045a940108000040c0820244844040821040211010ac0000204011020020000a24a040a0280210070</t>
  </si>
  <si>
    <t>A35637_1124_004a00200004021850a40880000040004000004251800204251004a20000051070001080200204041000000a202000d0824001a100a50a02010802010000610410840100200240008408440848440908a40408400140400810108150400c00810800100142042410010110410810240300500100108018002600202400900040610100000048100508800210d40800012400810c0060884284005a102108040010000000a08240108100a4000060a11040001091800080290821a018400050c00440200108208408000440010440112010100100e00d40102800000410602018400200000248200c12812850808040200810210410440500a00000808402400100d4211040a310a00640000700202150408040a0081210000201000094801004280a04031000091004004004201045a200240008142208840000010a40010c1010200001240010a208440040952142800152042c02440000300800040258850c00040100800202002040400050142000c40250102040202002b0070000280264824a000810000400002100900402008210208100600000410108550a4081020280040840</t>
  </si>
  <si>
    <t>A35637_1125_8100010012102a50100818200e00000142908002610110000400a08b0840001005800050000000020000020284a40040a00a050500a00400c10848908150100800248c0280810000a80050000085030a25804040801820290284000041010080080800060810800020841000a00200034004011024081a000c00000400000952010012442248400010600410400a00210240408208458102b00908400108118002000402252040810010000410308252100100048248100000010102000c40658900000808000418c08202c02808000200000608812410300040102e00a4000a002802102240200d08442400600918208900040c1a00004290050a110000c00000a0a002510808400a10100b0031220000000820805044200845011000060a010700208000100208200940940140118108e00e00150208840402410000242902c0800210a80021040810040a940600000008a40000000142002100c40008840d08010700108110012050048852012000510840c00100a4a548400348000000c00102040908208000140040200700908902000950540a40200600a0800001240880000210</t>
  </si>
  <si>
    <t>A35637_1126_000a00a002308810012008048442000840248012a0030061001210284804001801044210024200000820805080000040010050081010a41005204a212440c00b18e0000214a240058008050400c42902900100c08300a02042008100400408010802800108a0001211024220000094aa42102208048a00150000042010200402250012208900410008110800042700100212800248000842240b40402000b0200280200224004211001860280060000a10210040201800000205861880020a800510840012050800402208802800118308008052200500200040200000400000812008a5000001024084a940000850510600000050100408140240810d4a000112002100000800108400802140a08050508000c0ad1030881000850825080044040a108042000900240142408a12200008600400800000008018300450000000200208100410642610000500900000b10a0a010040c0210000080010a21215200281034220011a01241010080230000024a00a100048040312e0060800a040008208208200012840400800050408000308240800600918002100008e0004010a91240000</t>
  </si>
  <si>
    <t>A35637_1127_0400e08142200b08440300c10042d42000040142508d00608800100010240600400600002848042000f10842802802500840040210c0021040090004050280085000005004000850000010040094020001a002118c10c08000c02340640810208818000242200050500908240d00042b0811220014a44005000201811080000801091084a002200c18010018000300002008018000400100402240208410000a42850200000340c18d00a42000000900118900242400010008008250110c4820080030a158200100140008c40802050102208000800810400112000500a1005000020820250a000040218410540002200508900808100602000500410c1000815080020001080000200005040020061ac18200000040600800108208d1001291000880844a000100600450008100312508f0020040020821a040210108410802000148008200100408852202208000500710e00402000012352000200a4810004020860010880201890204a040618010c00812000302008052c08450210840902000200010e0240800000280001a000848810c10040202600300440858040c4000a00210</t>
  </si>
  <si>
    <t>A35637_1128_830060000010200200a21881ac4244220000000271825241080000230214080000a008000100100002010102408450040118210800318800400a08108400100402012000400018300a0001004800010a012200200c0a000110308000440800150012c00300100000800100000112840908600400108440d0204001a018518108012402402240140010848052c00000010012100c18c00800400812110a1000004201260090000000014000814044021021201044000280064000800030040804ac00148240400308000400010200800140f0005005091264800021010805041a140042808000400c4080800080081800840890a010000808040042400212642000048010400a10400010040808342108808100440000400a02100408002000000008108202008d50c0810000084000860040a00080080a310200010d4001000084024820a000040440d0210004060280810a008000700940000d0010004015080080201021805040004000814800200884800240030011001020000a208842800008400000218000000200008010708000048142402200102000002a1250080a01800220</t>
  </si>
  <si>
    <t>A35637_1129_040020280044800030021080000a002a4804241021050061010080830010000014201000010011041090081080801004a80020070000800001000021000080080800000050211005040040200004054820064800814a80280000000250860811a248010a00002002c08b4060240040881001040020020a442042800000010a08840110008812440400018002802a00800142810910440100600002400d10540048542048008440100252410842902108200800900e5044010005011240000024050004020224801050041204210030244800061a21240000024a000800c0200a140402808018600018000800008a00600010900400000c00808258400000a40100000908100000048810000000002302000a00040500100840202400100802110000200408e10902a00002140b00008000200400840548000208c08000212052900208110308b02002400400142402808a4000a85000a01230081005844044004a00220a200400002140102002002400c08050910e00b02142800940018010008002040100110208c4020005041021834004214000000044860024880004004010204001</t>
  </si>
  <si>
    <t>A35637_1130_0602040402248158200c00000812800000800300000f40a1080080235001ac08310008100200948100410a00418140108200202908942012102a48040002608400800410000b02342010c0000000020001011081010000081210884a602108300000c10c08110208800110400400000010000010008000000b0005024020060a04204084000a000a00042a0a100202340508118200408c1050004000090020000285090a30000280804824081220020240011051881281044000a100000118802002908140152410240c4210020080045800000804010030080000a000800040000402250008400010000c02040918012c10008a00000200202400200458810502200040050008b4000841094280000a208000648000402800400010d00250050002002402210040200000840108010000812440412a0200041220040840201004021804000851a84004020a20030030000061004050a90a41a000400240040002200202008100200442700802200000040a5a100800018442000050c0800084224014011041021280090020010840004840011204881010000804281080000820211001</t>
  </si>
  <si>
    <t>A35637_1131_074000a102908848400410210400802b00008050200000010002000000342308010008042400312442a00d02040100a0880004a21820060001050000800880090001a05060021a10081004001894004210801880000001004210280000050044020a040c42840140a00902400010000240608110558a4000240a04031000044004ac00208000648200a0001090200a85024000004000004020a10004ac0021020010000080800001820020a840640310500300210042000048010010100a00e00500040042300618802040c40902800412800002000012a0200a00090004a400002008000202100400040400300158552000400a0000000a802402010440802002d00018200000342442400008000100800d0a010802502018102e00000610800042000000400b0805201284834005080001260ac40140340100400402040800108a00100118000010000b02208540100850802502b00000008000c00418010a42010010810b08248040040800240318018c00002400b1040280004040001200080000a010302408440040002350400400608000000810410c0874004081004801a01a40</t>
  </si>
  <si>
    <t>A35637_1132_0700800440240000000b0004a00ad0000211030060000a450810108000040810040842810800242300008848008110242000452410c00242040000018208000000400102708140600410800008800100300010800410008500448818100010050c50000202208200200812248d40e4211000ad00010e00000c00902208008042402100800200010010008000042340200208100102402500040100510a00400842440008018600518000048000140050050618400848040d00308242010100250002600000010c00008018400800008050c1804844001080290064000000081844204a102000118252012110a0200004000021000a402440000302208300a42112642000548910000010510000900400a00848010402108018510208240000510142240002500f1a00285040091840a218002000002402800100000010010140108242500810402050c40040208000e0004204014000214024840800260201020200804a01021064014000204000a208100410102208a12010200142a00010100008002900302218002402002000400a40840100000000010310812c1001020a01030800</t>
  </si>
  <si>
    <t>A35637_1133_0010a1a44230281014060001000050000010040000004004a010600000108200248852400a4020840840880020011000210201820064244000000090221a018800402010240a02210100158840402e40800042018c42612042c00000610000040a00140900040050218000040d00a0835040080080825881014a348158a0001241880220211800000000a01000220091010080001204a002008252700008210010040508210050200012400510c00a0020200880a250102400a10402000540000c00000042500018202a0010000080a44000874060a00014000001000070041045250801810830030080a800040808150800800000902a4204a000210000448400440a02000900618000810c4001800840021220a400a08000102000602410050108250002c08a08450040802010248310410202400248148040208002812002800900400e0084000001284210844040091a81040060000024ab18110c00000400802140910110050000000a0011041861a008100e40002250100200040012640010300900a4000040010004a30020024000880010804040240840804800030000214280</t>
  </si>
  <si>
    <t>A35637_1134_041041010204024064a010240002100b40800100c00418202450008902008100908042c02100900502a00b00200000100342008810000a0044254a20024a000048010100d4201a000008410802c5040000220250011080081040815a202c08012448012000a00410400800c10950c00000018010008c02000e08200158108b18050102248000202900600a40412048900202300008c4214060020000840000084840040020201280080800004000001000081065000081000200224010800080090024000804240000000894044a21a058110450042000900040510110000c00800a00002042410002000c00a00900300000802842010500848700a00158408000900100010708642800000008118142000808a10c5200010004a100808c0084220a252018408200050000b00b08748200910010c00800100010400842008440002040240408a40040100c40810200208740c0804010824204291800024210000800200820004aa08440802100000408840c0a00200a802000608d42012042000908648100008008812300140058900802048c0000800004081030004200220031060010</t>
  </si>
  <si>
    <t>A35637_1135_0900800040200000118108410400000200108240008410000140c0220011a80044800884204224a008408000050c00808002218800118458400908010500300140840400008250212410b4004080220080030861810040241264a252418300100040402802952518200110208000d00008510308602010c00040302400910200800c00048800042800008058042048a02210b00600858000208008102410400a10010a40002008808500448002202000042900010c40140208812058200040040440600118000a00900a40002502012502100818608842308018002010110840910000012000800240840002042040200400840e0ac00d40000050808e08208110800142202100000400042500018602f10c12002012448842500018240200100500048452300800000402040040208000840050100c08140040c00b1205801004810000a110010e00140102818058010408a4014060220a110008010848000442040050800502002c00202008108508242050c00100142402c1010021004204a008408d08c00200900148100200b18418400150140002202510c5000004020210064010</t>
  </si>
  <si>
    <t>A35637_1136_0600000100a0000050a50004aa10000600b40100000000018000808840100400040852802c00010458300040002d0044024801000024080294060204004000004240a00214814010091854000a100042010158700900242002800048208a00342800000442010510200408600510802900210208008000140400000000408340010042100a00102400400a4004094094230000804a010800140000418000840210402200248040118000000840d00108240018000040102848840500210300210800200a0050000040800001040004830a000000c0001080000800011000880241000000840240020000a850402010008c0001a012000040102042910108018000640000348000402000002100810400100208218140408248200000002200000540108310008052000410002012318010100c12802f00a0220040814840080014880004020084884010000a040202410008c40c42808050040008252040500a00a08008010848052000400a12100d1040201080240801800280011860244084081030000010204a01240035a500810402008000840a12000d1081801a54014024200050</t>
  </si>
  <si>
    <t>A35637_1137_880a04215080204220820811000080220000015280091060011000010a410200600808000b0a00001001031280290010a04010a00815040805020800801030000040080080000231021010025801000201800810010000801220a110000408a4081000014881804201001000a84000000030a01000a00a912100852042500452a40400340a0004080004880844220205a302000e4004000080280841011030800001280081840ad0805021080020084201a11080804040010aa0800801044040014000080005020020004ad0024801821800064000281040821025a010000018c00d00200000800842a40142340200540508102400002208100042010c40818000040140142b00850608040200200010608500840012c00000000000148618000300000000000800a0810254a80260041000880a100042000448208900012110008042000000740000510000852002008600242c00040050310010a4001015200001050a800018400000c0014040200040a61240204a00055000000020085024810a40001020801294000004004a400010c42040040a42008a00d10800540102950608e1</t>
  </si>
  <si>
    <t>A35637_1138_0502200400b00010240900000212000000100000808410818140100940010918a5020010040a002312110242400100b00050052008850650400040000018308108a4014000a00a00010020080004290a000002500400000800200b08100400a00840402200912000e1040281000210020201801000001a00004200a000308508208c10e0220810281000040045010214804010800a600c50802000410000008240800140800500b1040a040d00108208118008002208410c00942240408100a0a01200204004010850ac18102108010640000200412040440100108c0030a400040200808010608012050010600a10308b08048050800c40300140008040c0004050280a00040000200284040010001a608902600840300210252000008402410040800400a0005000010004a80a000110c1044040220001261011040000210030a808042608040a48810200010418210300800c0010804a01220051000000094220020890810020081080021220040001080801000010814070085a040040000052000e00408c00100e0a00201000884a000100a0010800020030841001094810021050</t>
  </si>
  <si>
    <t>A35637_1139_021080015214210204010810005204200221010a11020260240220000004a110410608942008000318800000400c02442808148300a40800c4000a000102010a4000ac40442200040c0024021255284881020041040a058010200000200000102050910600000508b18408248040902940000510500800810002100610400708008810002848442008a08040c00100010000010000410540600252002000010410100a0201024820064024280220a14015a510450808000802112248400c00402000440200118c10b0040004080a210008408100a40010840040740810a10c00542000158500d00b0080a902802100000008058002110000300000110908218800140108000e0090841010060a20a402008200a48810842010608000008800000042200108008140c00000100000210008212042100c00840002908c00850900000002050000400210c12408142308000748002040600008010100040808d1034021004040001a80a10270030030840080880a002108a40000000812a40400702102440400402a00012c00200100408840200c1020021200890014200a04004800204030</t>
  </si>
  <si>
    <t>A35637_1140_8000048c0040081001a000540610040800012600110002400410848142008200c00210010002912540208c00800842808218448200258808010b02208342700242000010140840010400b12a00040008018408008148010042340b10300000008800000a00140148100012008400340202302800800208840000a40000800000050150008202202010410810d00000140040000848040042008042200000440c0a510002152052200b00c02110602800040e0014860040004000a10081050881004000204020a200000052040200000250c0881024015004014a20001815001a110100a40208500200208040802802400018000008040402a0020000084800011010000200000810a612102842100040400600040c02102850412100010800010002240602318a02002c40208018002100800040000242810310018600e4804080211001020020a80005200811805a508c40818110200900000300200402102408240408d00500050000008002410100048640100a4080a340800408210000400018502c10b1840015080011a408010152008540008a00400a18000a5240200280010000</t>
  </si>
  <si>
    <t>A35637_1141_021241000040800220820000a208000040100240008552052800c00240000c10440410c0080a258300510c0040ac12940150002808000002902102048100b1800000040210080020011820244001020290240241001040200000020025210840000240030285060801000240881274824010810020824880040221a002200250c4850210200004010090aa1004040025241041000020201004210221820840040a802c48800108e00542802000808200512810140e00000100108248008110040500000818602410610a02102148212000008a00400840400310302100242040410400802442000c08a1000210004050a210008450010300808300800010042800000012012d00100002d0040800811280841000010200005221801804840880074a002118000042240000a40900410000a42012102102940210410800a00440b08210612008100040550908300102808010050452008010000300000008800508100700a18200410040042202008f00140a08150440342202c00a10010040508042110800210000500100300008400000a0210204204210a30000a040810100a0014230</t>
  </si>
  <si>
    <t>A35637_1142_8e58000500f02802000a08640600010800302008110442040002400308002c00000a0245000020840010080204080224230050000000a41090040080a000c00e42000840a0200025091060000010054010200a40000a21844010294000221840024001064a850008408110200012000302440b08418850000142000450a00d50640902000048600410248400c00d00900040518a12008002600258050100b08c08d0080880000a600400008450940010100400440010500200242000018b00400840600000040c00000002842c40812512010240202000800002040200810840800100b00708800612050410200812402400858008512b02100000100108000c00300048140a1810820045010000a10a000100240900b00150008410440a0840000201044030060a248100000250412000010410410700250208300418040410800110010d0080a80a140500a08240110100802100008a02000110240a00000008842100608010a4a400b00800600000410018402c00018400518200a08040140808042300600000140440a00050000202800c52900008118000c40008452208100002d0</t>
  </si>
  <si>
    <t>A35637_1143_0e42a0081000214a30840080824295014001241041040020a000008010548908012600510b0000a14011070a400012008900040010108008000840812218300e5000000040a24060200801001201050035800800001821010080090014a410150440800a40012208c0030880294040204a40800030000040070085a01a208a42440402048110100800100002802408040240810840212500040908712010018412040600048210408c40448010048208040000400010d12300108100818002040040202200042810400e00500040200000800450840500402a1a300608142048042400048150100802000000c40800012c08608608000448150400810200a42850e00850000510118202000000100000310e4080a402e0004020030884024294010a310000210c1881a00000220040880011281885210000050030040820804070005044221004200004280200034820800885010004804a50a11884020a85004021a302200008600c00140910100c1804245804090a000450400000410000808100012008d48052402008808400508418442000802040000108140400112008208040c0</t>
  </si>
  <si>
    <t>A35637_1144_0240a00010008800042c00300000800c42100012008342202c0010080020020091a200400600302100c00f0081a91030081000840820020015004a84021a808040240050302010418200040200802940002248008050602010000002440000000000002840248018310848400000000a08240100a0204a802108802108d0030020090000204a110e0830240a850142818140800040a0080240230044040021041005010800011021000064a11204820220a30050a048012040050058100810400010548008050910110042002842010102410900000c0230a840402000802018040808a08000800250a0040010a850400000202850002002840410208040a00140640102048400400212d1080200004090890280010094a00024850041820000040000011070000040011224a810002e0080aa00010648248000208108400102c4080004210004040845014004244821014001200030014010061814a45804200830040000000a400940008a02050008250450400200818048000e50010002200040000500840800c0010a002112c18e00010d00408310208a0030064004000200201081</t>
  </si>
  <si>
    <t>A35637_1145_0840012800300200548a00018002010108040410400c0840801204090a24821820804000040090000030085024a400002200042c00008a40902a00010008810342418900242008410c08200000040e42002410010410418400c08b1a000000240202400008242210300e0020884200280030a008410410512000140208308800c0005014a002100110240008840808150048000d42002802000b40400e00000002c00040318502110500010000608802500010200840010442200100300002040400600102218018810018810442118300110008042500500200210000408012000a0800a400200c00e40400108000040000000a4a550f0011001080841020ac02002008050210002c12900902200300110358a0880030001041030000864800084a94a440c00110a4800070011024090805084204080824000080841201200040030020071044804000084200000200800005004050221800080014021001294000800230000024a002c40000512100940240c1020005201a418210002142200010240500900c42c1060214800880010a000000800b0850020041060000000000040840</t>
  </si>
  <si>
    <t>A35637_1146_040a05045020a01a252410002800c10408a08248808800000140400b1060060044a202040d0820a012218810850102000a02208008d58010540000918400118240c00052000b1200840810884090270880804000001240201240a800158710008240040c4805a000210000800000402002610400500800410800248110c00252c02450040040108a0041041201080021000011820a800910200800042008010000110000300050200010c12400100902450008808000400b0011040021810000810020a240702000810600002240010018010010210440d02848402200410802840402800410308100800010442008040110600000000000848258510000010902800840110000b4a600012242000500400800250000000802702800400a08152048802200800300c08810348250000110a4a40010020010004011081a818412040800100600100400542300240102000258012902a0021040000050000014200004004211094080081010a040212418402040002100142100000142012802240a1a040a10002400800100102302200040612000148100110700a58208d0020a10000250</t>
  </si>
  <si>
    <t>A35637_1147_8000800000000b10202000010450002408150018310a08240000248a00300008012812440902012008a08f10000010c0a00a112000100c10100000002010610010402140100812100818448000002200202352600008400112e4000020231844000040000a018600a0044000201010880a208110f0040a400102040500800802e10c40000a4a002210902040140008150400010700012010400012040808008000000c48000110000d02000450400100012800000010800908a12000508240a4004284a80800050010064000210010000a810510050040c00002442010a0040a002108002018000010818800602958040400002200010400a10402c00010800c02040240500000002048c00042100400000400040010048210240510402808110a08100050008e4240014050220201a410408808850802010300810818640100800b4005011024821a04200a00844000850000200000235044020820204080020080040040091004280000090805a100800048000200b0040040000a00801050090034800080aa1281080821820a400c0080a440200052200b0081200891204800200a90</t>
  </si>
  <si>
    <t>A35637_1148_8848042110808200400a00448010000840000042208002852052c0000200260830060804080000024200010004a00080800000a300040002440542002018200400000c0290000050201010080211080011a308608240008c00800310440c1044201880050010220a500012200402102050000300500240012a4a04005201090204280030804040020020240000060890010031804000201080000020241084081015250281800841804265080254831010200031880800070880060a000048a0a100d00000440108a48010002808202410000300208850402100110100810052400000100700708800450040000218058e00d00012012040108210800018a08440100908150608400200400000000402208a18810150408910108e00010c5004024800a042a00900040902600148318c08250050140600800140408b00a18812208010408c08300000500a4a01210880000020000200220221201800020094024205a008500152a02100a4024000010000040210040005a140800b40400c10900140202408000000812202310602800110802040000008100400008c0080064000240041</t>
  </si>
  <si>
    <t>A35637_1149_840080a11020090021010080a208100240250410008410400c00800a4220080001220200210000020820010005804010a81005080841ac00012200800100018a00a08000008048040218640c42800800002450010400810440502048642300218200050208208118100012850140942110002008018202010100800240200a02000900802300002000850402440c0214a30050004a040142000a00210400200240800800800108100940610400e0800a04801810800a00024a84855081081880084220885a01001060804001080080800000004040a800448a5054000020200090200034201a800100012452000200110000008a40040200000010010402000c0054001010240020201a81214a840408310608040100b0020031801011204000250004240080850a008402c0084820240001860290014090060050004004040010280040020020000284040a810408500410400400948100002200202852400a0200804880060084255280015040800081001885024210801020865824000010004031031000200a81010884044a90010041001260004064010801280054000010000050</t>
  </si>
  <si>
    <t>A35637_1150_0c40840000100a10002010652008000900010248108a0a200400002818000c10318008402240250008008552a00402000018100200400800800200152202800610802100442210000008802042102800000100810100402052408000140a0001a04200000084010000010000a000108102102810c0084004280ab00200300458048010000940740300118010810200a0201081011000880200801a21240004a41000074290a600208000210442248012108000210400400400008000000002008500800000008008a42010010440048008400108442010440002302110540200000d0a11010200810880294204834005000861a818850200010208100250c0201020224040000040225814040a802140200002002c02200108100008800240040c48050542010900202450700918208800048240400540202018a00708a1080040224a502000010002012808842100208a00248112002900640400008800d40840258010400800c02800c08048040308148208012200000102800110850042000948402008300040142c40012410708210a0201040830844050014020a10010031811220</t>
  </si>
  <si>
    <t>A35637_1151_0840010412c42002000000a48c08810108a08610818008012002a40002402910840e00110300002302408d48440000148000012200110012800e02208200300000010010108140400400510018440008050200000748000140902000500100a02240810400300208118850c1000090a000242c0880800844080020001a118040a1080030025000000004a240900140008000918858200050c0a00000050060060040000834804a000810040c02a00240040618002c0a012042110000d0010041080204200a200600248218112002a00300600042008002a08048650800d00800800a08212002408018218100140902002100002448840600002010d00010812400208200100000512252000c40010600008048640000000b12600000a00c02c50e0031000a510008a0000004a050550100208010102102a1244a000600808810700800040800000a10000408050018018200602910000a42140e10610400040040110400008c02200040a0084040011810a41250020080a602300140402002000100502400208448110002800048500d00040410902018300e1001000800040821001200</t>
  </si>
  <si>
    <t>A35637_1152_000800014084211000001834084240080090201000824a80085200024040810841000895060001004020001024001040a802100018e0204a04200024010a000458202810d0014010a800842a40012b08818040208a1040041014005220a50010040211000820004881080880005000020044a50040001094080294820060834840880204090a418500000058400002012050c00010008840208002142110000410900d0a200302608300a40140000818050008c4005001240030a100200508058012002002210010f00000052102040000400000400912100200440518900802c0020000200040080801890034280071200840085010080000055050844800a000c00000200010110200040a08202200000052648910102210012610400400840700002502900818612100200a42148008052840100c40102212908210000010240308240200702408810100100008800a4ae0240000834044ac00212a40000800040202a0050200800054031824010840a04a80000001024091020081000004a202110308c1005005010210241a400800040100140800048c0090220200044030001800</t>
  </si>
  <si>
    <t>A35637_1153_0208e4a00024885001230824080200030881840a31030000000250201010200000025080200a000410110f0a800d00540808100000452a0a000040310000708058012050a0824274050000041a100000a10148e0005804804200210241201820000800084004a448008c00a0280010000050880054020040204011014040024024840000890a042208010c0204050200004a00804845045070025a00800030a000c00f0200201280800081240020080020800024001810080800010a400910800010e0004804a00041841a412108a40100a08c00a18110700a0840a60850040201230004040081820000044080214260220015000a11034020801221044000095060231014a010808c1805004290a01050040044880000a01214001810204255020001a000008d52a4814004010205080005061240080821a000e0080065800200084010090020a218000308208018c00100a10810000000252900500e08040400000340100848440102808200040308408808050d0000054881080000a010042008008000010608002c00018402c10300440540400010448c00248210402a0000800211</t>
  </si>
  <si>
    <t>A35637_1154_020080080040200211831821000080084a81001a000d4000281000a048218310400c0000040004040201080a600010300050702a0094800001010a04240060840a810000108010002610318812000040200048300202618000000800000a18042002442842a00318400100248040208358700408000002400402102250210058212800440210100000500210110800800202610142802902800808142800810a4050080090800070824840051004230040050014800004000a000000000952048442202108402410c0a400c4000804874280040001281000011014000820020a400408042102810100810440a40a1231060024040041040204050250094040210010000200a00040004080044004000830041000001070200010011020000200000800800a41820001050080a350000008000210c00040158402600100e0000054000011080040080800220200a000408408240400640100340000a02c0000094035200261881801040010014000200000221210004000240001040800040000800221000014a242100940000600018000600000348802418300d12000c4080001804801</t>
  </si>
  <si>
    <t>A35637_1155_0018000010502840010100d00000002000158108000600200042000000648700640202440200000010800042408900148000200508008252012000842000018e0080a002800800108708800000010400a08510a1014004a002e0084a410808040008100108008012400000002142f0000020260014004000210000204021031840000240001801841051ac42000300000200800f00a00500c02048048810402c08000540240048800812010000842040408408700000042202010410d00002410800440102448108000840000102052000710618a00010208800002410c1000010010090840200885004041000801205880010205044044220200a00820884010080200001880025001010000a040042110210200440408148002608000402102000002000100840812842808000310300442412802a00108352000102440052b40908352010808800c0020020a048000b0040800020221044a20080200a410100000548010000800440002010010200100240800100900608000800210802040000202100000602400c4285005000044020000000201050031000044280024005010040</t>
  </si>
  <si>
    <t>A35637_1156_8402800902800048300a0090080a54280280201020011020a000802140450700140c4a802108b08100000a00008412240052448800110800040a0280234000824a64040004080001040015225094200001050a00060201004020230001081000a000940048210610008040c08142440000000008100a42400900a40640200240400110800010142000350800900008a4025020010a81281250201820ac0030081084010001040a10080040000034814220020811a240400000102208600408050040e0020241a000c1200200054204011a108800040500900202102200c0801010234000025891080005280290800840020020001014004200844021050020004080801024a00010880a000200110300800000c08410008000008a1000085080000830000081020200000020220804080834080201084a35010040041000080000810200251001a010100c00300312908848218000008208140100052000802700100708010812240002508818100018100000042148a08012208240400000a02250400000840002c40000800058210e0a60040000285801000000004880000020040020</t>
  </si>
  <si>
    <t>A35637_1157_004020200080801024081031261080030810001030824a408110000240110800902450110040818148010010c42000448840018a1020001244000a14200000814824280280215820020004841014240800840001081800080000a918048000510a10540000048100000010440c00c0000265050861a20004000801804040821020a010800050000c00c0024045080291041020020040a81284020860a908440400810340008000200a12808540440042200000c40042050840802412000040812500208040000010048048810042348400000b00018900040008040000110210050500010410800108048042000000402118900a12000000a0011a000600448102140042018d10600000812602000110008040c1040214020040210061880841024801061000000880a510300200200718500018100000200102518140040050008000148200808208500440800658808400802c42000100210c00300018812400248408100300402040c0890200861045000810200a01010200800820004090801251a008008000400800100100018110c1041244000004001010060004000800261001</t>
  </si>
  <si>
    <t>A35637_1158_0218402802d08200100800310400002248042410610a08c40802548002202400110048040940200000300052210400202042310800500000400300808102600200050042048a52000008940010000a0020a000200050440000440048000118640e10010000050410110908000440a00948208610810400100c00818740800108050840000058000010102408400040158510a00300200500100b08250000402242802040200600c08040810050100100050e08c02048040540002400500c42808040000a42000800102000012800142058800850058000400008410218240008502900200008000210000500100a1014801034040005000a048000d00202a18d0020090040000040ac48140500002250a0005a00800080020054a00030201800010290204200040a04240000020200821000804201204801074840000860211094004871001801a008000000052602200048248000200210000100002810800d08800000008210012840040b00008300108a40840600200252600448a42942602000008800e4004800220a30851800024281880010a00001290060021041200000060a50</t>
  </si>
  <si>
    <t>A35637_1159_0a00448000140012200018410a4040000020000280024840a010100102242410008408110800008012500050802000702000000800a58408842042900402810100448400142900040010408e0a440200200158008f0020095000a010258000c00802c10402000348a1820204080000a01020011024244015050801030840010a200800440208012200e00400412b08118002c08600600042108910202008d00440110d02000008908218a10010042302500400908000040c40002500610500240140c42a0244080884024210040010000011040081a400c0000000010800a01251210a840010210440048842202802212410410810400000000718018240c10000800008302c00c0000a41220015844010804244a010200000040918200210842000200040d00300c00102000852152000240440010202208000200d18a02d10800040200010852000900b4820020a10084840090044081040040030080010000085204880854041201280000a402000142400102002900010000c00c02800008b48010000048802040400208448800a40402802000000100600a00000c4000020025040</t>
  </si>
  <si>
    <t>A35637_1160_010a01255004001200000840a800040c42300300400010000100600002208010048018900800a42008218000400800000208310408840a02000000a02440108108048000100018000818310a4240080a00800240020804a002208150000000a10e02c10048b00400c00208000c0044031220261020020a45280001040080034080885000200011080851260015000001020200800000a842100b00008d0024240a05000020040a41041a20010020030800a81011001040210084a002910000042d00802000000000310800040b0001000011884084004210000844031040080004280284001241801220000084031864890800a000802002112440500900200c00700018110000418000800008240410118f00c4080030005040280814a00281204020024221005040044050a00200001015084800030000800a000a40048112708000040508840008052200802012000008850802000100048a1044a240012a00008050400a10800902a02112002810000018000a02308300018a0041890014815041010010000800004a058540100440002400b08840310100e0805004000010a60080</t>
  </si>
  <si>
    <t>A35637_1161_861000084004201044040880800211010024010a408010842000200808400400a0a40850044285045a81014820a840002118440300300250102208000408018e00610400708000048100818048800900000212600002c18812c42008540010800010c1014000a000300600000042208000140000850e0ad0030001221010090ac18100100100408e1801a00a010002102102200402a00000240040000808040050000800b00100000310008102440158000400140c0811004a802218418400240840948000100110840010102f08200440400c0040010020804020831081201a010400052540000348400112000a00202100f0001045060200800a808b10800410040902502010e10210040400840002008042000050302300218300a08040540202102010500842a10910202810100a00000040040102050318400100012800048200612900110c00900400b40050800448c02410e0a800100618440c0800004014001a400b40048802208110000400200412040000918000800008000000e4205005060860001800030000215040081200880004021830000850080004080205010811</t>
  </si>
  <si>
    <t>A35637_1162_001000a40004084000891010220004244020041281800a01050040020001a01021205201094000824090020844040020081004a20094a80081080004000060010a40840060010a142210400c0090244001a040808000a10002d00900708600458002800008100000100a40618110100202100300c02418150108100000410c0a040102202a42140110848210000e08800112210800a50402c40052610c18000000402100350040000140008550b0a000000f00240442000340b1a01201090060040010080230000064800a510140108358d0081200200204a00824080880200004004280010a400c10602840800040000d00942002800008050002018800242000108048100a0081a802002c0a840640000600202000202040000000000048102800a0030820884a410012000300418110100250102100008000810118412c00c02300000200c52850400000010208010a10800000300048102308e00000010440050500210340e4080004a210000c00908400c00c0820021200044000a00284005855281001044880004090864051014040080080200020ad1020a84800014080040890</t>
  </si>
  <si>
    <t>A35637_1163_0000218100e0210860040000200085004001a24890810800a01004a018040108010a02440102040010300a08012052808010700108c0044800230801020ac08800a4081240004230010800800200050a01040240085000a010042100448000f10808042b00b10440400a00850002648a40002b00a02840000400902442010202042040c0030a44840801881000044001821240014240081004000020281821800051044081201201034820014000084a500000d0084051020000a200008d0220a000108800300208050800000208b1000000000a04040000815800221095800280000a010100300008600100100040200a0041080091274081a000400058040000a4830001010000040850090084020810040a21010214200020a600840640100502848008100002810000e0020800a808000640100048010510900010400840a00052400000150c0a110c0280804a710300412800040010000e00208018400042000040800740008050900200540200402002952800242000000800e0200040081210841865205000040025010021044a04204050a84004290040aa0090040000001201</t>
  </si>
  <si>
    <t>A35637_1164_8518600000008100040100910040000000208010210240810400c00110402010810800452602208108400610448100008842008008412a42410a40002000900000840110800208618500810000040342100058600a4000850280a14221020800041284264800004041040081201000084070020844a200140102000010c18100040c00302b02400008000018042300810200410050412410108a08440600408600102002002012000510810c00100008218408a0a000410208140358908400000000e02900340218e40610000d02142108810402808040c08018400900408410112148a0010001800240001010010a500e00010842010b0821200840800040a14010200800280884a01000014200a410000900200500042900048c00008c0000004200a200f0804001810020024a51000031281000080820200800004a240150840110008c08040840000000a0a000e00400040910808140502a00600000012248010600900548c00002042150012108100408802700a50000500040000800108950012800808a10440a0090000a018148000000c42012600000012008c0000a01850250</t>
  </si>
  <si>
    <t>A35637_1165_0a00a00c0000820004801044860ad02c0094200080080005005010284200001040820001004010021220025025a10204090a14001844000000000015000a61000201241280201004830011024a800008b00400500100a0040200001860200010800a910002000140c08240200000408302442508002012050a0024a30081885005840004081040800814800210090220000a800158a0040204000a040808410852010000008200218c10c40000802850000208202000000208018500b00002a02440000900102000308810040a0020820200824000255004230001040020804a152200002102000802c0a050448200212810802210040100100200808502210000b02250400210402050000000300102800918a08000000000410e08540200840040b1805a018640440c0030024800041024020000020000814041060245040040224004020030204ad0010030014030044020a400e40058002800110012400102840142c18002008442000940600b10c00802812502010642118800042400800900000110900000110e02010302800e58240110840810010500202c08c00c08308408c0</t>
  </si>
  <si>
    <t>A35637_1166_810800000050215001020080820014040005200000000a00800080280800010095201a01204a10050050814220804040a108040b00240400442840010200d00c4225894200024014270000a410c12200040048200000000112040002240e10000040510100202618010112000c0230201000021010a248402040a18112910018810c42102212640e0811805844080230045000800000014040200050000085200804004200205080884040850000805001000040020204084a800018100400400c0234014860010040825801020080255040811804015204801004200000081884240804040800801060040020084001a11040a050500c0020820260821a400d00800a1010800800004885000210000241075060a100100a0810210000200005040a000010200742008000c0000821021880000000000010844011020004a10210084210080010000000200000061a200800800810000100100b0830a240050348002140000600050802740040500a1000204850014000a508400412202c0280215a00041001001010010004a212408810450100000012210000108a00000e4200000210</t>
  </si>
  <si>
    <t>A35637_1167_0502602002008a0031011004240010004a902012218400a00100a42a08048008a00018402100000008200010818c02040140402c0001a000000a48010002008408810500600310400100a0280200264834010001880200a41000010a208c00850002810000940008418008000950540000310400008000802800000400210100410502c0214a400a10250240400000a50002310d5000001090094830aa00140200410200018000300c08c10402108000142000408e00000000000500400000a0a012840100000d08400002910748042300a08a00002000000012012508042052010642802148108908842d02140202202a1800200040014000070041000040a05214290021200014805080000220840010004201005000204804a000c08e48040042000100010410c08d1240031000000080000044000a018208400252a0a04080001035080860005005000010220060040200000230880244a200110800110848242008100c48848140140008540708000040000800150000400f18010450d0890034050001064240250020a402400010418042608202100a0830a20294230000251810</t>
  </si>
  <si>
    <t>A35637_1168_8a42202452600000158008b40402900400302100318000608c42c02012510a1004020200030201000060050a010100000300002a18f0881a012400100100000440008850108000600108010c5a000200100640c0080080880040280000800040225844240a848008000200840c0204200a20880000005a00200034040a10800060290050000011000000000a940800900008400a40050000a4080a010900040a02010500100158110040802010908050002800408408050300a4021020080000884000800040840800244005004001000af10200c0010010000a002218042012500100108208800500008c00202158240900000600900e02a1a050408450000400c0035011021020a80004000a002002208012040502540000010008840440400200010300510608040500040a0860a30040240241000a00004a808100000850100058002a00a0024000030021840000004041011280001001800021aa08010e0010a340c0040020204030001010021005844040200004040050000a040002808200208100540410002248142100200d02c0200060804030060090080204294884a04a11</t>
  </si>
  <si>
    <t>A35637_1169_051005881000085074880014860884240a30a140110308010000142108440800058840812002200050a0801a00291000031a202c0041041080020291031800040220a01000000041290080a04200050020050001080825011004084800a110350018002b42010410800000000d00000b1800000024800011240200864800801080a00034084204070000024010020a10064040010a21094004200204000040a810010242100048800012412c40342810150b0040824a100408b40400200008c5a000f0004061091885204210050800010010001a008440200808210008100200100040b1800050881000090020011000220034804200200a010108a10202a00900802800602400118642102202810200d08812010100400250410808300400140d4091800a200a10010800142040000200902002810000000000f0000a400010200100040110802008000240002010700840a4a00020a040010008000800042002140208a0005805880014804a058800100600000a00208000218500a0000080000a018108100a00800200000410400e0000010090805000a40044004080004200011010</t>
  </si>
  <si>
    <t>A35637_1170_0008e00800c0a000010a10942802810700048208000358c0a050a0a05250241010040200220004800a41010800090220005050200080281800004080811801001884004004080a51080000a210c00400000510000b0a04001000200a00090044000200010821001a008208452440000a00100208900c00900002002108010100842010c0030244000030205210040280015000010820844214200801850085a85244000814000040010a618802000b00102210010850002508800058008608010040040b08000000100240400240018010810c4041041044a20804a410018640102800002000208200018000142000008000850012110700008450300902208042042000000a00200242c00a02040648018108408040002108042000212e08850402058008000100c50002800a00010000402c12c50200802200000008810000008002608500400608050600240200e00842010100140300010c18002400902148848402008000c10010208802000318300000502e40908102a00500600450000840010000602800050300808000100240808000240010500a0000000880200084805280</t>
  </si>
  <si>
    <t>A35637_1171_0058418000a4000030850031024010084000000200060000814000005220210820005805080211000060020000000084200021a908d40000402f40000210000052208050100900310410318840842000018440008210040900508110042000000a0000200804205851000000040084211801201810000a810a40100200a00d00800002c08208548910200000000c0201031a508a0261a142848052002908e00002000140002040a08440800000100240100208202408100000002502b1044000881000030801000000845004210a84004000000061a400200200008000200000800442208000a0010a810500a00010508000308040410608150010000010008800800200150a0064020080004aa4220ac10900c0000060020014000084a850002a00b08200000010202000400850100f08408000052300010200210858840110100200600b10810800050000350100000312248042e08848058410052018002400802010008300050140c00108110100200002c1020801200a600240248c52108002012500040000810a0800a400c1800aa52400000242540810052800402c4010000080</t>
  </si>
  <si>
    <t>A35637_1172_005044884200020a202100408042102000058102000018400842140040008c0040a440040808200040000402a48840a02a1801020090a050900c0010264801885001890040010820010044001850000220041a318840442842a0205a010000450002000400008000100040002000a40048040808040c00102040902200000202408040008100102e00310602000000158540010000040900600102208c1020080804060200015010085880201084a048010010002202810200a40000e10242010012440a1070050080021880250200801a200408002c02900000102918b1244010040a85005020800040ac0020000020010050000211040881810800020844804000201041a000010210002640348550400310e00100000010010b00c00202802200048000c08140c1a010e42940048e00a0000a100808300100500448202140002000010600042400400200102408010210600450800002000800058a48000840912018000108400402308008342300a0280a80004290005800090240800200a01a608018140c00000802002250500600008000040008208000440802c00242a1014260</t>
  </si>
  <si>
    <t>A35637_1173_0202040000048902000410408000010202202012900400200010e08100008b1090800a002200940100410618000810902340010408040448d02600b0020221000025a40044801005200090860000000280010000854040091040200a008200800a08000c02050410010802202140d40150000310042408c10000300200908008440100140002000c08000050800000000200210c1001211054a840050800810408400840200202110002802410d0004030a00891801080020a05044a500018818000440018418c18200010442f0211a150800900242840000210540100e02a0a800802800012100202008c00008a00010500808610042048200748a00840800c0220800064800084860814020210040060051044084010820804000840881015010a040040808202e02450000040010200010018000100348418a00540008452002118050500050010140800300200108000a10000040a08140010408012000102a02400000808802040a0a842040110150002500e00a40018018240a5051210000a100f00000002812108008608600218c0011080200044241820200005014834a10810</t>
  </si>
  <si>
    <t>A35637_1174_0112040100848810412600400850410202900010600008000000e4201a20a00001000811020014034080084824280284221061070020080004240080a04000010881011200080a41020080004800224a002012a00150c00802200142050100200400d00d0291030231001280280244a040008400c00a40c00908918502000100848442040000008a08002048140a4005240a108202000010800840250c0881a000840140240300018b00008000508a4064051880244040024890801a90004044a000a0a11215020020000095000820a002000510002d00a00118000000810808410602000458c00500800400d0090001000000021a84050001800010020a000840002008600c10102a0005070014010811005240a000c00000510010048242000008042318400802802000140802300010018408012308000010c0080000801084a018000410240840042800050108210212200802102802440110802c40100502000102400002208000000002500700402810002002050048900000410040b02158008008618450000842000010210002408800000002108600412000802e0024071201</t>
  </si>
  <si>
    <t>A35637_1175_040824a100002800610008800008800302810210000540440802108348042908102c1084214010001001041841080090800045a21020020210000021a040200908200002208008210418642410110400048000618400442952d48002008000042a0000020021054210005080080280890a612208808212500200802642210200048100b4081020a01004044045050a04044221010025005240020040a01080201000220880230881020205000240010845020020080000000831a018800240200010500252000108008202542840040018108c4021200020001001070880a042400040202440300100810040802048000208108208142248a00002200400012402000908142d1021ac42000200202040c10810a18400d00000002200010040500240102218208000018142008000110400000008810000012002808400450540102000408000000a0200290224a01011001240211204080004001041220200020800824070890020090004080060000025040080240014000210015a00081034001201001000000040230814010821821245001044000004800805000050080020040280</t>
  </si>
  <si>
    <t>A35637_1176_0100a00050000242202808c1021814210894040001004240a01094000045ae00000000100800b02108108200040100208000052300600008902000112002100140450000800840000a18a40208810442002452000018400440842248718008002610452040102200100008258c1060000a64210001080a050500800210c00602208000042100218d10800000002a4280000841091a000802748140112000000800010942802600c10248240802b00012400200008410500d0a048100000300c0205220a000140000810848402008048408a10002e10842100100008c00812000842a0800040290050040040080200205220020044840000805020281890084291010a01020821000064040090090210280800a00014044010220000840840004090881805040004881284010a200402108000000800600242402900e10800400300058342010710040c0280010000000061281051000201244051844000841010821a308110648400440400200218600a00818000140048000100000a02800608b0040a80805040204010215060040081844a000b4004020801055801884000200020821</t>
  </si>
  <si>
    <t>A35637_1177_0b10010c0010a802100500a0a440100a0a008442810000c0800004021a158100d02240002008002340508410200c0000a100102200042000102042902410000808848100000810000000940802c1000010014280880a040000800158042518600248402008002040600502000010e00010000c18010a00040400800102600412000000442002400010400440100240302100d0020000290080210801801005041844020824200a900000452000400002308510942200110200040042a08002402910a00002450a00400a0001284084844230095000201080a058040100300008c02a00240300000800a40812440110000900308000840400112000400200210100700908100100500000800840250600000710018c0080a14000240020200201040281040250054005204200081210a800c10850c10600048510010202a42152200110140900400208410240842040100100808810800240508600118002412048110018000202840802908102000808100610800000012508000900008010202240448800042c0801014010034891844021880280281240200840021005040a20001a80</t>
  </si>
  <si>
    <t>A35637_1178_8950450402200b0a00210824085000000200a040110208400140a00240210100108840410102000000208900000c10040842100000008000440940850408610140802802900100010500c0224a002008052110410810808140140a0004290800800010080084020a70040a20a01000220200800000800050000000200a210940210100008010202000200c0a110302212010008000418900400040040200158a4081200805801040080a60080204000220860800080040040010a050800408842040008112210400800002400e00000200600450008912000b02002c10200a0200030020804020050044001040000211231040000010014a840150800808200c40a00842408410202000c02a00150300808142450c12200008050010010040840000100040810402c1040230080844800090200ac10c0a15011201831040810044a108210310400000150840802410100408800802c0a05811000040045000000000020000051a00015004801a000200748800912000802010000a40000440608100542210002840000200810408a00310000140208240248410300a58010400a0060890</t>
  </si>
  <si>
    <t>A35637_1179_044020040000a100100008d00800c00800a1a200008840408002d00102000008100800912840000208408c02410800040208602810058200400040000202f0000804811000024004260061000084270011054211080004080000814010880061044004040024000281015024a850d02300410008a50008000000000408000b10a02910d0a80024010000001000014800001201014040200200004060870080200000030010a10010034000800200201810030824020000280824a000010c00000812108150400108040210810002800100a00108800042300800000200000408800840900440800012808400848142308000400008100a0024a100c0841a400840008000100008000240110400a18610f18410042800008108052300a00410042c00850402200300200440102100202300c12c1000000080014010800024a00004010810020021820800280021001080801281ac0200000060060801084a11060804200880081241085020015010201841200055000820010820000a000140100050412a0014004050240020260a11801040840000001204021054800084080a00a00210</t>
  </si>
  <si>
    <t>A35637_1180_020800204010a21060841081a600010308818002300d10e18102440a42018800702410010102002010600508000010400100000108302a00100340048212408e1201240254081020291040800a90040a850200010c1844040004834210a210048a40512000008500400c0004841010220060801091041284000211804281015024204024834010820040881054200200050a20801000241040000034040080020210220001235010000200000010880021081020800a010840000208c08202818010008818050008812c10900008802008810008c02002900042400208e0084000090034005010894200800000200020000804800040214014000040011284054204011000a410540048800142200410208f0204200000220040811040000001004a04000021060020a112c00300400b00208002900d00012610810458802010200300010008000810002b4080a240508410200400040202408010b50400052a0010044a30004061004050000005820051080800054281820800801a658502a0201a250408248010450002000442800000012000c0020210220021800000000801060041</t>
  </si>
  <si>
    <t>A35637_1181_8842800800d00048052918410202102048000448008b0a04a102902900112d00100000050202040042000440010042908258100900100440810008208000210c18800000840800142400600810410b00a0800850010804895000010270a808002018000e4010201080005841801080000041830060001880010024010801841a05000040084014000880220a000240940110710450e0200000811060060010a400000002b40000100a00808002408318412c0040880004034221810080020800a44214001004870015000a012242100500008e0280251070084020a80805020044084204001040000004000214a01014040085200080084080a20a108250400440c40002400300848042110b0200a200110212408100400000040d00200410400000802118710d02600500c40208200000208812840000000048000152a08400040100010510610208010608040040008040440000400100102300442200110400a0a400818402250c10040000010808c0000004244200000200091800ac1080811045a41821081810090880840830010800040210280211051011024000240200200260</t>
  </si>
  <si>
    <t>A35637_1182_0042242900600108000208202810442400102200400b5200804054a14005a20804200a840048000302800000442110040048440708000042010808242142808000c08040602102602208c4020a00230001a40800070204000050820060090001801081000a80a048900008c18102202310448000152200802c00a0a04840801084054044210024a008110012000040010218018c00040012442000702000908402000302200500a00542450102000008400200900e02012140900240410c40008100042a0201220804000044000824024041000801241060000011820000060880220000234a000240042100a0020241820021000ad00802110018018042202040b00058000208050002042c02010100c0880225211204a208208108002440110000040000010b00200452c00050140400f40a4004220021021000890081000070004030021020005000200004040ae00000410440008042012418440000840000000000200948000d12248210102418000612000100302042800048040c00100242108110340002052008218702000502a40010300848008108d0024050004015010001</t>
  </si>
  <si>
    <t>A35637_1183_830000000000810804a100c00802000a0a140000000148400440200940400600008a0000014804860020821800011020090201090004020210040a100010c10940a00000302308110400c0a00000084a90000850804804a110200818240608000e4010030020001890040061041200804a402008000408912140902208110a4000841040020800050000800a04044284200801080a00080004a118302000608002100800818600000202a18400000210200408c12010050348300240908c08012100440100308e0000a24084240080251020880a00080000000001a100a08050002040812412010200a40140008042000000f00000142400a4004841801004a800702052000d00d00a4000004820a20860010000a000040812108200410012400240000010c00040800c00008a0004220021240084014021260a600000818000c4004030a800002200010800802402b10012010412942000202608600600400102050000400a1004251010011020a908150c4a000008a58110000110010c40c0021021060031a04214200000011050000004001244a00a048000002e0045000830011a51</t>
  </si>
  <si>
    <t>A35637_1184_005240a84080804020020820000080000a010700a08100252010000040002000508850140302002000008c00a48040002942058510040008440c00108400400208610040600210502900210818142c08100412c10050440042c40800500000700840d1200a04000a118200200140048000042800200052c1284a140200800540000810848a00440c1001080200040000830080080020201000a018600000218a0814224000000a508618000000408000300100a00240040242b40518000818848c00602302002210510200002240a1024840024080014200a212012000000800400f0224004230000a440c10408000200618c4a60001010004a008510840c00110800842408818a08400100008008310400050200002048108400100b40012450800048402008100058840400042040b00800400840e02300150000648052040202a0814040051204201200221000a408e4061841020290204801800220085010aa0020a010000210002242858008000808a50110608800000108018042410500800100200210c42410000810610100800842c40100b1814040004840000024015011040</t>
  </si>
  <si>
    <t>A35637_1185_0008400100202b52352c00010410800000108008a0044a00280080820270050040001a01004a802042f00840008400002040510200902408940f0080a058010940002400908202000108218a50042c0015a000a00300000802808810202208852400412500008242818802800810002810140010102650400c40248608000402c00400202010210908440012500008000040010100000010600012202800610402000840152500a00242608050b0800a008500000812112000840018000050450110a4810801290004800015280a000250000048c1a04280014844080084080080010020804801010a200c0280000a05001004040040240230061800024821a402008202540500900410000d0020010840040005080000090200060000a84010000821024281085a80010240024034020864a202110a08140000c1041020240200211a000008400410102000050100910a1080840000ab08402900208c00040300818142208008612812402002410100210842050200008018010e52000100800012000110002240900042050112b00348418000100210000c0840844290210000004031</t>
  </si>
  <si>
    <t>A35637_1186_0c00200000700100400c0875040205000ab0240260004281a000802000242c08800000802600008018000000040000500040208808110000502600200040400140a48100a0000005090885200040040805224000864060a14090004020a018b4245a800802208008400000440100400000142910040018410800100400008810000542002000000318302040040408010440000800008050048100400700a00200000440000412000000018152040a0811000814021000020a200410418002c00c50e0020a210600240202002800802510808d48610112000048010100410e00112c0880004800034044a100840840200400100840810040012412500508002400b00010308200040040012008a1200240030281050030001014841841280a102b00200448000c0820a400c02102118410110800450100a4030840884205040080811001a81000261280000a01800a018008450800240008040a00600000000508818512000048040d1020a10225000000000a002008900640008040240012500240002a0090000840000000041800844a81001024220230000030081890024030800800</t>
  </si>
  <si>
    <t>A35637_1187_0a00000100448112108c10018200140540800200800400812000902a50410c0051201050000014a000918800240000d48808000f18050800500000b4a002018002c0014010a048402300008608410400112050110212200000200852000608200010810902000110200800002c00e0011860200095200004010010814011821064a040100a4020250064a410812040000210000012010010008808442208440012042002110302000408008102848048418118908008112508800200208240000840008142040000718e00000000050008000042800d00040910010008d0004810200035801000004021240000001a052810000400842400100200308a02010000202202052010c10200c00248000202910d02408000400040242018a1084250014204060800000284010020290860001000044080000001a042c10008610000c40b02448008108000100002000010000d10a12810a0a00a00000000260884004001034020841024051040a21001001884a248150000212040100c08400002f4000021800080060805220881a000308a1840014200005024040000001010250000050050</t>
  </si>
  <si>
    <t>A35637_1188_020084040010010a41290000005854040000220000050a640400840100210808840840400c0021060a800410c10100040818040a1000040040250081200800000880004000085a100510c10010810848800748800208810040040052642000100000002a0a308002000050848900100840000010112200000008800042600812048140b00842442e00000a48000b02a02608008440250142240010008000610400000c40108018d18008402c4054201000230024881200200000001a00000840280240800210a100110e4204204204800061830080240000811020000050a410940402a0070000004280801000a010410400610808c0220a940000a00102202002000308000500600800910040012008000050000040208008100500802010900500140012010208400000d4004244a10081a80080030010a200210610200502f4285201001820084210080080a000008c48c00c02e00010340b0004000a002640010040a1010040014200020a61800005001a012840210008400e0825a010042010250008802e00040400102208c0040000881040295200201000005814040804011820</t>
  </si>
  <si>
    <t>A35637_1189_0042a1001220020a300a00858040040948900212000b48008c0200021000011865800250020290804000005241000040a840000000310048000400040008418602840c00002902600e0000820845084001830a10031000240004a208010800842002110840350400700c08000102100a02408800008002010000102418b0845220a000400100210510c10200100102048410010d0201844080230044040000281000000aa10000a10008e58800340210110810750000800800800400400712808900c4001a01a800d00800400048818240c1020000015090010020a00094881004004a008542408c12652802000800000900818a0a54244800000290814800010014081021801021200240000204804030884a002840040850400010002000000802250400400310012c50a02200040400600040d42608010408100a00002c50800000000410442640100d02140008400200002100248a0200810840a60201214010045080070200a000802058440300858c00040800102610708812c00400108318008108100010000242012100100000c5810020810050000844000ad0040021240080</t>
  </si>
  <si>
    <t>A35637_1190_0010240402800040502400a0000a40010001820a10040001084004000250010050084201080800811000081080010240014211020025200000264014850010040864080080011a60070024040000020001004840800a21001034020244240090081804230031244a208440848800702210250800210058000a0204214001054080890040291001260044060000200210060800014ac00000808202200c00000840d00800240100218708810010000040240010108040402002002000718200848100008008108e0080281001004a20a000210600208c02600100400800048e00800040802300808100012110400000042500100400800840000342d0045025045004000260030000020204004020251801011a45000044880020000800201a000102002240f0804000804200a80001011084a05204080a00840010810004081240a840018c10202810402002208040010100e02000402918100700208208800a00100042000042018800902050100000210250052400012100500042008042802200402610812040400500a40000010c42000002000148002010a5804010214200a00000</t>
  </si>
  <si>
    <t>A35637_1191_8802400442402210402400100a10840200148058000d02200c40b02040418610418208400200810140a00c42a00010a08118210910040610000800810050000452000012140300000208040040000008250202400910800400640100202018718c1a14040a000200300010a0050030a00205020080805800220031800880894025004030001a100400a0020004080090001a000410608c40400000108b00002810000a00000600008152408800008902308800010408000842210108010108a48002102848400900142012000540048002a00908210010042100600010100440102040052400418718400810200b4040021024020a00004004a00020040800080050285040060041224015234001835010810020a142a08200210408110a00d0080830000a200600250010408202408618140608002008000000c0850200240080024001010014280240040811044051040080a04000021801850814a80044280a800102108208010010600200002e00a02c10000340100008018042a02400b40000500008812a0881004004021000810220011000881801810800a00001200010041080</t>
  </si>
  <si>
    <t>A35637_1192_0408002000d48008042108440250010300208448200208402110c42912200c00200002400008810600400002858400908200308a00148a0ac4200230004800080800010090001201040830200a012000102008800c1800a80040015204050024000250024030004020080201050000084270000004001090084200844011011260290204000000a818400050400c08008012000018000c10802202008208d0084005010a050148c00240410012002140010d00c08408802000208302200312010442200208000000308a00400042110050c10402002800248258148100c58008100840050400710640a0201004aa4a442210400012102200000502808b1044000020015010201010000245000021a040218058002102c00200100810210012c42108200400100808240542408010258800102012400200808040a00100040000002042240010000e1004064a108000808000000040000000200610100802002208a48640408118c0090204804050a00001aa50510000800400100110a02000242002008408912008000700018102000b0841000234210201050040825000010a90800200</t>
  </si>
  <si>
    <t>A35637_1193_8600202500000808508100240048140c48040010500010c08c00600200358100e08200c0210004001060080000081200820060a508850042012000a00200a00300c0015000804a000c1804080004020a112640410202418040200300400210012010000100802408200208450000b08012010c00100800840140b02240000300050400002258012000b42002510100210200000600048002840010002000100a08900408802210010400040010c00148008300e10610410440000010a08400048840302048002208c10448840000008008410258800050202110050000818000400c08b48200800008212500a00000208a0004025000000214065050020080011050030820080020860880200204011a000402202010200810158010150e00c02d00040152200842018000c00912450000440448540008200008400d00000040800018302400000412442042800440610900040802100850202810012010002440000700000018808050042240010010d4000810010094811881020020004080081011880080020081084020840a800008800100a4000850011094a25241080281000051</t>
  </si>
  <si>
    <t>A35637_1194_0048a0200004800804a10070004890000a140740a00000008010500008050910000a00800548200318008100a1204010080001020010800214200000800ad00810810100100910002000e40242410008340000410008a02800400a1000a408c08250000408202500100112000412908010402200050040000000200408310510040800a0001010800881800800010004801a000000200c00c00958400a00308042500042008348c0000800080064801031280000220010000a812302100a02058100000100408010600850002300252058300808400400908a40540a0010224000200014260201001800080000a04204040080040811010001004a000018000402040100018010802e10042500048040000742a08d1004201200810004080851220035230000880080050014200a210000210410002400100412c00700642800800008500000812800400040802000100208408002000802500200c50202440008900040410500002112300000200600a0200085064000a410810100440000e0020021020001804850220081a04830841285041000200010200861020a100c0000000000</t>
  </si>
  <si>
    <t>A35637_1195_001001801040034040000824801290080084004850054021040230814000000800000a40280005030040880024210034090800050884045205200a800600b1800000801064a140108110102040040040902100808210400840b0201a20840824085050004220004240071000010020001200890020a44015200a052300400402002050800008318c0880260001020010200021814240a00000a950700000008208400a08110012200902412900002250242000210850800400a1040280060000080080025025a800048c40400400300008000118058810042202100400400210400500a08102800040412000c08800002400000440940308800500810000a0280210004001210061020201000085030010890080091004010a00011080201ac0080090800260085001001204800844a300100a00100002200000410602202d02200002440a0000280280000810001080801080044090a808050a1000005a050040312102800c00008040442810200900800440d00308900012000200842002200100010100308c4000280004264000001800a410a0a04020220094000201260a24051800</t>
  </si>
  <si>
    <t>A35637_1196_0200208002042000150800040008400240010700d08a00018540000050400110100000440500240140000048010000c4800020220084080800024000000040010a81290070000211a010d08240100100818000818800000902800a0a41000871004a04250005000000030a00280000005805240011a200000442908008410340240c0000020001800844800244080a300612000c52600800102210000600c5a20a800040a02300000400440012100000000408c4241290084000201890080a040140f00948040c10410008000300000018208b10008052c02100400000850200c4004800201870000001844000805a442010002810800002218200000808800440a4a012102100440810900002a1001800800025881000a302500000348000802c42258218c00958600500048808202300a00202500240848302000000402000b00000410208a18418000a00a40208b1010220240004001850a010c1820044080280821040001280200084280840000865020250080800054a00004021000010224020a40880204801054a042008a10f4000090004800201050000000010200010031230</t>
  </si>
  <si>
    <t>A35637_1197_0002c00000900008400008200e00c10000850042108400c42840600300208000108008040600310100510202850000800240202200008808d50242900000000a0a000802002300010900052808440600008048118040010000500810512200c02010110b00010408500500640410148040200008602000410008000510000408a4a102040108412110c0080a810102048042b00b40450c52000200540f10410008100448102202a1064800a900840002510600000802110e0a340402c0040000250020281a008000048050d0080894040880014021080000080020001855000000000820a018000800a0004030a810012100d08440150048018202000252410800a00200408410908802c10500250442800108000002400210100000400000050902000100500612802002608002008008700008840408a0001a010600400010000840010e00000040000b00802012010042600c10e48100648900048810102900902402410148a48840000002000218610c02000000048600310000800040202958000810102600400002b5014080000a450100c00000108b0061220080204000045200</t>
  </si>
  <si>
    <t>A35637_1198_0142a1005000a14205040080844010050820010270800a01a102002800018010452800000040100048308908000000040000002018140200540108a40002000100842112000010008000008c1240024281045000020201044010000005020804044005064280010000084080a400048158418008042412c40042000050600410608000d00040002000848402040142042040a08400010002000940100010b0200001214a910102000c08000010008b4804020014a04044200000810240001244840010290804a100000618802902100012810240a5804204200a00010040001000220800051a418812a00040340048000210412248800840010410410600810010402050302800010800002340240310008f00000010048802410000a0004080000810240831004044201030200000ac00a18a10000140800512000c1001080080230801000800045841090220205010000880084044210201010060021884054a34a000108208200940100200000410448802000a08010110400100002800c40200300800642848542108812542c0071800805084a000008200b02400840002a0040000</t>
  </si>
  <si>
    <t>A35637_1199_0a00402450140312008000008000802100a00348208040040500f02102140c0805001281260201801081000000810020005024a810002052540408010200618408058800008050500918958040010308200008300248c0244230a00200251841004091084a15a248108c0044815000a210002200110202442000108048800900008802a0a808010010002a02412140300548800208048010042012548418240208040440a4020010000000040050291011021840000884084000810840080820001004080a050110140412002508048010000f40440912a0080200810071800891020001000a800200802000000058050000008248040000908200010402000050102000448000402018012802002140010402400900000842200100c0245804200014061a20024025010080020204050815880090080084020a20810020010220001245240034804214000000840800801041210000a008002300850000010600810510600010408102900908318400410c00000800800310c00240842c00800308352000502000c40a0200021030085a00840090800011000010a40000020800030280</t>
  </si>
  <si>
    <t>A35637_1200_0400c02812b0080070810005044014064800040001015004a010102200002610300440112d00100140108240640002040000002b0061024084084210810081010200084290080050040824a002000648102000108340a1a100800800000500c4805010214a042608710000608002008008000d0844820000200824010010000020844000085a540b00940848100200840058010200000110000a0814001010000240010095a010a1040021094080030011201800005240024201a25000000080a940002000400000442610000000808100508a0204a15040000220a308202240100000a10400408008e1080244080234a000040408400d0201830210011880091000004201000021a85045020004044a21821081000000a81210070001040040000020240a00800a000100040010218400848210800a00142100108100400000600300000818600608100002200502910900a00040000018150208002402500c0014225820011005000084291000010894020844004011001021061080a40030010014040820820881200010054250040064040020004800a41060880200004020005090</t>
  </si>
  <si>
    <t>A35637_1201_0450850100248100348108810202d00400040010810818040c42800a0070001880020204074821841a800040e0000014820245811800200001050080a502708400202d4200081200201080040a912000300440400000010012040000400300608c0804030810051860040a24011004021820000820200200200805850281080001a84004001010050024a410440100840212a00000800042840002012a00802440112000840058018212e1204280a000202910740000902142810010000512402802200a10108500040008c00008110142e00010040000008008010210240208042c4220000010015000ac40008200008500000c1045024210a100100000050010408800408500c48018902002800050500010e0200034014221200014284200080204000080071820000084a20040800010ac00140808210000100010e4280200000a040000810440942900248200600700c48000402010018400b00200502a0020200041040241040054025030061080021200084805000230810a000010140a08440000500012100040200000108a52842000f08100100b1860040045014000844021</t>
  </si>
  <si>
    <t>A35637_1202_0052010c02902918100010800048010240342102110300450100e08b0260020040000a100040002100200a00802d10a0804044a010000808800c4000200000881024201004a840010a0044001205090084a100800c0220200280020014a30004064004204001040020810040204010834000040005200004230880010010080021841050880210020041005880020005830020004805800204020210080821004001040010a05090804060ad0064820004a81004220000000204040041090880211000004020211811040000244030070010040004a150000912000200c0800004000a000448400002048112000240640800000250040700010140900402800842e0001021200060040010000200a658608000008050202142412000b10000050a4a912202408a00010800040010008600200800100800002158808400040112900808200010640608400300008302108c40448002240008408610102008850800100102c10012402c1204024045010021a000000302200602418510010842000208140a00b1a800010a00000200410040200040d0000a11080001200a500000212200a1</t>
  </si>
  <si>
    <t>A35637_1203_0800040852800040110008018040c02208a0a01080815800004250a910150008400a40050000210048608940c40150902008100808302218002008140408210b0221040000a210052a0001081000020021044010055084a012840248400900510c00810100040000410002408000940000212900202c0a00020000a01241804a000110100842208000400608000040112650810a5000280214081001860000801a00060804054a00081a000440100840000010902040c00600848310010310e08010c0010861040014284000080205a008100002c0080000800824ac00c08650000008b0230291850a050040200040448018018452000148b4000800020a018110640108402000108848450040210400008200400c00400008408c00340e08452100002010010008608400200800140a18142840100502802410200102042840000002102c10040c00010800118100010200008900000202010400c00210002002010402000408a12100b48100140008402a0000020815004060871000a802902142000000418040050108048002200050000c10500052100410008040d0260085064800</t>
  </si>
  <si>
    <t>A35637_1204_8150a1a800800000008308000000040a40010002000240202000a00208100110e5000a410d48000012910502000100600858100400800000800500008142300052812012c40040302000450200502a0820001221040040051200010810001020a058000000100140600a1001840020034810800000a208c10d00012218000408000002000242450110000000850042a1821820001064000000001200030860001001000000a000008010c00c00540808212000000800000e0a900310700040a48000908140208600100412450b08000300608002418000102058002910f02a40102640100108200002408050a0020210090084a00004000800a20811810220844040030a018400450018112102010308510300818910a4221020061000000090280010a050210410040402d00802240000658400800900150040210350c08800000008500400040600c4004aa5a440a1000080004060214000a800112402c00b02908500108800210000240042002000710000040640042300d1004820040000800020800884004a012d0021810ae00448400910000200002908800418512a4000024000</t>
  </si>
  <si>
    <t>A35637_1205_801000800000a900450300a1a010000a00a1004800000044201220880015aa10200c50100c40250540418000458400140010240900010200400000340100100042c00440208312010000a08002800508940302008742c50052048002602000c08c12000b0000811210085aa0014030000061001854004801200aa5020211090005200090a01024a010100450400208008518010210240140208050502200140408800e0000a000600640802500a00008208108100c0a400c0804004080005800280284201000000004085805284280204020800000240070000240a21050a400012802100050b08840642000b00900410100002012000800810602018040410002048108110c0020020850214090240081045840290020011815880071a04250200020814a108202c0240060080015ac1840200000000aa02408210000810000900808502100410000000140048502000718008040300052440b1801000811030001000210080a01080000ab00040410058042000040900400400900840000300842418808008008850442202208000a02812800e4000001000011021210040084800030</t>
  </si>
  <si>
    <t>A35637_1206_0400202010808210500208300248102d48812242000c00000c0200030a450b0800805000200005025080000880804224000064040011204080000a150602e0010a248800048002000c00808808100800252300400050058400740002100d0085080854280025800800000000044010004801010000804001080280241a10064840a840a00a10508000142210d0080080261821840a408010602010242000400842910000012210310140408102100048648d00308402042400000500a00b0000004000020814020001861810040021020880800a000902008000052818c42802000040a48042000418248010542212108008600010002848018000100000852000d00002400008540450502a40002400a00600c4010000080041a50005000801030280000a808b1085ac10240308418300000040400c02010050200700000400200000048208940008010202000402c00810a0290074000020a010000010010008052100800040008000608842152c10800010000d40002012800c48408102342040600110150000810240a00048000050c48100002240140018800010802000a5204000</t>
  </si>
  <si>
    <t>A35637_1207_0d10000800108040340210210a00400002000008200c42840c0200000a412c00d0000a00010010000280884a00805014015210060010880800230084020880040044211004800071001040a84000090890000080040800214000015221020080041800230a808202100008400c00000208408100500818400808a0a000000440810100c00a00418000840000100002050240500802a00400c0a01201890840845214050020011010020200080264a050102900048002002048000242018018a18002108840002c10300400900008300042200002800150008300002800000000012400008100c0000040010020ab40048c0021800284084200a44880060005290000200a040810502802d00200210202000c0004004040804031230000200080220200a410b1044a20240080000220011000a608000c48118100100900800940202010602000812400940200040008800150c0000000831004820001801810020220001a810540040012b00800008800b1001050044020811081004280000000200a04a800010002500108902418808242000842900a40058000002c0081260004020010</t>
  </si>
  <si>
    <t>A35637_1208_0102040000048802050010908408810148008600600100002040302100000000200648800002a42452000110010142100a00100010302040000902900010608a18250000048002242808112000810500040200810200440410140800200d1010084804000a818008218008c02102a00340410b00508000000e0a002040000108e40502b4000200a600a10000800600a08000100902a02000000140408800e00018002c0005044280830044a000a00002540a00800008510008210200500410012910042800102508402650010d02100300008408002140900040502a08c00210412100a4830080024281a000c0001000200024024804010885200a100240840400408200240200002200400102900142400802008800808b48048010002440010140810400100a48008042800048602100450600000948008102000800210812000850400808840408100608042210608050a00000140040318a0094880245030014a000418a0040040020a802218000008800902308008000008300858440000110550810000250102408000112018000440910a0091a01090811084801020014810081</t>
  </si>
  <si>
    <t>A35637_1209_014020010000a00200a100a0040040000230021890800281015020201a102008808202902200840548018010c5010280290030010881004a040b4a00800201085000a050c00240402000040018840440240052010212608c00400102600200410200040900200100200952802c02a00248000410800008110400902008800442410402040140100710340a10010808040040010118c00402100240218800000010100042900200a10208602040100008042008408448910d0230054030800284004000800004a010500050502142800000010052050102042a00118000800800800208210008108250a18040202240008818000010400908800402608b0220a000108010102210900000000400a08300b00200800050d4001830031004000004000a00804a408010058940808110202810918642400208102002800c0040084000024020800800ac1211040280a150100512048142002348610810100400000d00008202400000240002900900210500048400040008842042b10040040010508802000018840008040a00058200000350442102008952448008a0000210200034040200</t>
  </si>
  <si>
    <t>A35637_1210_0248018000002200110300102a50402a00950542400618200400300108400900c5200a010800002240818840808510d02100308100410000500000200412200800008000102000008d00900c4040070020045a018000a12040948112012000148640052102800440410608402850102850100208250202002400202010600300000000508102248010150012450500218008408240010400242048002018402818800100800042d10a0a010102040a40008018800610000302208208000010210c1070084a40a010208440002008008050808800808842800800000100008410042302840000200008650040200008052100400c00900200010108e00200218910c4001000020800001054204205224000040041a400800010140c08018042002100102202808300042010000000508c00d12800102400800012808250442040a4010a05091000820204014004801840010240000010000010a91801080a840400010002800600440042240208402000012040442a02210048008900a0040080000220a10060241800040024a150008240440002000800100500f0000001020200071a20</t>
  </si>
  <si>
    <t>A35637_1211_0000050810a00900112118202400050340002600208a00800840002102000010052408440400208100608000010800200b4800080000840814080021040080004a00814054201a400d00500000042448042110810f5080004040a00000010840220a010042010000c10200a52100048800308908400a40402848002400100500e02042a4a118000000a00200010b00a0a000218c0241800200020800860810284805000a00000a500c00250000442100542010108200500200008018008100040c00800050242018102202c40b0010005831040000a000108b0250000014a842810908052610200440402102100802018000012040000400000200900e0000055000011220040010040040050810864020035a400000000102400010000018400108958040000008850012400202010800202240440200002508500412a0a00040005221ac10040000802040012010400800050812040a0a00280814040010204020a10200061005010020884010020860024080000204821000041081801000001014800080aa0841244a010108400102000c0210000845080825a04001000220864030</t>
  </si>
  <si>
    <t>A35637_1212_0d02000510040240400000040400100002010112008448018040002100602100900012002002a4011061801a050010700340242010800c52040600000610610610c08402900a0005a208610400500008a48200310258a00840400810052810b0280080004084000001070020041200031230010064aa18c02840000000100a0200894030035000020040a000410100042508a08008858800b4020020010004a642000008048640000840050012000848510208000000512340002002108352052000508000202010148e00000408100400300110a0040250205000040804024a040340902240f0000024a002608010510d0004020010040011a018c0001820081050810061090020081881004284a04060091ac0201044834030000090a008142400800610800600c00400908048650010040050d1080010820880000025004014a900502000800810940140102018200000210800900808000300110000100402200202108102200010202000010000400010002c00040100800900800800840048010400508012000008240242808908040100042800500f0050024801200805200a31</t>
  </si>
  <si>
    <t>A35637_1213_0242c42810800940100a00000400000208900008010010a00400c40100402c0014a05001010080015090891221a04080800845a410000a18000000148140100842610d40100042700200202a02100000810302010102642802a0014004800060000840240081820210070000a010000218412000c02800050300850000918100000810000012042410410458902202240600010618a02500540800008000108202c00240042408000400618440602042018800200002d40142102008910508408002100012400100812412902000800300108a08008502008940200800410408910042100218310c0080201000a948400f10042c00440300108512c0080281000220a000002a00010842540640800040208702800040008002042808002012050448948000a00808248140500910002208400410902040008202008910042100a40300240100350c58000640802002018600802112000a00248408c5880004290000020261000244040260885a110410108600802100010240a00042008800e0230020820020281080284000a00040000220881020891800030001005a90210001261021</t>
  </si>
  <si>
    <t>A35637_1214_0448802100000002442c08112800802040100518000000000110840002400008300040400a08208042710010000800000010108000b0040001040220801810000204000024084804a800142e50c00a42200240200500802400408110250c1080020a000900048002e00040200512840050002408e0080800060800040ab10848040000808000618018800800000b02142540400008048002900808018018312000c50208818300110812a40002002808458100000010400600218102000208810440402002048200d10048440a00108008100200610010c0280820040000821290084000240830000801004040000005a800048400402200a02050800712600400440040400608108848012140202008510440058000300108300800818848040040210010a00f00000902808212100c0804204041220080225040865020250044004005001834000005090200005a70021804011044801000a90004004a000842000048108000a40c00d4820000080031841201094a008112100018e4050000a102600508710858842600100040a00002c0805004034204020001800014000890801860</t>
  </si>
  <si>
    <t>A35637_1215_0110010040202208000c00350010042000110212100102018400240100202a0044001040054295010800850800004290885a10a400c00e00112048100042018040440110000850050410c0020a44280231040821010241801030030814280831801ac02000800100e00110000802048810042000008050900842010208400218040000042300018118912000c00300802210c0000801884000220240201000040804210a000058000040800802500900008208000440400a08000010108900842042b0004821860085040251240a840108c0810220805000220a440d00818c00002208050610000240042952000302440000202808412200040140500a02008150302b1004001004a01011040204210a01810200090084021800081015a20080214000241890084024010014a00804221050804840020224845820040a40040210084000061801204a40040a012000a0040200090000020220000050221895000030a208300050200810a00008210500250a00540002200042300800012c00400000408208140002050142000400510c00000510b00000002108c42a0845024080211061</t>
  </si>
  <si>
    <t>A35637_1216_8858400042800910650400a0080a412c02018448908150002000740100118100008010002a0200861221001a402810102000310200240818100000112508000700818000d4080014210004a600840400240208308308002802800810042010012000802448048042808040010010000152200810a10800000340900000000c0804290080005010201004005080204a24001040010001050210881004a418040800402540010000900810a0004020224a040000410a00010e08010148100000012000002040208f0014004014010020004050045000080084810811080070a85804000001200270030824800024800864041000040800030080020880800840841000a000408010000000002200042510010112248802500808158008850200940642110000508100a00940500108110800018040002802a40202110242200110c02040200000d40052002600a02500000408040442002850000600010c02412808010010708810800c5030004040090020800a800400102400400200c0084040a040058810200208040200900508500100218000200112012418440400d5000224a14ac1</t>
  </si>
  <si>
    <t>A35637_1217_0008000000002102210308108200000008200000900450012802100042012208008200110842002340b00a00848100040312200500c42402900500850000d1080020a000000058008600512a00100000000000c00000000050000112700008348040010848000302800c02808150a4010811051001000a102400a52718000208008140700200308118000800402600008640a18240608002208100040810300000540000840412408142040100e00100100218202000002600800508900002c00140440002418000312000052c02200000c08d0881890284220000240000000014034020000241005005000204080010240800084a000302848058500000240410040a02600a00300200510848858402818a1000205000000000800864044000270a00014890090080080020800041840080800884044014814a00000000001200000001080804000081200231264a000d5001001020010024240800040814004a14001000090241085054800244a11041a81201084880000800001045840090010a040818000002150100052200008508050510102a4024a000340410840100b1001010</t>
  </si>
  <si>
    <t>A35637_1218_0310c50d02708050110008408c40802b0200014060040884280000211a108418810e0840064aa4a200200202002942502200010f00800002812640000200200000400012040100010800200c00150008040700310150042100848a00048510250800500208000708100008848440202012100e0001824080200011024200001880215014020805010830000284220201a550118300800040808a12242008218240c00400112008908540802100848210350400000002002d00800000000808000400c00010000a00a1880854200201204000811840800020805810871081005001004214001840000060000050884a102c08412818100642810600a0090200000080200801a418140012850a4a112248310210400c00808900412a00800810000602212150400802042c00600108208b00140a10500608000610000508a42012008202200400602810800d0a240008400012c1080024a30a410800d1a410100608150140008140010142140010308208c0205241044a00020240851001ad4010021000aa1020020845000000200001800285084010081040060054020250224024800020</t>
  </si>
  <si>
    <t>A35637_1219_0a52010010102800602510810808c00300808000018850010412c0aa08300200b00640050048040502000802000040c0200814800020a80a040b00202500900400840402048000300100400000800002912140c00a0804205090800060000840824080030221821840810a210802400902240100040a0a400408900042300400008500a00b50040010010812842000808508418b00c40040100812008010000800900442912108a0854804801014030a01080001a810c00c02150040008010012910348000240610a0004881200000010000000a04284030204041080000a250000c48208648008802200540a02010500018510400012100142400110248040410c02008000900250c0004040095804230000a000540200808440000148a02412902910110400c00800c02200008608108c00e1000004010015811000a000c52102000100a00040c50000a4801a200200800012900440a40142018e5080a002008050040018010a00000800048000308048048900002b00002c0011000080020a80210080030260004014080860040070861800030231840080010020044200000024000</t>
  </si>
  <si>
    <t>A35637_1220_0c02208140d00040140200602200000808840010e0094020200000004071230005040080014030041810014004240210a102012000c00808c0224020024000040084290200805030a10001a000000048048400900410840100800802000a18000600500a0011004000824820210200010a04a00820040200040010810021021200094200284020011010a000040e00012000e10400800412800108100a10b0a04204004014a010400d18a0800000805020200845884880280005800080030881001070000a400000602040140100200450808000610000000008610000042042810002018010810a10408100e02818102400818258802c0210020260824020a802040800148300840400002700242610100102042440a48050050910100a0080200004a418008c0ac10540900850108300800018040640040118f00010008542808000210a00412210102000800000300402008800040200100800200200100d40a0801080041a002110100052100e18448010000208240140918102210100500a0a40880010041044210280044081060820280030200024000800080204240a15020221</t>
  </si>
  <si>
    <t>A35637_1221_8812218402602900008100408008800c00152008800408408440340008418100440200100002352400900110e0811030800020041800241a04094024221a800a00c5200040204041010840a200812000000102200342040502002010340500b40800d00100002210000000c4000200281010a000058800012400a40010010700048842602010002410210052012040a0024000000a00851200814004010060000000024000034ac00c00002440140000212218208050800240210200900800010800400100440900a00412040e0084040211014080a440802a0000841030240000060801804800004200044020231804020011800880040a80001820041000210040000a00050014220010284810801851080001a810c00142040e0020060855000801010291004000a040148250018300002042000000140102308008802140140140040c08d4800090200a012010108a00840450802b0030000010881a40030034000040031820080084090210840010a840002040002000e0011004a400040000108100302810110108050118100818002c0200000210080884080010004205a20801</t>
  </si>
  <si>
    <t>A35637_1222_0902810c02c4014250020084040801200a008242100740200150300000412210d02000410600100040818200c00002608a02048010002008400100200040a08000040400a00308500400950210000848210002400012c00d00008908252300410042940400b0200200074ac0080010a818740618500400500408000142a08010248100248000200a00240808012802a1820200024240080000004014a300042002000148800010510a0060084230081050a60005a002042440800640200812200000402000102800040000810040042002010a0821844010830011280000064295210801040280010060040294000800081831a44001000000021040805820095010081001020064000000220000000050030a24200210890010000041040804094030021240064280ad00100100100d00d00050c1000801210091004000201020800001201844041014010084000241050220290020080021a408810400910400a0a312110812010012b4000001290860844040000000a010010e5004040000281010200824060244050800000040081264810004210005001800800084080221a04050</t>
  </si>
  <si>
    <t>A35637_1223_010800041080024070050005081291080001004040021804004254084000800014040094210880214800081a000100c00000040018800a10002000010412608650008000800a08202000008418512000808000a1010000880254021040081011844080250800a240218002c08c4000090224020001004250000230a450808440012d00442010018400a40000812800110500e08102800810a0000061021800005241004000024080000800800034a812400c1040840041030a000002600808008842800808102e00a0024001030800000040080840040204011225201020840884004000014800080a002012402010400418902000450202152100518a5044810200880210061010205a80244225a10a110010400802008100040108440610540b0011044000081000201014084864a20041a042102000900002210a0804800004000805200000005080044000800a608000210800600318700908808002110240000050810100000400c08950000a08c00402810400040518200300000102208810200700012e1200024094014800890041214080210025200051040240000001060030</t>
  </si>
  <si>
    <t>A35637_1224_8012042010a00208040f08110212010140000008100a0080800000015051aa0804a400000140008400a00000002912002200602410140400010442800100010a40010c10402100010500148c00940008808408010142002910808008000000e0004850290200004000005060091000880804030070a842002008040000400008800012140018402200f10410042102200010800402602000140312008100510018100a4a250218400400a1200090a102048000410248000c00812000008400610112c08018000c08110040002c48000058808710800100b08040110b00410402402a00a5004241881280014020080014a008a5205240040a002050100208840c0210801a210810000400c40a4000060080081804a94000020204280090020a500340012140100448400000400242100508240400110040a42210200048810010200200008800d0840004034081810080031000080000011000201021004290010a050502a10112840800402058000600a00c08402040010112a0061040a002000302100300842808040840258042410010618000740100010c0000a00210010014041210</t>
  </si>
  <si>
    <t>A35637_1225_050021014200000a440510008812002040100350310200c5800040810004280050000a042a00040012000900408900208310400408040058440100000040400200208000148a0a048208440200010202002400108c0280090204a008058408712802d00242208000308200200000908050410d10148002010c0200850230805000241020000a10030060041210000010a40230004804214224804045a408410800010100140642a0884000a44020000000000090a000942008b0250880001a00a040840800010000540002100208002010000000600840100040110300c4020844204a840100a08702a00000600800300400140000100c40200510900100c10050640140202a08508e4010080001800041001000000010030840001024040000070005204851000a00004004a00864040840081001000080200040820025044084011a00000021020891064800000801040020800040020041011820000004030200200050085040280200080034a01015080a110040058400300a40600100048008218200d02400402a0020000000811885001200a902140110018448400208b1a10021</t>
  </si>
  <si>
    <t>A35637_1226_0750800040142000150c0044080800000010000a90000201000054080a20000080a040500402b40408408900002102a4201064810051021050280000840811020025204250805a50241090000815000a810010208800000c10e0005024010800a008042002a4201a300a0240004024000060aa00618212c1000201210000001000844004010024000054040a840502040302810c00212110842240018a10848258102b4220a010800050200812408a00000000108a4a00040a112250100210c0080020004840201880245211080a85824051014a000002142008100400200a18c02c00002300418642010540c0080a60080005001240000004860800005001a80024000801000821800010014000040a30860200a000b42210140e08002800400d00102310010100008440240000002210c48008900a0a10a000400042448140c0220000a20000024a000140800010300010010040b08000158400040c02012000108000800c4000010000810020040020060050044021004250001a400400802050000008000e48840a48040000600102200d10540002108200052040052f0285010090</t>
  </si>
  <si>
    <t>A35637_1227_0200000000000800002000c40812400800918100600800048810108140442500800000002242a00400818140840800202008448908000052002600018308410802c0080014804220081080240801000004040000850040810004884030a010940400002900100150100450c5040030800a400d00410200150000210440508c0a040800300050002218000a00050200202118000518010100600a40408000052218002040000340808b10800100600002202510040010000900a0a118308002640110000a4210a100702800910c00010012518850800500a40308410218a42400440942000742400b18202000002310642000000002000008010440308108a08400048350000200b0001010080a010308000000458040a00000650308510840840002008100400c1000801040291824240824a050412540010408200508c00802600040100108840e0240070000041820820a402000040842140508040200910208218408118800442010000048200b00802200842408000002a00410a08802008058340010418c0001230000a100808100000012000202002400240012400440a0a20800</t>
  </si>
  <si>
    <t>A35637_1228_0408202c10840800002808440010110002240010000108c50010500008440918440a50502400850010118100040800802008440200110400000c00010108908240a0000064824001880060061014294280004241021220a842400200400400840040802a02210012008402008540000358008200000048102d00000500b1020001010010800001280844084000084080a100800012200442200000310800240040052800100408000308008802808008000100b08c00812202000540000102000040100040142010400010900040312440008040858912c0000225081051060a040202240140500e12012000802110002300208410940440008402f00c4a000000900b02048908000040400c0884840000000880801290090020000084200800000200044a008a10c00040202212410010400400802108142010000008802812000802440000c10008150242010002d0010041050000a000118b08240218100000100612000a0001a00080200010040844261290010014804201020085050210000a400218400002800008802240000000010410b0204810030894221a000442000108c0</t>
  </si>
  <si>
    <t>A35637_1229_090805014220000a000c0024aa4090290001825040810824254040001845201881000040020881221011041a200c0080a002202800840042102608a1021011044280000054090204a200d40002000000150352200c08602010a00008040708008410840408308508e0890801a01060200000220081040800000a142112418140040000e0030041040040020884084a24021a018110c08010508210218000408450c00802210010110802010000108818152200140040100208048248818600400002802100010010000608800140000602010002012c00402100000108208842802042100142100d08400402640048500000300c00040400a10000200640a08100000008602008452808800840248018400818018810d02200302110000218150a0a202000910000402802040000008310008e02440900012140610610c02112008902058000800c52800808100040000202a0841040a11014001040820080044a300010208208a00c0200221001000040205004204815820081870281804000824004000040041a10000010050011004080884224281a40200000800000020004001800</t>
  </si>
  <si>
    <t>A35637_1230_0202402140e40010000a18710002400040050040000202402110400000300000a1204a04010084a010000802010500242800100800148c00150100112500f00d00202000a4200840a00091001a800000008000310c0a218800400840508000240450010e0820225201801a202000108242700300150058000540948412618200000800300a0205a110040c0004060090804240800804a00034284015081021a210002108a00200010008e00110c00000318800850000102640040058d0054200a00004084020840060000040010010010a00000201a00004804a45091000200251020000040021084880800090a00064020000024800000820a400408c18810802902940500200000200042740300408c0000a200800400a08050210448808002940a1050020840a05010020025041850891000200004805234001020020050284081010070044aa0290240a802002400808000c1284000030280820845001200a042012e00810440412200a08042410e00840000b00800440508a40018010440248002200100010002800100412208408450440040018410000a5825205000811024200</t>
  </si>
  <si>
    <t>A35637_1231_0100e0050054800000a000008412800008210302008402608002100812200008440802012208a42240000508442010d02012240200408c0005030a100650200000410110100118002910110410400000a10108010010040900048b00602a10600248100440000140100148212550042040000008a00000800640010050c00000408c0240091221840840020a000802852542a1011a000c10000200402108b00048000200002112c10640a02410008800648200102410110402108440c0091001000054000011a900c1800850004005821060061044004000001004000041a052002408210000800e4041014000020205841004020004080000220a400802410002908048200410058e12000300a0045030850021014000805214020025080210090004a202000402000040100900040c0000204881224825200880060001084214020004080011040880004010841000804204a052008000740100a00000c10100902042500e0a41a000000242610818002000000040a00040318500252c0060090070080015044000200a80011280834844210010280240800000081800030094840000</t>
  </si>
  <si>
    <t>A35637_1232_0852250c02000240048400800440900508010110000150252012240000200c0084881a11200800024810004081204060800811040004025804000224250000080a800100248042042000c42402002800300200b00250012140c42800050000500200100802800400410c00450140008010542410048018840200218002a1051840880224291050a000500640100502202300200000a08010408150200408012c00110042848040208608210800102b0240a910d02002840d0800020000041aa40c00a4090820000080004a402208010300800018042002000a0044a118410402000500208608000010842000002040508000610200140e40210408008240202540802200018600048848502440002040908d52000040800812118200410042c0004890020a01800221010020a210110800008800400040342018800440418400a4a008000000100400c00800942610110d1280284240801020890010a840842142a10040a00a08010500c0200205a818102010c4220210040820040a04000040034000040094000a850c4090800a010440208040102000112100100840810c0280040210</t>
  </si>
  <si>
    <t>A35637_1233_085a80050200000805021021221800200010210081010080244084884004060050840801080a300202100000042802040900510000100608800000008302e08010810952d0080005800080200001060a002540400442800000000140002a08208040842900100500508a00000100242200202c18440010000408040052000840240102300000000108900400400b4294005271015201a800800240400118240a0201040221a018110c02c08000008200542000000c00040100200210000600012800200210040808050c02000c00202002c0045004204004810020050080a20000004080a00200044061040084000a000000a0a440042400102050300110800000040008410108002002840a0a01034250080084000204a908000500610408002240950200010202000100840808140000e02212402842010010108800418010308812310210812208400000040008c08408c02102100802200000410450400e00148150200110248410d40018510000200600902302902000410250050c1000000000280804040840000a102040010100c5080020004a000200000800040342000108c0</t>
  </si>
  <si>
    <t>A35637_1234_8502018410c00300048800c4200240004880204880001260284200800041240004244894080000210260041285091050020000a308640c10012c00002012008200402100802348200218008840400102250102a08100040002502952500100010a1000044280061001004080200030220800000011a00091080000a102410c0060080020280a040b1084204881000a000010c0030820005000800a348200408010400000008108300440402500908150112218000448950048248002000148040802302940140018052208010000800000300010218100002a0a20040014040084050000a00050015000240040000800a510300608140a08a10040010c0205090280a20270050090a800112c0884a108208110040502840a42308108400440110440000500110a08a0244224000804000080880a402000908340608218000440100902548310f1a040042e00910002a00050008110202100100100d08a08000240202500018210400040908840100800810440050502b0000851004820a840000200010308042c40002d0004201000870a00000064a14a00240804024011200200021841</t>
  </si>
  <si>
    <t>A35637_1235_8242010000000050000500200e0201040824014080030800000004a012100e18408400010740002000000400002010a0005241880044240a400108000108810400000400100a00502008148400802140840000900148240000c4080044020051000044214880801201030800041010204240a200c0a842140a00010000210112c02800648112040410000800802802800402000210a0000250231044000810a048450202140210100200000810508b42208500040000042100000510610a40808010c00a00610310052850c00000000602a00100248500900018302408050402102202812000200440c00402900010402a10002400000000242048200010008040a02902248408100402002200b02140000040008c0200801270811084080004090800000000080800255210a042400810000210800508010540a00040000000700040002300a0a842140800902412408400248010240048412408d58440c4200024010000000024ac40540200410000710250000208802100008102800152000a0a000400100200100a0205830000881081a100200140148a18a00208c02008a4040a90</t>
  </si>
  <si>
    <t>A35637_1236_0400800002b00208058508000800000840000402318c02040040640018602200448c0211084090000260000200200040004024a00001204a012440800002800c0a04090264a100010818112842042000000410d00458000840440312012808e10600100300808218010a00040000000800100000e00c08100c00800108400c48a10000d08800010100158010040900040640c08240640042042840400000910412052008a0000000001a008010040910408200802a00540240242548218000040910d0030801020870a010800008100252400340210c0024a00a01011004800294044220010a00000880200020084230801000844281010094220800060244840020004000011830884a94000a00824a200808810052002118008400812200440048940102010210408000248200000400008000800800012500500248008100400040448400d50a00000e00840000408050000512800200008400040002042e08000200510400012c00640042440108108040010c08800002500210402100a08110248100040800002000950100218000200c40008300110400a02e1004000031054080</t>
  </si>
  <si>
    <t>A35637_1237_810040a400300018040e0820025a050000010440818912000100800000040408a4000010044224020090000825291280000031ac0801020080200090064a11011825a410242802002008600a4ad40300242400210940412500108210600200210202450048112018200d0044890000010000000000020010240200004080085a002052c02140200000912402550002202140c0020825801000001020080820040090094805001a000410010100100908048a00052002450002018210e18000440c10308112200008050008800402008000400050010042040a40440a00a02010900a00a48000418410448002202010108200400008800800000100400200002050948902100310210602012000050000000040a42900a00018502810900640010008048502108c1041001240280260000001040005030030020a508052002140802100400810358010000008108558100a08218000900112042000310002442a0010a10800884a000c4040001020800805020a01050001821090020064001080201001000090a41000004020845000014a800410a4820800200000280814010a01874040</t>
  </si>
  <si>
    <t>A35637_1238_0b1844a11014000244a110a10040110000040440408200242400042808402100c12200c4284080041800020200801004091000880005080094004030200210004000ac00002200018000c0a00014040a000410500208c40050a00010218e00042840400208200250200c02a5a012c0004a350010000408000b4805800840820a018042808800742008000c1000004080a40a500310010100000810458c18008612000f02102348808d40010800602000200410800010010542300240408842010512908000008108140c02000c00852408818800c42400108802510100508000010248000042200210a02912a40950018400142448402008040302010048200440602008502600a0841040210801030240040a042110100200400c00a1000290000810000a918000400000048148258300000000810002000100600c00200042c40a1001810010080050240020a252008008202040040808010000900000100008a4040a610040840000500010000008240000400200108040d0000045804254aa40600000002608c10802010000200210a02400000240110500002002000000810000e0</t>
  </si>
  <si>
    <t>A35637_1239_0a1004200004810000250020a600050808000042910042002400a00802108010002008010300142110000208000012348008212210400058940f00300108000008c02c0020081050020080ac4890200a000200e00100418910040100000000942010040c4820a01041025041204000804021a000a0261a900100212210900902242802140040042c00110810002340002010300002000500102802500608c4000094020031861020040a40850000031040a008048000812000102410c0011005000200080a408000150240400902818048000400202800a4001030a80050041001020aa48110300840040150140042518100600a10002002218000208802a02100040200450000000200512400112000110010040040848212252400208000000208240048110818000800200212118a1040200804224800830a010100c08500200212408100050210802440000008818440a02800d08250210400842408540540012300318140458000000208040810540040d10040008448300202012000240018100c08c08a00000002008052000a1200a102708b50140208002402002402110448c0</t>
  </si>
  <si>
    <t>A35637_1240_0018240000a0004801021804a008010002108300000c00200c10040248400108202a1005040291200010040805844200085010200800a242102202010000400008000002c00040048108950018500c40040000410800a0014200001004200031a40000000005000a40085040a44210011a000000000848000640b4820a800140410800c00200000c0041a01005000804060280800001004090204200841000a610400102a42210008948a02102300008400a18140002000600000402a0050041201010005201010815824801220084821810840040000060890010050030824004040a250010000000000800402310318008010240400000800540f0810881854020024a002018b40000910402202040a0045800855010080050270004a010152000a0011840000a400102748800040100810408140408118212610008a0a00280810004030800280041020000034000021ac08c1260811a110000102810c0004881840040870281201240000a500400008018800000018558108240a00000200840200610c08040412000040100000200002040d42200050000402c0000014020061a81</t>
  </si>
  <si>
    <t>A35637_1241_0800240000240118400208040200402a0024841a100800008142b08200040608100042c0000804a00a010a10a0000030000855001005a000902842002000100b0001801060211014841020040a44084010805081064041a41044014000aa00400048100202208100910902800412108100000a00018c12002608900100010a5000800094000024820080a010512400208000418a5a440c42040000100000a1080840204080845240010800010204200054010040825001000000230000094080001050a818008e00640050012402110000208c00008810448a10202a00850210810000000340a0800a000510b00142600100b0044a050200300000200d08008010102040042c08200e50000200100100e1011000800210081221200800004884250281031080811804804000a312042100300800000048110010a08210000002008802218210e00000150948842240108440410000a40b00400100202a10100142802242e00d40800852840040000008e1800240280a048300a0011240800214004800a11021200080070020001041005280805034290a11060880080814000004030800</t>
  </si>
  <si>
    <t>A35637_1242_821001880080091234810001a00245290800001030010044000050024050801000800200080000010000000240200200815220020020020040200801a010608600002052502140240000002200050040100010c00802e5044004811a210000212048c00040a0014840885201010220a000602410402808110442900102410058200500400850500c00000000002040200112100910440910a0010801a200200000040c02018010200100040410200842010500210040800000908308500052640c00000010550400a00c08100800040540a0011880a042d00200610900c00848000a4820a240008112612c0000024800211081a012002042a0020ab00840410100408840442218052050112800108100010002018040240010000000b40040800902a00240408648008502f0881810880085040201020084000030020060000034090800240044080a80004000a640508a02010902440100002c0000280004000010025250085a24245280890061020080040801004881220040044040091000020000001821260240040880a21200850020014000011040040005200001030004000250</t>
  </si>
  <si>
    <t>A35637_1243_094281884014880201090040000084060a90001a808018440050600000000500a48042000800050040010340a00400042100100410400012d0280000010a000500e1804284a008002000810400d00240208052800600e4840210080800200824800811224090040000804244044050800844a00800a010c00040300408800a0040080200891800880814004a40020031840800810000a040800312008100410a12440400240040200000048842002100100600000e0a112002242718100c00e0000040824204aa0000021000020a108050908750c0a90000290000061001a042500000a00240c1010885a000440910008800800210000002008100800412018010200000010000e02208102608202300500810000050242000008400000008c00102240002a10440202010202008300110042842812308040218000d42008000a00050010410400800002102000410300c58018c52008018700900040a4281010a91a00000040a018900408a10002408408400102300312040900040000510a0000000050041000a000c02040000008408010100d42a4020881884021880000a01a00240</t>
  </si>
  <si>
    <t>A35637_1244_8108412400a00800110008050800402800010452000340e4ac0200810000221021041a100a00240208b1834a448400040b0a140710908000442602008002400608e02d42900008200208e02800d0020010014a810d1000081000221021810801820a00050030040850040220001060001a61081000060080010010a10a008a1a400110042900400a00010c0214024004204a100458840c40d08200002108300202412000840040f00900040500440210240200348652102000202210000e40a1241240a000452008100a0200080084000031000840010250010060001080040804010220234000040020250020880014020000a208540842000000c10340048d0014a04244001830200800230000060a110010248002100b08450800018000800602000040010102848052142100140508400800000600000440d10400612440008a1830200004240280000211070a600002c00000a08200210500000200c02000800742808118400040c08802412310010040000a00340008700452008012300000200000818418010702050100010a02400540000100600818100250d4280001245000</t>
  </si>
  <si>
    <t>A35637_1245_0a52a0040200004a018508002c0040044205a148808000040102c02a00100008400408900840840218600008a02012008000000000042a00000140940000408100000800208808240210340012000108300008908012200440000800112410c1024880200224060a000510008410100310100500240842500c00200002008410008040700810002100800002c10008240000718c40a00040c42002050310942c02100848940700808b4a412050c00118000800c08600040042118018000002040040a08018402410200450012440a5000220001a850100102102000000240000050200108100b00008010950400040600008c02010410300908202510012200100000a02202000408600002400048510210c18210802b00840008100d0000004290001a302000050200000840200400018942402100000148102800200c0040004025845800021aa08002800000452808000402102600802208900842042000040010058800050018000100802100400442012940040102002408c00018040c0a848410000050642d0000820804031010080000000014250000804060280010001021a50</t>
  </si>
  <si>
    <t>A35637_1246_0700c0040010200824260091201001244aa00040800202440c40808200642200408408000f00310650000610240d00200052442d00800010110108010008a10410442050840050010200202042050700208202010400000400940342400210910040410e4a942140408018040c1080281020a000608000c02000000042800000c0085000a008412210010848000d0a00a250008440410402200200058908000250040c0a11021201020220a840040000008008440618402000212002900002e00012008812308508008040100108a00700210242c52100d40002052208810240000040100402008000040010000000600d00100a0a40000aa12048310600008142040150540a00400000d50c02008040508110008042400048150908542200900008008100210200212952002840418410040008000300000100608508a40d12008242140000402810050000000000418218800800900042240010a00c12100408008440600908a1000004230a402600010250c0204011010a408200e08000002a18600108440040000842240102000a02010410700a00042010000002410c00012102a0</t>
  </si>
  <si>
    <t>A35637_1247_0202c00012800a5a10880040800280014080051810080081000020204044200020080040080a340442000010000d00400810600810b0a400800102912508210a00008000040102708410002000800d0030071000080800800200a01a010900050408c0040200004030005064a900140250002000b42410842400008200018452002d02000008118008402e0800044a10040001084880ad0084081200230004280244040225840030000804204004001a100100400258900108a10102400408000800840800600408008012000a00042102110110818400b40948100410042448040040810000110002210800000810242708000202400900000050a00400602410e0800014221880880004080214020010001285200000201800061024840081010010010240070001800030a100010e08000810152000110040400308000000440040300000300808100002240110e1080025811080a800200a00140040000c00850702410940050802900108440000348a4801040080801081024020050200030244000024844210060004010841015a60a802008810000200002248000800100718c1</t>
  </si>
  <si>
    <t>A35637_1248_0002a10840002000010000000808040640050540800500a0280000a052240c0040820a040100102500100740400810048a0040a70000ae00100008008248100c0084015050290211240010000884020885041010800844a01060200004ad0805804000224230000000080860000210a04040240064220204264291a110608b10002400400250200410000008840142800002200200418840c02040308000100440900802a1270021001845001020880220200050800011000811004280060840840084090040000885805ad00400008000008142018c42100b40042400a12610042c02802018008510408000240b1000000011a200900800218002000d1240010024080021a20085060051080001000850824820000200000024001051041200200804060030031220210004a000010d1080860804000894004060000200a012200910502800058008040740148042900002040940800200608800202000c52a4280204010000004081000211824080010001a94004280204020080a04200090800040010020004880220081821041050044011000024821890044004010240a11000040</t>
  </si>
  <si>
    <t>A35637_1249_0c10400042940140018008c48010c02208800200100912402400248140000310000800100042840002418618800400440202218a08400012002000210008408040000c0060001200251000841091084090000810020880090064004214830000000040280080240021021280200030000a042008d4020881080220801060800ac4011010080810830000201004260011000030040801840280a318250a08200202042140300140a00818000100200040418d00a40002040208042102018c0a00844240200060a01000804000074004200001085200080224000020210000000044000a808112900940040440800010448200840802150808048302600840200000000010010200900440900408308258a00000412040002008448900d1020010220a11a100010100608010000208002e00012012140400100300018000a0010080024a01880841020200080084820020004864010090880245250080040011034021a44801060085010020880014201810a400000000810008500510408d0240880030000000284a002000000708e0080000011200000820800000200081084805004a10</t>
  </si>
  <si>
    <t>A35637_1250_0602048800840b00710110208800142400808540010810800900e08100450b0000840a14000800001240085000854220001000041000800005020814040800891060280214801a408010010018402e40112000008152012000700000300208802a40842c02142100c08200000c00240300010408000010d52440912112000602018042140000052400000602c1000880200000090020051060081840200861004a00000a00041011844204011080800004a800908840440500810000a10a00218000400808202000010c00d00200000218a0041025284004a210410010402010010a0804021a40020824001010214200200010204a812402040600a00542c02012148808308010310c00050000040112b00f40400050802800410000000800440108a1040050080000084014081014210001064040000a34805a600408040110c00010000000802008c0260a000400818000400010902018000508000040400400b00108008d08002012000a4020a308c00800402400840012000110c00012e0014a040600440000000000a1045021010040000010004850030080020284014a04200241</t>
  </si>
  <si>
    <t>A35637_1251_001000080060821800800814045a10060200230000044804a440a0810801251005020a910100b48100a0041020044040004041801810004210080a212240518050040802a0830801a20871280000080a00244001000000285090a050000110c00000402000810500008002400c10000302050c00018600400300058640600012a0010290201a750400a08008402440000002100242008900200300110300c0a40205010204241081800204080010000800000080a240500940a02402010000218440b40108600310040600842202908000000a08c0081240280044220005a000c12140048012810200a40000a4890205800054a80844080011001010051a002002208300000800010018000b08100240f18210040512440200200c1070284081040a000042100802840000a40802500000000002002200000510e00958400000a4010840a408208012010800b08200d1010040a40234a800050a00100210040b0801001840031a20010214290024000800220001204835211000800000a800000212202b1061041201200a20020020000ac0800214005845020040800201000094204011</t>
  </si>
  <si>
    <t>A35637_1252_0010050100f02010240418e48002000100002010400d4280a040802810008010148400002000010418d10110618c42048308410800040c02500400802408100042210800000000008118902000510000800110408402000410000800200810408e1004010a000202810942002400840000342800a10a0800024804225001000800084014804004800821881201240881000040000220a010102100040a00d08808100642058400400300010552500808340000a48000d0000a110242000600c00900002140118008408012052000210200010048440110340008110800802a02d10000000058008e0a000110408050510000000800c40240200000500310818c40008200000100010018c00200b00102800100c0000004290241060000040011004000a348600012840550a4210a60201854260001000020004891000821201240a200212a00748048800d00048000008000440012200008002210a4840204004204231011011000210000081041800040a048400d0014020811080820a01020814800020020060010000224000021010001004240021200070000004010240024205090</t>
  </si>
  <si>
    <t>A35637_1253_0002000010a02b00108f00040002452400800402608802400842640a12002500040a1000000800244001020004054040011a100018800800542308200640300000008c40308018348408200052402208802400200402800902c00000248800108400810040218208100150800850000108040110d00a02500540810208400800400000048002208000400248150802a0a208500050010000d4004020a010400208000b00050410d00110242450200312442410008800040d00200042000910000012300a4810040050000080264a002000000302802102040012100a0020284a44004005824000041261080040a100002100400040902000112100d0800204084010081800200015a050000908840300808642210410102108200000d48042410b02308008400f40000440100a1050041020a810400640a00000a10208050800e42040402000010600010a0000871800060080241000015a01a010402000000048b42010208602002810500350002100a0081004090000040a100452600002008208002100c10050110300140500b08808400000a4a240048000000c0804080004874880</t>
  </si>
  <si>
    <t>A35637_1254_8108842000000a02508000300040802108918450810000818852000802200200200210002002018412010400402910a0a21021841084820044000a850008200140000900200a02400018000200412008008308a00440008000608050610a0060084290030084a04020010004285000080854021804240204060020010810021880800040a90041a41800020ad02600000000a0045004800080015040211890041000014201a208408400050040840102000900440400912502a1a41821811084200020010804001091244200000015021000084000855000004a012210450402050b0801020840000080004214a200442500908c48500300850042008108010842140100208500410000000040008110100850018900042002110010a00000510c48000212400a08c00112d00018040d10100440002808a0a04a100a4000045080801a000010f0040885014014020830084004090000a31020020010820a412100040442a1010860000074801824000810000a810902202140a00c00a12940408100542008540418010208b40008c00a10450400000a0000841010281084204080011801</t>
  </si>
  <si>
    <t>A35637_1255_8002240400d4884200000010084040060a80060050065004210204000001200804005090210a05004021885864000230081000810000000080024200035041810a808440900900510500002210000c4000041090090241a440b42110000200c0a24810044824010021040800805094205200020804a01041030880a008000408000450400010600c0844020085004030004a000302c5081020030040001001060000070800200000080025000040080800a000212848c00440110008a08b12a0800004824a000d1070021044084281810090080060040000830010030884004a00200080201280800a000c02040040002a0080044000200200004001024000a10000800a60000004000040230201000000080001080030804000a000800410842d08810048a08400808040300010000200210040002a02200012008440c00840102818148500c4061080200a800008310c4000084094a000048810400000802100248000308048e00502002000040c10a0000050004800a600718940c00000d0000010881804000a010008000410c00518a0800074000201000864020080004291a00000</t>
  </si>
  <si>
    <t>A35637_1256_030281004200a000000410010608040208a02000110c48000402100042102410800608100608012058a00010000900c0000830801000065015014004a600a00300008800800158002300218040040102000000000802208010248918000100008c00140b08940000000440802000000300710208500002402840210418c1800200000004a90010001021021041004a202002100600000100400840402218108e00102400a4260001000000a102502848350c18000408912800140050000f40018002c02000000a00808010c52000110002a00c0a21080014021200020851825200224020800000090285a010242202000800400202010a0a20804020080a00000210015211a00004005004200884024090811a24041040000001a000418008100400948410200650c40000002042258308340800840402800048818040c4a000642002000b10202008002840040040a00242600c00e00010500300840a12100200208100000000018d00608248240d00800002800c4891261a410400040040242048142118008810110200302112000210050100b0200240080004000090290200a40841</t>
  </si>
  <si>
    <t>A35637_1257_0210c08000200140402000958600002408a08548300018200100400900210800510810410840808008500c00210000040000752000540002c10542140012c00450250000000940400100a00c50142248840408400510040902c00102112218800048440e4000244091881000210224014040800821241084280234854240800024201200810800030031005004084001a10021024040000090221010040871a840000a0804001a000800c00d00c42110000100002008c00108050010810940000852000210308508502210000000008400818500610002508050102508800000800042000400500202810000800000042c00040208c02002850408200b0044800024204010ac00012a4090014020a000400048a00402a48058108800800200d40100a00110100802400800040002002100102210900a0020001800080080281084890204a000148212000000058000c00108a02842040900240218010810500108a00100408218440040002800040600202610140508b0864020000084015004010a61020071000050200804814290080081a500802008242010240202c0200a00001001</t>
  </si>
  <si>
    <t>A35637_1258_080a210800000200502600800a0250000880020201821240200000a052100910140a00400108208410500850400812a0004010840004005800214000a112100d00408c0000000250820001004091200000220040880801200040000014001090220201040005a012a18c12650100040100500918202808002300010012d08100a10900c48a00008200710800510108042040110c0024040084800a050018852802102000010100408b08808002042a02540600012018800140340548000000200500240202000808912018c10608300542008e00002150808000140008018000400502102418018848000010200848400800802000010840200340110042200042040002210000508440c4080200045820041a40240220a248002008800000850200008058310200400402c08008500810202258150c00802200600802010800008118048400610a0080010220001000821a61a00200830030800024040801000081200220884081000054010800a800018a40000b00808000210a10040500140a02040018a0a800442408208002218048202c00442200040910200840000a0084250000</t>
  </si>
  <si>
    <t>A35637_1259_8100200800a00108040300140240100040102600800200e0090080820001200040801040004a05000210040020a110a0084221080040a440012000148000300042448000500000150d0001060801024a80045001815001001240081020201890001000020814041850021285080094221241061044081040284280004080060001010280001001050815000a100e00812102e00240242402008000008e1800a212010800048418110002410000000248042100a02250440a00000102200d1004255220005024071880840000010800050a000a10a48440002100110800812240040a00002708618008000002000200500900048010042000200210d00040000000248058050b08c08010850008200208008502208002200840042408802842000008000318310202018442440040102810110008010902010200400200c00002b0024010000080a64004020081a100510c0a000040d0280010000000a00a100800002148d00102018010040212310000e1001004020800a312c1080a01a040140210408410108e0214240001201020811065001020000040800070200201050a85010210</t>
  </si>
  <si>
    <t>A35637_1260_030000a01084085a400408802810942002018008000010800c00600300002500008040902b4030000021800840801260000260090801801011244810000a910000002100040008000300000018100040000400400800000010d00012712900052e10010400100042a08300000442808102150318850402550802800010000412400802b08048102c00240a0080024005204000020aa0884054024845a010450010442040100410208408a10800802142610800a0241a000008842108000050400840108050600900a08052040b02240108110800042100840108200200b08200512100010300800810000850042202048200748858140502240500100242210800100808040100900800442240800210200040a00c02600802200000900840910400142000c0001001041024a10000200024064841080a800300400900002940400200002c00008012100a40302600800c4880840040014024000040004281000000a002000418000140c00a10542900000440802442100442a10108600800900300040008000800000700800600000942002110808110008400800010000a40018000e0</t>
  </si>
  <si>
    <t>A35637_1261_0808040502908212100500440a10052c0224801220885000000030800810080021201014200004a40000035800a102000900012210a42002040408a0040a100100258852002100008a1040a400000740312010010200250002200212000900400840402c02048510000102a00050000240000010c18242902002842008108002e08800048042000500c00040902000000040100a10812400102108440000410042000b42150252108202000d40000100708510850000040600a4040831020041810040004815800801800a002300210310408010218802e0000000890800000894030000a000318040200102000012418110202800040802048308108040000500c08100040800812000012800900300900400002812008808040410142800010c00000400108a4840a00000011a400a00800c08d00000a0240880850885200004280031040821025200024804841210051021010074001021000801a200140848802002000008608010302018210810040842400208302010900700c0204250000a20040024820081000201020a000150c40400c0884010800090044041204a00844210</t>
  </si>
  <si>
    <t>A35637_1262_0202a1804200010021000860060011080030855000000020a100408102648008050800000b0830020860844200005010000000021040280a81090085221020040a410002000202450818110040100a00118202008000000440800240008000558c00112000010540400a08a08452748040000600300810000608000010a00000a00900442800408200900000c12240248608908c0000850014210a002000008010100140a0000000884a44084204a202508200840052100100002140108102240000040000210e08b00240052108a00008118910000000a08000000a00210210040400100100800a0a000102808810642200240408900000108008500200a02810a4a11a158418242000800808310102400610008802842250002a00448002152348a10142408d0804000020024040a000d0280a05214a010002c0825020041030014860840000000254050095010881005800041000000201880001044810044001a408600548c02500202800050200200a40040e00210550400200e0a00020810025020040045a80080211221001050220000250080021000085200281080004010a00</t>
  </si>
  <si>
    <t>A35637_1263_0908040000208108000200218a4010014820804801811041804280885040851004841201034010014a610c02800442f00a1020200804001850094080a100008000800510240210400900240e0850004020204000805a40201010000260040010a800010d0200011001090200200000080021030024041004204200030230040040001080800061a000d08410102800240540100808602840040212000b00010410800d0a04201201004280a00050020201000051aa48802002202018810002210050a00348000810a02200042048010400310000000800040802550018802a0050040800200020800000a412008050300708840248410a48010000018200002142008940008400050800c02100140008200002c08100842800052c0010861011060080a008600508842800202100708400a00610550e00108012218402042000802240018200848000840242000100d00108e5240220090204220020080000284001000030031880004010005045a10000840040050a008200118a5240800020800000000050a21000054200000a810612000050402000048c00a48802042208210712c0</t>
  </si>
  <si>
    <t>A35637_1264_8810010800400150042a08200008112900a00000e1080001810004020804041801a040102e00042302008b1000040020090a20090011064200000010a64a10810885810030004010a010302a00840002048102000012240d0084885021881841041a400800012450208442000000808000008800002818410102010248200050042440040b40100100e00602000400000408008810c00100a08142200010000008010000800200c08440802012000818000000d10008010002208000c00a4840240000001844221041081094010231000a000040042012102a00200400600040840840102340000600c00d0080800221080040844a940100202008a10000400010040218100900802000c1004804200020060804a050600140000218d18000042840112012200002048400600008442a18000242410440018010c1000a648000300840210018012a42410a00810018600010a0010040a102100810010c1255040000820a200000408110042040000608002400000808200018808440210110000300150100002800040a08040400800a4000840080201040031031801840200000004031</t>
  </si>
  <si>
    <t>A35637_1265_0040400850248000152200e1844004030280210001051201081080021800800005221880040021a240c10802002000040a0004ae00200040102100140012100100c00042108002200100408040002f0080801830801280051080281050080030800200014a24020800000801a042600218602400110418040208302100d00500e0000004824040820001880201000010005090004280204060814004210090000200020080221001004840044294001221a80804085004054a010400200018200400f40800050110d4804014050a002400100040042050008802040418412c5a80000a00864000090801001044080801001031a00000240200001000000a84210024001060050031024080020000030a50890000005040801220ab18450402000c4a000300400142a08102140852408418c50640012400000140000848610440600800050018000c0250000814a400200b1a442810202800640410048800040348810100c00000e00000240108440008300800102840100208200140812412008240008008000212000800b4a002900808448100448210400a0884080000200021024aa0</t>
  </si>
  <si>
    <t>A35637_1266_005820001000800000081000021200294081010240800060801034220000840890000000060010040ac00010a0040210800240801020041084010a84004a018140808140000802110b00a0001a80060225021051080001815010820814800005001884000a21010a60040a25000210800a450800000a0001014010a708800100802050102850512b0040080251000080040000810000804090080820080081044085240ab50440800210000c0264a300200400040010142640a08000900040002002e08210000000010c02400342002002808442050500c00140608408a00008100400000200000140800002308248000908100400400040018152d0801020a010300800240300010848810502100208a0024040001000a00051200001a048c40002018210008408008500400200048008912a08900008302008110510002940542002018208240610000800250410300002002050000050140008900210502440b08210008042212002540102002900348008440308110250108348c40410000000000908900840412608a4a440400100010040a0224000260044020000020000011000</t>
  </si>
  <si>
    <t>A35637_1267_850080000004021a402400a5020090054084011210820000211204a80241201040020a00004a010000200118c00c0030880041a110002c4254060a10000000880040ac0220890040000080045840290211034040001001284050a008000300808c40802142900240c0031a410012240900008a00608002010c00012110410000402040000100202400850002802440042210200502058012a0805a14a408048610412a08a02000900600010140802000100218040402042000040402308410008d1050200014210090284080044024044041000a01040284a108300800102202c02300010310a00042042c4084201a202810000c0a000408148102000c0001000200891250800044244a010000000102200c00200002400300208000d5020045024010204200085064014214220a00040835000a440d0004804030004284001020a24004a100008240140d0001220a008310008500042800518908040250442408300142010400208c00648310010008200402852140140410810008050052040008448000148010000400a00208810008040410240842700f0810004241094205000220</t>
  </si>
  <si>
    <t>A35637_1268_851044040080080020801011004a042400012440000408800040c0090001081021ac4084080020071040020024011060004204280060021090020000010011084040844080230000010070840a002a00200500f08010800802008200040a18a00812150000002400908b00400800100b02050500600442010900800202100058808052242000018a0000a010900208b00052c18208440840c02118000800000800c00040000400018800c02010c0004011a400c0040010000805221010044020a80220aa00148200100442002108840040a0000a410000000000250108348000c1014831a400200508800400408308308408812802800008100512200008400000702900002008440218142b02308000408840040100a0800000011021080010080281004010824800a102808312012a08008400100800212052000050042c1090004215a11005040210004800010020020044011090010025260040040a010a08200048008108208400140050100100d12c58902000042608808048450010002000740708c5204000040a148212d00800200010002800008808640200c12000a4200890</t>
  </si>
  <si>
    <t>A35637_1269_080040800074200021a010500c12800508140410200808010000402842000008300000552100000202610400050510c00310400018200c40010008840440010e00210002c00340508c0834085010224210004090010000884020000a400110200402840108040300808402608040008000208a1840020804040020060021800205080024024805880010800840280880a40210000084010004014a40a000640010110302018008000000242010008808050d10400a50102400148310008602048002d02002300300212008050840210602500900800550102208010208800402402000102002808e40800002a00850508a08010002100a4010040a018858040142a02140300400c5040884280a20240211084084014000080060800024825a440148040140810c0000000250a002100208000a0050294080000020000224800040210811011884200a84044005a050000e58608050008050000008500400910342012150000c02a02400000248100100042840110400110740110208a0011000080024811005004045200224030aa00912008c4040a00a00a800b12408100340b0201060</t>
  </si>
  <si>
    <t>A35637_1270_804060840060081a110200110052840408042210500440400900e0000001880000260010084004231051080240001040a04211a00080a20000264000000000001a000100b0000820041050040a01000825a040000040052100400800240f0024a408000200a0a400c00500040942e0001810a400610000500800008000008942010d02200200418110550212900200012002200840050112002000100400002000042102808140a1000000240220004231811020820000004091200040090800a000042040412500408018810a02010002000100842840000140440600c0281800020224240221000a608040b42000240a08c00810450840348008008452008000208000200810818242002d00a00408c00100840000042040000000110640002400840342000048c00000848000310310e00c08c12a02a02048000300808040008a40100610b50008002502010008900402048102100200040600018200950200200040500a0a81001044215001a408a00010010448808100200408000c00002800112800242450040100018500408008052510740002600000308810100a0001005011</t>
  </si>
  <si>
    <t>A35637_1271_0050802542a02252000100158042850808100040808210a0201240021810800030040010000010a20ae10210412000140010050008a5224a400048100740400512002000100310040700a00000840908810400800a0881204084804040a61851005290004010000000080a400012440010610408840a0a040100008042400050808d02c0830004020001a60081220200804220031800884000201a008010000048410000218310c00002208500042202000010000c10440140108048e00050050802808b4260041000041210000000260000854a000000540342040910048210410842902100018500840500200308008608900000d0090801040080801220081204a802042400608410400c4885010a010400010450300202050300452808040648040040408c40608100000818108800040010410442b00110000d00600042002000500300c10000100140900502800a00810000208102202e0030040a81284200064010001a000050e02000408100048a08c50100850102200018608140408010100c00100000050502800050808000200500600240058900e02200100000a0824041</t>
  </si>
  <si>
    <t>A35637_1272_0440202d12842952002218100208000648a02100e0014844010040024a108900a00000042d0011014230010800a950800340000218802c10542500808402018112018000100140050810c0200000024210824040051004840014000220000860a20800000a00061a010012200c00748110002008008240c00148002008310008202040c0a00a05030081244001000080801000001041800004a840200000048202012800052200400240008440e0824044000011024801210a200410000e12008000340a08040200040000000942a10500000e4000a450200002140510142000000800008012010e40408402c4010000201830280001244280a240c10508400400e00100110800308c00400008052212208008e4a40030000a000600112842902402140048800100e5a41050084840020040a218400108040350800418800900800102050900308248810008158048008400c00050148242008800a1000240040814020a20000220a910d02212018c00540010002200042000800800408102c40000200f0004064800010aa0040801840000050060004804820081880000064290211050</t>
  </si>
  <si>
    <t>A35637_1273_0002c40000400a02450010042600000c4001a30050000020a002802140212800c0281851004020010080840805041050010020221810841004004084214080840060001080080044281880200a050040040312800808240100140818210018800852540202908040000218240c00200210418210700040500108042002200358002542800008040000850a08410200012418500040818810c08b5000ae00010000040948000208400c02002112202000610f18108402000140808500208100050140408012050a00800000000000100018400040812000d00200202e18200018010048052158800908200102202002050c0041801800000021251000014200015280200874800800000800040205221040081001210000a002310810002018842d02000202000912200c12348040000200f5020204084205a400810d0084244000824040841000280a800000000448008008c0245010094010860000800000000030030081011841040200010200040891a25284060a200010510040010c40a0200201aa00e08002400c0020000801030a808000a4004004890054020000204000a44011</t>
  </si>
  <si>
    <t>A35637_1274_810a008000000100110e10000a00050102200040100142850010102840400a00008000c0220085010811020841800294004034a00001080a410000a0005840010800a81004000840200860040054000085000211824040880040a21000800034000090010800801000001881000010020874800025804014270a800300c00c00242c02808200410410402012042108148002900008018010248200540000600008c00000b4204200000201004044080044040010284a000208000712010602a00000d08802250200410240802000010000e00848400110500a10112400150800500a08b00258018600a12000a0084004281020800290030080200a010c1880015020804800200000000201020805801011040a200d00448948100410640008800a40200500100a5000a14000020000000060020004040801824210004a40801084090240010020024a01000000041040001a852500440200012808802050040e0080a500c1001000a012100b00040010008800000800110102800142450000200050400100a02040c00002940140808400c10902a40100018100048018c02c4a300210c0</t>
  </si>
  <si>
    <t>A35637_1275_0900800810c4a10030aa08c08040100002240602900402212800240012502d10818c4010000800245001064200a040042048412410810000c1010004860a208d08040000008200300000902c0804014800a00ac00208600400c4205854201061a650800c00218000208840800802200110000c0010060880020014020050000224a040002300000300308808812400208408008812040000200202302100000052100440800442500000800802002842208210000010110500a08108200000a0040010280050001001200040050005a41080000060845020080060890024001090240000a510010a1001280000880005070820004a10244a80031a210b00202800040812450f08d08252c10c00008508010e0080001000a00841030000040881000834a050010010808042100240640e00a1000000000a00215880001005044020800a008800152040852002100218c00258200042000150442018050c18000c40002250810208000c02440000000808500400010900202218408142202c10108140100108040000102a0010010030044000a410842052040200240c0801030020034220</t>
  </si>
  <si>
    <t>A35637_1276_0258050000000310402010802c00402000842002818440802050100000008a08210a1204040800030800840201a01094094800081864044885050084230001000840205044000a65a60000084080254030a040008000650000008002110010940602000900000042200502012000808100300808800802800048010400f0000881000064001050a00005200804204081001060060004840044010804a81005200a94040034011010004200010090a20051080010004011020280050841050240080220094824880080a21a000040010200400608242802100018012200440050000c02a40508000312440c0200081a100400902210802c08900200200408440840000a10000000600202000200248018400a00000500202348110308c00042012000a1010281050a040010400040000608010a02110400202010208012002500240100512a1801000811000880800001081000000030010004820020000a802102348000800300000500202810042000502c08150b0201821010874080a10084001a318400800c12110100840008800440602402402000408808500052852200252002a0</t>
  </si>
  <si>
    <t>A35637_1277_8112002010400800702000c00800042102000410308048400450042a02010000d08040840600150408610018010c0040aa10042500a08a18000200010440000210002042202a10400b00100002c40000010450400d12408050200808000000210002002000a0210000820a40014244080001a200152210400000100200300e00e0040080801801070810880884000011200021810a050810408010100200858012400642200400c00102210802800200000418012400800002a02210000050840800600008648018250000000542348102808210410842900040210708a02648012700050002210100202400440108200110308402010800050002100440808800a42310458100d00c0ac10100040042000000c00052100308440410918400040c4a200310608008410010600b0001050055825a410040100000c08142200800148152240818000052540900200400800540018800002258150b0054804080280000a140218250000052c02000040400400a0040200025040840040000210210000810081090880040040004854200000085890014234035201010081051000000a34030</t>
  </si>
  <si>
    <t>A35637_1278_055004a002202000008808c02e00540a0010200890004004240014034030840080041894014085a552100008412d12a08000208a00400602100608000440a00a18c0080010000024800030040ac4060800000800811020a41200010a150000900848802c00a00150e00412808040502008340808110010112808118000d00302200100440300000300858052050448102218410a02a10100900200600508048240100240942508818a4a008440240010000000348240000a40a08200400510c1004010a80800810015220240040820a110000402a00440a02040100a1010044a41220200814060820000001004020014a800310c00840808140040d0080000010010201240080070a600000748008040008118010812240840410010642418000802000612600018a0004200000240000025000084040810024280014880205270a202042010108010502c02818142008400010000e00800510600810800810008000108400400810000a0004a018400a4205a810500802008400600800012908050740a08002800c0094080270001090a00004010894a040900848400000000a0040021</t>
  </si>
  <si>
    <t>A35637_1279_0c12058050002148340510000818010200102102400a00208000600a10340800008248c10000010000b00240002002008340050800200812900108040100400610608440002052200518040052800200008200008000202102440040210000542008012100000210200208808c02200100000100318408410208200100000910040012348240042900a1880800084024065ac10400802502000210010400202008950600208200110200400540000000018010208208000800902010318a02240800602000708000012400802d0010821000840040800200800010010024060800010080060231084ac1001200020044a100310658000148042450a00308c0084044831800080024001a000c40a0005000085a242000200002218c0011081291010200a208810400600002102000010108040040812040818012008110400c00a00b08000808040200010802018202408018008c0004080020050081245010060a008040a10802a02410002040012800902a00400102010210000200210010342800440808900202000240140408100602000840808b5000051000a04800010004020890</t>
  </si>
  <si>
    <t>A35637_1280_804081004000284040040081a61000214830800880024844014040a900000010450808c0220094200010031a80214240a200248000b08e08042100058108900100658100c0a30004860020244050014030000020000821084000001000000005080841080a000012010c10208500048a10202d00640c0201034204011010084201211040824844220001880805044000800201850060051010005021850005a000840600800200a10200008840000218100800802a4054210204841000800a402402102800018400810208802c02000748508140c00000040202200500600010040802140300800900800000208800100110900c10400000202448b0004000a040d00000402c1024080005014004a600000058852000400a4800840000000041000880044290000880800200090a048210648252840a00010000208002840112a0205070011814080204014a048300400400200c02000a40100c10800a12000808818200d00100410000000048002800042000400300810210400500202800108018048310c08812100a02810240400048240440500040000410c00200500100208008a1</t>
  </si>
  <si>
    <t>A35637_1281_801000095270030841840011a000010840212050400000402400040050008a1000a402040c00042408708340048800000800008910110c10502200000000900048e50140d0010055081020000a85014800004a000002042440002140300208210c10000700012400000500058040540042612800002a00150000100040000c0a050912240040000000010018040b4200021a01084804240000000200090040024210000a04004a000458c50010900008210008700048540100940002a08910042402000058440218c0840a110100108200a1091800000050000815230040020814080a018400400210418840100010300008200010100042200540010202c00550a00900108810402008c00000a00200218240400840100842240000100c00800900200002200500440400200018402000508600c0010a84805240064204210230a00014a400a12042012042012000200602208c0240091a702000140402000640000200a0000020a442000242100108a12008d00000a0824010020800a14210210041a40804a040000902040200a1804820010264000a010800b00200010940800012c1</t>
  </si>
  <si>
    <t>A35637_1282_0100440110a08100010000200042400a00b0040a800100852010000002118600410440042208048152800000848010400102100008842840c10402310202400502010840848050008400042000c02002100100008c0a00a800108240042608c00012900640b00440000818000010700008302c00910000850a0000200000034a400010908208600900a42008400242000008410210050800542a02040000118410042400000610100c1a20a01204210024a100f0221001044200001020800a200840800012000a0000a008002c40018700200058000000800b0000220841000a140400108142600258800810300100048308000c50400a0010800251004205884010010800a010000400400a4001040001005881801020201004840070885844020001241a008200012840c02a48048500208002000000040300f10040400000c00002400008040800000108902418000600210000602000000600c50208900040942042700000058040000040400000000c08002602352048010802440000c00940100a1051000204210200241000004805804240804a502800a02e0854050020220010</t>
  </si>
  <si>
    <t>A35637_1283_0600012800902042110800100642040a00250300008c02200910508900010b00100808100200940340800508400110842048000310c00800800c0224010210000a602010040800010c10c0081080220091824041030a442010402000048a08a4801a01000820a058100402202810040100210210a08610540500100000408000a00852002000412900040c42900c08002440000000200400c00000200100318208810000808208600110808100602310448b10a4a442000448052002d00302800002008110048000440040000002010000300600a10c1000000200080800040000060880200260084005a40050000211a810d40042000900800102e00c00600902b0034020810821840045000280845040800000204004820800211081881245080800000a700240002c10500140008010412448800a0000221001000020280204080000840044821040060a208110008250c08100802b4211040080241014044014200a210008042810802840210108050800400948300000100110202410c0090001081090004880010881a24000081081854200880020840015081200200024805000</t>
  </si>
  <si>
    <t>A35637_1284_0502400000300808050400248008040800000008000802048c00042140500100300202010000100102c0005a012400140000202808c48a0095004a01044020850204210004000050280014a442012200000610300608c0200020234061010010200a040400308500000002050850440040018900818040d0000a10004a800110218c4080000844020020004211020a20221041080080a500c0880004a10061001001004021230000810025a10280881200040044040241094000845a000010a0050280004a002500100440812008302402518d4a40804060030050800084080044000800844211010000010014005a400c1041a400d50300000508000140000510a00018600008000600840e0091200001000040080050a002310008e0a000040148840010a10002c10412000048058000200248042400000010200018c08400a00010440000c02012800208340202308800240040000000400800402008140a00810400600050008400a00008140500058010900000200610010000400140d0810a010c08018218110842310000b0064820814030800000000890800000000800241020</t>
  </si>
  <si>
    <t>A35637_1285_081884a000002110300200150800410a40242000110100008c5200a210642900b00a00012042018000400310000902000010250018018400000140002008100e10002100448000112500a12400000b00240100018400050c40140240400800008040012002800402410840202000c00300002a08048008002508142410808040802800000848408218958040100402040100300802242802040a0a408a0080001040080001a15040014ac00810000000058c08408a10c0080000821080010001055010830024001044001800090201200071020201010014020231800005a050000540040002800218000540b02100042000008a4210230210024a11801040080200205040201811a00201030a802008400000640440200002202008050818502200800110000040040040008100458410000012040000210248d0001a018840802a02010600b0801211000021244ae0004804000284014250281080804200060800210240880080091010204a61001014a448140600a5814040830a418800608002400800100000100040312040a0875a01090200000a040500150040002c4011831881</t>
  </si>
  <si>
    <t>A35637_1286_084080a00064a840240308002242400048900402300900202800b4a040442900c50652010000200202a1081024250030810a100a0030044a042100140040408212c10050a0080804280804004285200000240a40001a40800000a212408410040e5084294080020820020001a140802248540018400612140600a52040010018040000000802018d00042800012402250140500148000110140100100000048200442142000012208610040402240a0000200080a00a040000100200208b0201a000400a0200280021285814060880010081040000054280220020040800005050200800814051891220800080801a24020004060040084081250080014840080090080041a700800240000600002000000310e00010800810640c0814084000010a24000a600010410840100108200300002418400148300450000012240002208018002600202800100500302140408010850410402108402d00402800c00c40252218000c00050102c40a10012010002808000800000010218058000400200000148100e08410500f02818002010050c00912000010050010d4200a900e08218400a0</t>
  </si>
  <si>
    <t>A35637_1287_020a400440000940142800000000840602300408000102202810000102200c00902010042208000200100000818140542210112600c08402510008302010100940800810c02018400218012200810000802100110a5280200280a108010700308648400242b1a01021800a410042800010048408000600042000158058210000010800a02110058200002040502800002440a00a0000240024805070a40040001005084a80000200001a20001000010040a018c0040084200025200850084201010004020004aa1091221054020010261041015000041004885a20a010140400410402010000610308c12400600300000210800c40400600248100008008200000800002000008c00000912c4224a418c00502018000402840200510c58000002500040010100142012040808208040008110200100700a00140810710008040802900402000040c0001000204a01a310000810410000900100810808408410308040002400808c0010030000a40ae08208012800c40008018800108040150400212602410912800010802140010410c00040c00800152100018c0200204004820a41000</t>
  </si>
  <si>
    <t>A35637_1288_004800201014030040030011045800200a800102000a08040110000850042100410408810002a0020001881a050040100140000400000210002f40a40500010400618002602302148100208a08440040108442010100008140700008008210a02650d40108042508008348042040b08040002c18800410800840800050a08908852010000808000800308008002008000440300a10c10d02302808202410a08202c1020801000a20021000010240a910250800418240010002800118a0001000004280005820200060000004080a000302100210048852102212010010000a52042502058000908450000500000040758100150800012508002200000300800010002840008308c4001001210220810040004261a00020210040040080a44000094810240001820200810204091000820804005a910200200108018400200500240a0005021080800055284005021020000265800030a018042010018842400200802600010408850402002000450900600a40c00b0aa10210200200000000808100000608900450810648102008100300840c40000108108000212c00442c0001010000</t>
  </si>
  <si>
    <t>A35637_1289_8040050100840012542c00e00012810108a00000610040042100808010210000002200040002a42140018442200000400240402218000000402c0005000001804044800094800020a210110440102c00a10040010048e00800108812002600300048000d40002240a08300040400040200318a00502048102840202000500310a0a400100300210100040652802002040000c00102208810340848000008008c42012308942140100a40040040000808250108918808400a42010400200c0000080210014010a100058a0000230880801a20001000010280880204881001ac40940a0020220040800020a000840008300c0824200840080a100010608a02610440c08010100d0014000200080001004a80890200081090004224200040a002440408012240008d0840015014280021020004884000050210860000014080801200081800080021a01810000030040040811240041204080a00800865005010000821044800000081001020800010a300002040c12142850302800040a4a10080020a508710040012d1204030a500000c1a208040100010040100248a0200220091060041</t>
  </si>
  <si>
    <t>A35637_1290_080a80000200010044a908010012800402300400300418800000008000140010540848100242102600e00a0021010000810865080090260a440940100050900208208000400812000110c0aa50102100000602000400800802140000250210040242402048050140900208600002002258048010a1201a400202200000408008210000000000400810400410540740008300208102408040700b00008800c48248500408008008000850810410c0004211201881005004210880211a800a0804081040800021000050040280214010201200020a01010020004850020800800090080004a00a31014000850260a110200c0800881044040004851200021000000000821841aa08010250040100800240500c00a40810248018200400250c10840808810012408a4a208110048200000b00942040812540840608008840400010440000608118852802010300010450110008800100340102012108640000042200218040100040c0200064804a102200600248800a4090200001004a00881010201865060010080001060214000a800d0000a04024020200221081061000004084270040</t>
  </si>
  <si>
    <t>A35637_1291_8100c00012000200500018000250010000800740100000208100000800400210a10000d1284000a240510010418442008310240608140018c00002b1000200080880044220824260240860884000220200a300408710040002000102140400202800d1004004021060045020844014230031270890004210030880025000800000000060000a208100218440000a0804001200020880051094034a000408010040d5000030040a000100400810008040500000002400440d00312040010410a5a000140100008300248010c5020805a01a018102400000400140008d00800208c00000210300400a00440100000002212c0044801040004020000820844001804000800a002810b00002840000210400600f1000201090800050890000800001004020a440410100810540342000012c00500218850800010058100210000412000100442800240208400b48002108808202000d00800252610000c02800840b40800110510000650410000300050a0874045200010a840742000410400c0214830060840880800001280804020091001a00a000400240002400218000000a0014044800</t>
  </si>
  <si>
    <t>A35637_1292_821080000020000004070080004a04080020230201024041804024284804ac0800044045000031060010000000090060081000821095041240000084a24020085200850284001220001045044a40200a842410008808802410400018502000a00802c00700150108800d0821880000025824020821084a800400000600900002810012002000040508450e00010442140040a08000240900902142112808100248140f42208010000002242810c00100200b0000080214240084a102900440a00510a0800a408310000808100400010042810050240400000040150a00000a00d42400802002810000000810d40008450108e5200815004001a04000000001081014001000220000045211044020000080880881014040024a112a00402240112b40908400200012400410002140102c0881800284000800a21010040844040060025840a300800240040000848118410008840040b40810100400010858110400010048208800008002808100402510950610000a4820031070840021a812840000400100202200012008a0240860004001000090004061810000080a40040210010201</t>
  </si>
  <si>
    <t>A35637_1293_0010208050042218000000240040110900000440900802c0080040011844a200408618900942108100200008642c10802a0000000004200080060a05a002c10510210100808000010008000200052048810202100708410010b02200218000102000900800b4800000031800a10034884020210800084211000821044000040000200090000030860804000200060034a000200000048900240102118008008000c5040081a050108018848140e0000a540118840002800c08200350100c0200004000000020a11820081a00004221a240810408010c0000000851011090000005250001804000874040245080a31a400600318c0a102000900200100a50840010440042000210e00810000502200202408010212142502000700000148000c12848142708808900000850048200002910050218000d4a200402208802c02002c08008408400040c02400a0000001aa10c52410100a00050050800208002100800b0200810031200240200a01840020000244840024084011240030aa5044024035000a208100850000540a1001880844001a54000a042300000100810c10f0080a00080</t>
  </si>
  <si>
    <t>A35637_1294_001204090000a05000040000860001004020a040a0805060280294000015a90804aa10102202800112400d4000010234000024000001285041040000820040804020241210000200220041000800010a018100400218002110940b18550000808012c5020021044ad00b40000150c0200014090805004040000220221ac00c0800094210084801800804040010004020005800011880a11004a800002308000808000200008408010210440000c0004804030830880204000210011a000e00840900240300400208642000d12000b0a008000042a1804024014040a400a1020210030224004091801025891050880240011094804a000602000202100c1065200004800200090055800801000000810201860040844020284220200001001844090090060a000248018800002008042100c00200142b0080231020040ae02c10800108208400a00040102e08048610008040c18500000212010a1024a002002402010300008000c00800000a48100808000e00402400240440008412450112a0800225000064000010080080044220001805850090220010200001805801230200a54210</t>
  </si>
  <si>
    <t>A35637_1295_0918810402000800202400600800500100202018b00800002150008048000010000e02000202900108b00a5201001040a100100008308400840400812408d10810202800100048512000442e1a140202158210a00b00802900100042000200040042112800000048a1000261204020004000050001000000010010050a400048208410040112008d08310800800c4800221000821060050090204014021000a650510400002018600040840102308000200000510000010840048408a0084241a400900842102010610008010800110002400a08802502200218600218810008402200900140410e0a000802642812040410400050010040802018208502a4a950440040010000802010940300118200000048618812002810018200200400002c0085054021011a010110000048048100c18a08042140900210e08950000500002908040110b40048500400150600600200610002000340500e00f12010002008908600200310042440340000108900e42050000002102000400000808400700040352c0880801800080284060061034841010280200050a40800020090220820204280</t>
  </si>
  <si>
    <t>A35637_1296_0558a1004234090004220070800204030801841a21010a000810702808048900110000c10048a0a508400002440040000850352210212412800400208400208418200802000200410408802a02400000048000110a08400000400b00508000842402100100040042110100852100c4034200001880000000080805a002908050008d42100002000110000c40c42008800108200208210c0200000805050000884004290a04a04a010302210512040b1000040044805201000001a40000024200040050001011800841000844294001001200000a01001024880040020810200080030814045020020a60011004014030200000824000230011260a400400000842408810108508b00208840000200002100408000c00b0024205000860085014260000a00820884000a01024005210000044040040080a952000000000640040d40852102400000e10040040000200000048000d0010084a040818100208052448100340300610048000000140608410800012500800108040818900a52c0264014a002000000600400408002610408240040802002200450d0841080200284201800000</t>
  </si>
  <si>
    <t>A35637_1297_891240000050081820230004020011080001231840010084a802200000200010c48200102508240010100a08002040708150700a08950240000048200000010b00050812600000448100300400042000202052610808a10000c4084231220015001850230000a50000071020800280000050800004201201080001020ad18440400000408100410218400840802600040508010448042002140102040310102012002002000450818808800000002a48440300b1801000200a04824240011005084034810010000090064884204880040801871840290080021261040041a002440800140240418000200140c00a0a008a0084001880090a00211a910048002040640200042808410800802240042000010040410400b08800100608250042000848110042200342040900000040048010902c5841044804214a80010ae0800200020804a00004060085010020011020021005085200021a10080045041811080810000000020a00010014230060ad00000a00100502a4020840811805010040880020a118a0a64240040801021001004000a00000084a00801850884001010284000810</t>
  </si>
  <si>
    <t>A35637_1298_021040004230800011a60040220800000084851020840801890200090005080000001a812c4a040200000702600100842008210000a00208102048142402b00a40858050008000412a0801020010024880830200080000201044214a110c0841824044030804800201884000805010a010440a08140800c00202210040000c00800440108a42100418400c00000000800240000502012800042200440410d4200084080a840008210c00600402002050208f00c0200080200024a402a10110c0290040010800881041a80011090001240020805804801020034201230000000054220010000040001a45801014a000018010100600000c0a200010808108000842c00208100000800a00452200000240100040602400c00842000310000000002048a40310d00340418050540250200400c48e0000040800811090800a402402008150000408b08a0001220000004000880a008802502800540d08200612050040208008100802008c4084025010240020204001024000830050021801205040021844001035040080020880a00a80061a40215040001041200040044000280201821880</t>
  </si>
  <si>
    <t>A35637_1299_8440050000800342208a00902c42000142100000210158800812208000208000502000442308010540118b0005804000091004a100100400100148840200008010e12000000a08010800002802800642300000010002208d10400a1215250081805240294a100000010040e0014290884a002810840402c1250080841011051804840040001030220080080041020024820840020040205090a000602910242218442000000000900b10a48100b00040400600008602c40440210540000e0280a842008312318808000e0004060280204830800200201050211200081074044010000204a110000808a00d12700102448200010202142808140042800048040840900200212000200842902008150000e1020004840220a918040210808e18100500000110800640800450042218410200410040110a0014830200841280200040025000090000000214044aa0001000004004811004280041220000a840d0080080020801830044000064a11260080080064201000011220021011000210200230814010800044280010884044060080800090080884020200000000801200010065080</t>
  </si>
  <si>
    <t>A35637_1300_8000a42800800000000010c02008c4090000000830084001251000294030220880820a800100218000110400c40110500a4040080025201000060a100150400c0004001024080220000045840004080210800001000a00a81234890000071001821840044020014800040040255000000251050050820044044a04005041080041010000081000000000a01004290021061000010800a050c0a000500e00c00200802800802350308210c50440048040602000040802812902200240508c12c0054060a10800000010004a00064000001020081220890280814a448800050000040042008600408150a00040200318002110840a0250080001220200865800a402c00100210c0000240090064220020010010804010084010005a010002408040040008040400000a40010b02000000018c00042102008858700a18902012802000840448400200800000800002302200140008050140910200808408000510000100402010000200410002300250000008240c0090a80050030020805010070a240302018512000c0040814200a108600012002040002210510540200d0204204001071</t>
  </si>
  <si>
    <t>A35637_1301_0440002052008210002100202010440000a00002f0000200004040800004060834000810020210005860064020004084800044040040200a85054001201880001804081004810210a910942e10012a02818000118110612800708040040218948000050400040642700010440000008008242410902410410e0a00030000084024080040aa18102610800200c0200a20075220000805a040200012000600610818500408240302810400418800440000018310000040010100902408010802202000842800408a1000a000000008108010118158002000440002600e0024020a100042010408018740440400000208248000b00e4000200a818000800012418800240802708c00300200450000818200400c4020a810842108410900242810050040000012c08e18002d12008300102010002802100a0280024a000842012410000100018918012802000540142000400350008052002018210410a1200001050a21804880000840804070021001800080040010210000064060021080011080010800080001021290000000a100100a00a08540048008042a1084200a040d4005040820</t>
  </si>
  <si>
    <t>A35637_1302_020001804014224a710000508c10912648308340818400000002c00102240a0844804015000a240200200508800500000858608a18350240800200000042400002018140508000240218640042500840010110100a10200010408000300100000008000000800308010812048800440b00118500e0a002802000252000000800400000d00140100000800008440102100542800d10402442000002602600a4a84200220080020090004a800050740000010c10118a50040002a50002210102200100740008048d08040840c4040a000410c0030041804004014210830044804001050aa1201001010a042050642002000c10c10200100800000300010c00812412140900050c00540800800000048000608440000440202250000010200800010348908008200402400000b4020240020805240a51044080801030011805000020200000801080040040004011830240081004850200001020a10800084a040240200042a08802a52802a0820205001890060a000502142000408050a00002800908010208a40012140500100200200002e08000042050042e0061844084020001231081</t>
  </si>
  <si>
    <t>A35637_1303_050041010200001800040014000a000802012708418a1200055090200204a608400008010900a5001881024024801010a00841091010a24091000030001211020020240230084800011030044205020000201801801a000000800808000e00002a5081000814a048410600000100c0801860aa00010a08010802300508000800a4ad00202210050108410200800200902000400c40418002840a52102e00000018000440042048100048a12402a00008002800402050002c0010000250025024a00024080004211000081080020811800201030001001020025241261090000004000294800881044284800064080035010024a00050000204255a01091201200000a34810a300e08002d02848000002210208210000140840500108848402010340140200800602650050500002002100040002c02000310408408208440002708010140900008012040140010042d0010065000060890240800051801001080000200000800220854024004824040010001800000821004001804205801004a01200a60010000a00200a040010408100040810900100012010408402400100850502a0</t>
  </si>
  <si>
    <t>A35637_1304_005840a04220030244800020a440000c02a0000a408852012c50200002112610818010d40248110210000100800000400102040c0060800840000804a050008840c00d0020821a000000442402400d0a002202000602a00900840a0a250208940800002100800400200818012002002008210808100600040240808040500518c08100300800540800a10040050400010442200008848140048000110018410048912800200010c08400000500a00150108500040418000202b0025050001005a04244000201a800b42240000000210148600908840000040102200808802250010248050400e0820804080210011061801081800005040814850080011a440040008810000110000640000008152202800440800140400210048008a08a02110002208012d0080080ac00b0285000800040060091280005260801820a01804010a202440400018002102040208412800542400102c0004a502018a1020a840140840202000000002800400a4004030004a00800210030205040060a008840c00018412200502810140a40108040208c0a850010000218402c00100c0011014281221211</t>
  </si>
  <si>
    <t>A35637_1305_0050050040148002100510042008012602a08200c0800220090010090a64090025004040220810805080000844210034280001a100400812d0200004040a500800a08800108002002100800240d00002212600010040008400040200008000252a10010c08040140408500c00950800b42000100002012002000800300000000818802708040250200002042100840a00100100148850402842058102008448440840800300002000800c08102100310000218148a10402042240140100100240402802000450010410208902540800040808002200400040210600808500600c0044085035800060021a80090814000210850a800910108800200600112a0251030804260a00001004005034a002010400a1020010000804200a70850204000020000040a408848408800140200008c10008c00d0090800001001000824044280210050800011a812040200048540508200202440140018340008400040102402840000000902810112140a0030091004240041070020051280090a008152048850000600210440402100310200008312002110400040200c00a0881804050024840031</t>
  </si>
  <si>
    <t>A35637_1306_000080080284290000a000442210c40102010048800800a40540002200000c00300a1a400848350010300010040942000a0010220000880a800c00040352010110002000800108008800a00200000008000440500b1800880034a010010100040c12000008210242208112e10800248008000800c02048800042040400400648c1000060010a20030814004801040010041000020001805000011200080881040290080ab00002410548602902b02800410000052052012000200050018318208440f08050100210d0020050084804200020074204281040aa08000a10208c00040000010018200410018102202310440010002418850400802140108910018152e0801040010081060a000148108042b00802010100100002400210100410000200000448108000e5200240020a008200008640400800940042810940240042000a58640108308800c10408800002010002c4001040200a04080060a800440002110542410040e10800240110008100e10202102240002002d00910008410000210108d0040201001204280000a408c00600110048000100010c0201000090000a00aa0</t>
  </si>
  <si>
    <t>A35637_1307_0002048000042848602000a4040001020a10060850004844ac40902048100008b00212400508012548000500000100840008200008050400800000102400200342812412800202042900510a18040000250208400a0200890000020201020820081214000020a242900402402100e08840242110648018410602000340900058848400100b00400610240058410b00a1000080005044ac0050010a010500100e08000100a12040000002800c40202000208408000802550a4200800a00051240280084200831000000200a04004a81000ac00c02002040340048240400000a10100b00140000300118000002608112400e10418000852802040400100410000000508a00300400010008c52540008008e00b02000002002a4030200004800a040b00100218000140800000048310000000002800d00d02000140018048408512040002000918d02c42000008a40010208508000900048000302b00c08400002a00008510000018c0851004820045020861805814020080814000031000000020004040070000a200400d0030071aa00410a0200070021021000041824040244010810001</t>
  </si>
  <si>
    <t>A35637_1308_8010218000d0800820210841821014010025040010000064091020021205810000a840800440808008010a00a18400a02140010000e08e0a11000221240060090000ac40e00040000808040000450102850100200112210442300012000e18340440000400000100008c02010150a00040018800110002910040200100010000448812440100412800148c1291224000a440410408002000008100010808b18012542000010402110848200842200902008000210448c1080a118000610142040842002840058000402010840200108002a00040210900a00002150408818818040608348240000910000010d08102008318a00002000040300008a1804004815000000211a410012400900308b0004001830080a04004800a600018040200802a02152012310000840100408200140000058048040608018100000a1021090220080004080010800250094001250000031001200044001064a00094081a550a40248310308000250042408942500008800010040442042402808050e40010008800410210002210042442118100000440000d02148a4004000010801011240081020a20</t>
  </si>
  <si>
    <t>A35637_1309_8040040400002302000200018c0000020000201020051060040244201a010c00540800000c4000a050c00200e00000d0001234280005041800200a10020ac00002008100a40200002500102600402340008600318008000100900140200c10c00e4241090a04220220090a000110202008100400052650042300802110c10b1084080244800041000860801080040011205080840005000280824a340010b00000500042948118000250042800408342308718640808112142a10408000d00000000a00200502000952240440840008040a0040804a15000820a00050021a01880000224014231800a00a440600840140700800210500a00012300000700018452102902410800002248840c4801020a01850080884060a000100a1800201215090a802200608108a42010902808040218050002010000148018000202a08040448002000c00210000852042000008400c02c0204200211000200010020041224001044a100c0804000010a90000080025081050004000051040080020894000210241800050040004060015224091880a60255040010000021804005004000800851000</t>
  </si>
  <si>
    <t>A35637_1310_840201240020080a14a00050244a41000285000080010084840024004a24001850005890280001834880010201044204020004000010820800000091074001000004080044000030080810a00881020210020ac1001240000084020a240c0841a042c00140a00118608440048010900200010c00112000002100008048800000042000100840000108840c0250020a052000100050c00c00200800202110a02810012240100008c00000810500402a00050600000010012a0011001090001001811020200a100808400610840000218040018208008050c0a040602b10848642040d40842640000012010000400a0a30200061240000204a012110000008840850102202400500500000800e0a348008810100200800100018002410d18a00500302840140000100a42000000210600a0810804200040800860ad00000210400b00148100000442042c0294000221001040880204044081a002100150840000b00300258300252002040000008602000000042040002850218010148040800008140202c0080240a840600100400100100e0040040210a408a0020040201200001040000</t>
  </si>
  <si>
    <t>A35637_1311_0b18802100000008110800100408d10000202050200200210452802010200000748010002200010302308010810410040002552a18812000142200818200518c0004000020081020a100240c0854000284054a70085200204260004000820060000054040200a14001004804a802600102600000500000100a0000050a010940600000b02002058308400448c1084814221a40000060a100a08040658908542600110d00208040000548818012100100100200948600800840000450200c10000112608940642100a48012800308040000810012000400008a0004a00011004a400800b00310a0800220081080200030000000000010070a80800040061001ad0210a040400810a02240102400010148110c0a000802040002002310800800100448008000c10a0020280004081000250090a00000030200000030000aa00000002012500400202c08802000900208018002412840c0010265820020805800000230000090044000200004000220020840000010000204041080000a002142208a0000291004004000000010804031804045040050000004030064024850200891204240</t>
  </si>
  <si>
    <t>A35637_1312_0010408402208810200008002c48800000100510b0011a000400700218048608252e02440040b02400008a1280200244030a04801080041200040801020810084a200150800100410000100810000b02002408a0801200081050004240a808100002010802100000700008000802008202050000648050952108200000300a00600c12208100000800800810002a4000001880014065a100800008708100b00200410400000448508640010000848308000a0081844a440000012608500000852002502250548700018802410200042112200842018010940002402e0035044081000000004a00000201a540000008208c00000658002240000110810008210c00100040310600000802042040118100808010802802802052008500000010010508248142a0000a008040002010202000008410150140000000500c02040812000042008008608400000c02910650600040202400a0210220020091200211200034000881015800040070085801a51030280044044001005aa18308240840500a18410b08200202810c0201871801820000010040a040358310000240002000802200e0</t>
  </si>
  <si>
    <t>A35637_1313_000000a10080000075a610c40012000100340502000202408510a00900642100400048c02100808208218400808010e00800602208a1821000044000a108d00d10000400100100218a00008000110c4011030080014884254004a010240000000008c00c0a050102008250002410400010400110400208150508010200710410012802a48200100810500c0240010081a012400a08200442002248440300350002842b00048240908a00612442000212048000518440942a48050102010600c08440102208200800800042410042300400800d0021011080814830851000021200010020000040824881804204a802000100852010402008000202000118242100800110150808050000400002048410008702442d0000015040080091001280040a008002000218040442a0080a202008010800540000902140c0005a048042a00010410c1061220811000000015080881a00280004214040841820a408010000810042400108410500148108018100000648040100002140800000c40102000200208200c40800102a0001030050800045a01040230240020040245000000005040020</t>
  </si>
  <si>
    <t>A35637_1314_0042208812540000418008d5a000040040052040008a00808940600900100208200000012000110110800802010040448042008b18d48000000200242300810850600500400942450408200808112140002018108058010040100000048118040010850408040448600000600100a4a80821080000220001000010800840840a258400802010150400a00802c40900110140a0884205214210a040110d10008e40010508a0024241004a01000084000021200005000814060000a000000000202040300b00200400d42000000100a4850a500040c00012200a0244a000110010100b40140000000400a02000000818000000f00240400048012002100b0040a10004880000800084a018502942842400000048808810040200140108908002000208002000a00d0005a002008110202e00048840810000102248000c08018400902000042808002018002240202110000202008400e0000a010c00110640010442002610800158a5010060811801a100200600040a0200a102000a00408842100840000410002210002840050400600908840d1040000020290010001000034200801200</t>
  </si>
  <si>
    <t>A35637_1315_0140200040908800410010808442812100800342400008400800302810542010810040040f0214801001044a20a81284080800000041a000510802048210000040608000200100212a0001064000040810000021090a45000040000a458310000e00002c08100000a00912000100400008400e08808208c0200084a400610042800c40c0000024800820044ac0000005014001030064000200020060001015001a140500210200c08810048040a0000000240040000041024214811a008052000840000002108508042808912d02000402100000c02900448002050800342402002c00000012100110c4a010802140218500a4040290000024864040020004201044214245800010081080030a040040008510008c0000021240070881200014200014a100000442000040042b42050018012202500000240002510940840042340210718008042000900c0004011001024a800540200102000710000a08102102800000200250000542b00810000218050000802048000100a00210200402e02102010c00148842002000a08048500802018010800300642100d00000c0080200811041</t>
  </si>
  <si>
    <t>A35637_1316_0e0241a000440300108200f0a402800740000010800408840010008000500110000a00412000052210200050440100800a0200200011a01000030000000a908058800842508148148000400000000000818548210542440012000000350f0024025090240034040811094060000000a20a000d10202202000808050102a0080844880284020021250041080011030094264080880240014030204210280024864010004090260840000085885220200020201030021800040024040201000a010c40a0890260aa0001000200240200004820801800201020800a01041081080004040005801a000a52000410448200608008548802142500850010400402200000448048200100810858012808100510108808a0a04030021800070880040a002402010000100a5040a000400008408a0080220004000005a402010250008840a0010214000010201800244a00004240000000000000ab0214800044041084200001000250800a40280000005a118810810642c02200008000918100a00400148900640200400200402100110412400a00412802000950100200900c4084044020240221</t>
  </si>
  <si>
    <t>A35637_1317_000084000214810000001040000244084000824000010020040260004240a00800001054010020a00000884045a002002802218c08700008140040802118800d40c00000e0004010010821040200000094221001005000041080a300418410548448440402200040000b4a20084010810001010010084000010a10a20000071240080004000820800840a802802a4000004881040001244000804021280805a05810040091021800000a04000274204a048008812200810400000000000418240140040040102200e0060281000880001201044004254040205804280811000a000002a52000900502c1880000a31001a800542002800400308700400850a0a002042102042408b0000200004884010861025804810200880240000040020a000000802648618002052d10800202010018900208142b00010100100908000c0030090005001000804a80200a000042a10012e00800402248100100002000002308040248008502040400840b10248508400810000800008448000f50408800202000010b0000800845000a24240061070020800000005020201041041000264000010090</t>
  </si>
  <si>
    <t>A35637_1318_8c50040010000040250410040008d10b0000001801014201804270014800091090240800240020000011000021050000804a55820800aa50800200000500008600000c02002108002008010a02000e00a00040400640000012800900210f00042402800140000710a08100e10102308308440200018002510440110140100000c42002040810010100c00810400802900500100812a42442400900408000010000440c02050402008242008400b4210000000014820a00000020a442108240c12140400042342600218000002808942302b10802442100840012200a00c0844000080800a740900400010000a48010542200e00c0010200824844021090080840000801830030835081a840500a00412300000208000140248112200542248d0040221a000208c0800000060a008042c0815220810014091004040844000a00284224200201834001080040000004a410508002012300848200808400c10012002800040a10640402c10908000048100048408040800310000100900450410142902040300a10408500408a00008200040010840000002458000840a4004040800040001</t>
  </si>
  <si>
    <t>A35637_1319_0012210000c02200010200050218910802800000410048c50000808800010800000012900040208552000d00c1005050a850200100200640540148902240508100000102000818500400000450012040152102410d0081880030021050a800200a0240200200011080860280895244025014041840000a000140010142c10018000440042002212300840010800402208000018140600c00a0820000800010000241200800a640018000008840142252018008a00000800708200100000100242410140112000000002c10000c0a108100400200410902d40000518500f1080804200010020290014000090090004200251020224240004010040020840241080234005001a000402240010e40008242800d40002102b42000400200b4000010210084204040805a448412200108008108000200440040a0000a200018000002900a00100618500200042642012240100440008002242000000808600a08550442040010800608402452c0a050010100408042040a00058140008508040012400040700b1010884010214214224060021040805010810824061001280040040004800081</t>
  </si>
  <si>
    <t>A35637_1320_021860044004820050050090204000094031004a000150000100000010140a08018a12012c00018008408442c08810900110142000210002900400202308400048e00852000212240210010402000800100412008c0a40011000001031280000000851000081000860000a000100c0204020240020044005030200204a00000aa00540d00142600210502618000c00200210000212000002400102640900200810c4030090000811085a042400d00052200508002808040f48040018208000200100240102140900048808010848918000010100a0000220801800270800201004000a000400618010800c00048800042910800000040440a00110a0024081a50000210a048600c0a05a150240018500810a00400500a00900348500a48640c00042002412210108a0084240080000a00000024000080804034801835020041000810a152100040040800800810000300108808452500050608400852610002102010042100100200440302a00100608012812000000000240e0840081a012400302408008600402440702200010818000248002c0091000040810a200802c4004851090</t>
  </si>
  <si>
    <t>A35637_1321_0800402802400208600000000018140c4804a11020000804000000a218402400500c08800800800200a1010200040000220810881080044800004211044001004801244070201800060804205a01020000030090030020285004894a00050884044085044a800210900842040110208008002100118a40400940040110018a0a410002c42100142800000208002208a0200230000041010200a01840a010200000000602000100210f12800800000848002600002212510c00008548800048840800848140400410d00400c50048300202800002600c00008800312a00302c0884010000204281041041080280800244800841080044000800a200018000002002302208012018500008812400240040c00248058000000008048d00700240100140140000800150000c02800000440200312840910002000210410440a1201020081a24010020864a502c42840200e0004041a050c00240002b00110402100b0030a60091880840a000040040100010118008002808900018010400412000608800700200840808840100002110c10602050c0044805064841831020815040210224800</t>
  </si>
  <si>
    <t>A35637_1322_840024880244a20254090810280004000084a31021024a042900000000008400840a40110202002400808840c42402400040110910808800400542058200308200802000102840010110d12000840208958000000800c08040040240012700a00610000000002048200010202842240302010a08800000d10000100450008042c02810102300008200408042002c0280200000024a612000008042400010c4840010000000011020000080040000000a050108940200510840b02640400202c0a05220004820080024a618010000010042300200410040108358000610452c00000040012008c00440a00500200000110408442010100540000200a1800000015000a240600000300812000108810610200550442002140a0841820040240241070000010001025020a41004200801041820004840020080804090094820284000a902010b00400800c00a0205000a608000c18100102000450000008a1291224810050010000240810064881020031000025a000500800500100d00a4000084081000a00855024040260010804a900a02810402e00008040010418800142a4205005020</t>
  </si>
  <si>
    <t>A35637_1323_0018000110b02800000108300a42810600810040010100800002440000400008000208812900318540400a1000080280004005a10000001085010011a04201821000881000830040a400002040810402202302000c0020050000014a100900c40052110100110000010c0004010000205a00201811a40884050aa00008a10210610002008a00442a00900000040c0221824020811084040000011000840074000001200224020890860001a840942040010100240010400040300210d00b08858150a42202000218800e52500308002300008a52040002a4004000210840820010020800065000084000a950402108200000100040c42100002010400a0800844264800040a810208c00900b42000508000100000110602200010000012c08900500018310900400008500000302200200548418800000058202100810400000408140048a00750a0001214080200281041804051024825a202008202810800100840040010040a10410008100540510100008402c42902008c00600240100800000210900810010112800200018008100208400a40b1810a10040820280280224000a01</t>
  </si>
  <si>
    <t>A35637_1324_8240400842002000040500002012c00440308010210b02c4200210800a00050024020ac0020a00040a208c1a04215010024870080001085ac0000014004070000000800020211010280060801001040020030030094a200002440000002010700200800c0a200010110208000002502010012618008258002208000502210042202400a00208108000100642412908002310808040600502008112000010202000910100000500210842c08040140300500e00810800002848908040e08000040102000a00108500c0085004000a050500018040002150c0200824220840804081080011200a80000205001280820a118108100840800e08002000b1004060a04080280a00200084084045210aa0000a708410802100102910000900840612402208000000300000648000902100440400052800850c40000048000a1804040080825230200800041850000895a00821060000284050025031010000040a110c02200000110800000402100902610010502000400240008440c00b1800290094211a002418240840800400048000808110a5080240801051220050a000000b0004004861</t>
  </si>
  <si>
    <t>A35637_1325_0410010002a00818240000b0a20005040a340308900212a00800502010010c00040402400848210100100800218800748810402500500c40100200200702000c10a10500140042040010010202000202002000410402008410308240140d0890200040024890800a010010208000140818502200200010002000000158208000040002240002008d00d4000000000a000000c0000840000080010020a400a00c18040202040248800008452400000248540808110010040000800640600e4800204010810004a000e0800011010880000a200150012400400348100000118248d00400900402000200c40012e00a0241070005825044044015a000900c10810450002a12018108410000902908042012200040c00012400240750f1000021011004084241220011ac1a040242048300c00040042900a40210200010a12c40100008000108600202048000448002108c00400048000248808210200400008152042010218a08302210000808248200018042200100c40212050900450240000008042402100040002810502210102018418442802e08100348100c0005a400208010140a0</t>
  </si>
  <si>
    <t>A35637_1326_8100000810108840208100200000012c00218002400242042010040202500800900008c40200150200000442400042700000640b0084000a140c42048140d0010201250004210000000021820814200a810002c00042a1a100040012012410110a10000840040048200008040402202800000100000000800200800002418c40040012002900440c08800040050002108408f10218010002e02148310008702052002140010400300212200410040100142110902000100b40110102818208208050d08040610800400842840102a58000400c1820041224800071a100200a10110800802600000300000800202a42000300050410c40202008202100b12600850000000048200c0240010044210200840830201a450000018200100048200c00048208700000602208000000918112408400040000108000108c0040a810942040800612318000852100048300040000440812402002800402200e0000880024005220010001001281210880824240000081004004205840a31080004094070800001a418012400052800118040200000a0000080200251040024081814010810034a40</t>
  </si>
  <si>
    <t>A35637_1327_000221005204800001220094804a042000802000800100812400100042400800c08000140a4200024021000040a15010030a000600008000440200050500818302010800400258400c00110208002002210048e00040000442c02302050008402240800200010000008050002110000810040000802040910042b00008018e4021a102142802508500012002c0070024804820005220a140040840210608c1880090020000000001825001001280804000080824804200020220001a810100040d0210285200a60800000800094021804040021000810040210000a100510e12c00c0200a010a1844004284080aa4020031874000800010005005a70894000050040000004800800a052400948900210000540602002842350008200250c1000080201000011080a058c10508800142200e1080804000201020020061040a000b40002400200010242100400118700018440008400040200002910000050c0000010041821860041280244201000080094205200220004a348300d0840241084001821021011084880080211240030040880a400c00a1850010014020200020220054280</t>
  </si>
  <si>
    <t>A35637_1328_000ac1014014024a04000870200084064080a640900302810800800312018800452012400c0a00025040085825a000100012410c18602240000002200140408108640112548002002a10300400042008902150810240400802200018000410600400d40000100000600850842012400940440810800408802400208400000408000012b02100100808208002440200118400400202602000000200248018010000000c00850110d00002608000008a4a400100002a0291250020201a80880045041060a80000001811060085084000820840021081004020200800020810a00040200a040040510b0000010224800024000804040210080080840050890005a84084a312002910000000800108208000400040008042842300202108800002852008008302818c10050002808b0040a110e10218110902042550900040040040240242400008100018c0050884000011811aa00002048008400000200018000602818510000050400110802802200500040008000000008200018842402910602210248008448412d0200824011821044201080004000060a50084aa12910200b0050020</t>
  </si>
  <si>
    <t>A35637_1329_0208a1041030085840000851004a04080a940440608a00008500e00000108908042800840142112002210108058940002208210008100218510e00112050000600048c42202042500800700400110200008208408a1a640400940012112010c00042100200042308700008812010500008452800400000040502108000400e0060040004010004200820a44211070801020881000040000220a05004220080a808000708900400008108a1094060280250040051004040200020841000835240090090020a01080060000214040000200080060ae10110000200058018142000000c40908212110a4221a010008100510a00448a0014200090a012100300418000c0021820060811004800000a000110000112a00140240040440810002450810002002040100c0005a00000a04840240045200014000200020a010000610c42d0010021a00880224800024200040001044084200040020200a200040000040000000300410240848400a48048010300e10408412c02040000908840802000540200010000600c1004220204050860800800081220000245030050024000020811a00090</t>
  </si>
  <si>
    <t>A35637_1330_080000a040148050200808240018050800140508200100010100902210000018448050d00900100540010002c0244020880a00281821060a84004a85004000850a000000102a0000811881884004050880a100910412008502a08a00118410200a0200090200244020051a21205240830004010014020010030000a002d00012640400140802408218242c40100608250008a00040c0011000090201a90000200245000000001260041000000000a800000100a50012800200000440d10048208040440010008210300000042c0821064000810040840010280a140108740208000408210250010d0040805050020a01000024800040210800000820000a440042300200002508802210000440040000108d00050000040810040000810040110348948602118100050110000050402000a00240840400950448900010400d4060090200820000880880030020014830800000210000804204240015020845040080014081001044280080805240050074800081080024205060090201000210820805810805005240004011000000800000a040100b42040100800c0294200a10014260</t>
  </si>
  <si>
    <t>A35637_1331_001a44040064000000a210c08850c00d0000821001824a400900c0211035840821a80040020030000240820001ac00f00110140100008250000408002018500b4280211040a008108800402240110808900558a00002000010842800240110810c00c0004000000220080205a440a00a0840050000041ac42140000008800b00848040400240450c1800a208400c0010040000891a010802240040110408402218840500102052000840012012402312612b0804065090010821841091000020011200800000a110102402400e08900002500e00600800848100450108040840540800b10048000250002012248048002200a00000402000050410410102a02142100008648400852800042042100440910800c10000a08140302718c0820a452842a1200001090a04800010284a002010000012010000200002200600400502a00002400800050600400802240000008150000c12402100000c18052850800040a02000f00d0a008000100000400a0014a40204080021000050804a008800a08248300000c1061280010085020261065000094280090010050000800801024800051080</t>
  </si>
  <si>
    <t>A35637_1332_8400840502400b02102200218608050b08800400000000800002842b1025250800080200060aa0800830880020000220a80001a500202240542300940100800602448010c4021821000000204804084831a612810050008810040100008008002608010802242310700000008010000802202500018c40100608200658a0000200001084a042010110040800002100840002200010048100a00100600008a02a50000508218008200600608542848212400010502212c0070080a01000020a200c50240100042018010010810c40102000618a02002412002142702200a0001800044001810250041a80050020000020021880020241000804844201840080001030880044211884004a410002040048b1014a042400002208100c00712200000540248140400000c10840040810200208210800800c08000012010900010400602200210110812002802148040010800e42000012e0285040041050841000204000021000000220a002308040140500040c4094200820224220000200005050011800a810008008802248300402010a08050100848200202a0004020804000080040080</t>
  </si>
  <si>
    <t>A35637_1333_0148240100002040140008b00c12150002008058008400242140100a00100b0040a84004010a01075200810000200004004a10230880240800024200a000610c48002c02802110000010610018400208300602308140e00c1000801004050080220880010001004a210518002000002a00110100010a0050080000a10001801080811004034820a00825a418840c0000211291880040814040a202442018040400400040308110a0050200010200000014270804080814004011224000011200080200a010248100002040400400142508800400400840000000600600142800040040810300e0080aa1000200011800a108e1001200010a00200a900402600500800240102410140002000c00810210218412240010840a40402000018050102a0a002010010450242840248100042100458040812c0800874000821200281234280805280020000050004000000040004041054040020251020010280800080200830a808540000000242100010e0880800080000021050001000281000000205264800800080000090010000000004804000014285240000011840811000825200801</t>
  </si>
  <si>
    <t>A35637_1334_0108040940908808240400008c12802640000412310112010000000a52402018010200450a40800300800d00002502042000700000e40608100900a00002f00258000802000000412108048002842000218002808102002010448108600810010010052648100100500210040400a02100612118000812040600008208e00a1020840240ab52118110012058102000908200400100200000c00010000108e42000900402210508008642a00140040052242a0820060041080000030800040284a000108018150100400a12002800200258100000040002208040142d00500200040308850600208450402000b00200000010050c0204020810040030000a810440100050100000018010840300102150800100202552608018008010200402100048148048208e08012050000010000200500840100048000048318800600000040a00408108340010410902040200a0001020881200010825800860a00850000a818240018810812842200a42000800c18808802108200240208002c10110040102610808010808100240058000400000200100a42000212d00a1044251094081001830</t>
  </si>
  <si>
    <t>A35637_1335_0440642002d4800850081800000010050004060210004a408110200100202000000640c0280021001050050084a05000a100042710842402050702010000000200810940b40240050000100c02040140000440f08208018040e08242200018852012000008b0a100500010050440000900400408002200040648212110508800010800408300610308040040500500042500200800000c50808800240110d00842112f02000100d08900200002040a18140210400040042800010110200008410000e4010834040020004ac00008040250910b00400100408900008400218440040048010202310800010010208000100600c10a1240210090200081084800001274800024040035040084210000220030015800804280804040880800245045000a042008500b12400800c0004020a00030024280240201861050070a84a910042010042c00040000010c02100200c08840448000948852000600202042002040008502e00d18840010500102308108600c10400002840200910808800500b02008408018e0840094200200064050020225200200080244081030804050000014041000</t>
  </si>
  <si>
    <t>A35637_1336_0400802800600218050100c0800850240000804050804060881000020204021000221a850940240012400a42c10000440008408500910802100840100010800000048100240140140300040402802340340008218c5080a50080224014840810004045060205010a810000248000100002500808212002042500b0045040001081a000240010042110900010810000a0a05001004020005040a010002000800212002248818048108902c1050014800215a80000201a000b40110502800410a08c40000012010200702852012500248140410a40002810502900400a00400a00140002000200610448010800042018000c00010040000800000418500a40408c00c00a00018310240048040008a40100a08100a00042500800208018102c40000940800142000310000010208850010608e0080810080200a64221000881040030810860020811020a44024800000211020240000004000010800010a442840040012040400a0800a510e40148252008402000010700100000a00410018000008000400800000840940400a08010600458000c00108b4a002308808010510d0080210000</t>
  </si>
  <si>
    <t>A35637_1337_8248200502208140210200000810902202000040000b40818000102800440510a1000800080021811060020264005220211014040890000800224004244050881001201004220030a01805005001090a14010220010a010002000202610010c0001040010014025000034220050080211224001871024a000a0011001a00081a800810208018200108048042000708800002100c0084090084015000080030040884014220020810004200000000a248300500540410840202018150510000640802140a50408000c00800800400842402600000a40100a0820000a21094225000000214a10021090020050094805200a41024880050020090000a40010044ac4000014800090010221014040001041a60044884205020010210800820205890000001a050018202010d0004034824080080200040280a01000000870044800200020a740800002440010100808300a08242850100102940440518a10242000300100010100100012400f00000208208308400010048950110800010a4080000290000a00041084a440200210008108050000410808000412110900808010a4800204280</t>
  </si>
  <si>
    <t>A35637_1338_8c0200001084280040010824241a002802208008d0051800240264020004820005060800030000064030060060011004820800a41030240001210034010201804881004004810011030010204000200204a110a0014841000000231200040015a00040000000a61011061021250040805a10a918e48010840c00a00100010908e40802000010002418d1004001044080200011024064001090800270081040040a440000200010208408c00950200818602c00018e0241250000004a000918050902600000048a1841a21211000200850080000800014004210a01a008000400410442000112000208210040d00810408808100000142102000010100452002800408202302200808000010408802050400e00048000000100418400842000812100250140500240602c00142048100000802448502200800110e08418048110040018300800700810042400002410410010002400802202110108008008450c0000060a010a0201804000021031000001241080280080820a800140200102602110000a1005800280200800044250084080084070010820001891221840024090815821</t>
  </si>
  <si>
    <t>A35637_1339_0402a1054084a810018400018810402400000710c00402050010848010100d0041200090054811200a010a08040000108102012c10c0040a000e00a0030a200800200800040142700208940050110800008000510b48840010240010200108500808102e00100142208818202400000052400000000400002c0085224821024000811064010050040080005a802040010102000e4080a010102040002408000008d00100112200608c0a440040100040600800c40000100a08000200a18052608400a0a000502d00c50842100040100200608200400140208b4000a010302000000102202012100200e10d4010aa08050018708410110000812300200040048440802048008010610e08000208a58200310640410112840100002910002202812200040200000408000810300248052000b08000542100148000208040408012042a02240210000440050202000108e00100a0041000020051a210802210840d42008300008040400050c02002008008400218802808352000008000200040408a08258000008400402040100000a08300050002e0881011810010220000040080041a31</t>
  </si>
  <si>
    <t>A35637_1340_0102800000440100200b00000040412042b52242508900000412008a18302900150c1a012048940100400810008040040040242010042810810e02000410400148050000200202140000002010850608808042d1021841200000204041001844061204010220250020010a60241004094230200040020200260200200051804000804280a10264210084000880200001060270091084080230001a04000010a60090200030a240018510402900840300508300210810110c00240040800100a00d40200300008008000610100000000700010200048810a0021004860840800010030090a040318810c00502a0200005000010880050220a808040208802048002200118140800340040412100000000110400a00400000100142200010002540a00902240200d18008c5000001850090030080a040c08000100000a4041204094800231060040801080000005040840091025041000010010a80015020250004a00024210864804280090a20040021004a800c00908010040000858040042408052118110110c10002000010400a08040248c02100818100a0001020204220221034800</t>
  </si>
  <si>
    <t>A35637_1341_090201004010880a002808e10000840048802002c0060204081220284230a218802a42400e0024a112010102802040040808410818c18040c10000240410110000040000e02000402400100012000000842158300008a0000010080000001035080094020290010010864220a802840140418400840000910002200010010802202440408040200d00600852100148048500b00412012910600200002810202042012040110002c00a00608440140302652410052012c0000080040200020a408000602108058510000400102848002242c00140800140a0221011800081aa4000220800834a008010008510040900008d00010242c10400212110808240810100500058000a00108800012248140058100a00412002242100100800e08c4214020094800000000284a102100040540500a02200000540000000400800010442a00810108200400008002c0231004000010220014204800220801800061a040242842048110010002040c0220220a010b00442100800800010300510200c00008948240b0020a002500100000040810400800840040208040008100442100900a0040080</t>
  </si>
  <si>
    <t>A35637_1342_801844200010030a002100310810900000a02100000000e48000002000210a00440002002200210312418d1260010040280020a110000012410d08800002800208040800c08800502200118a00402a00a4a418300810242140242042050108840400010200210000108002800852c0000020060020a81a84264000800860000021804220091241220050241001020081220880000880200044800214040021280204010230a218808450000452942a00000810000200000f00018150008108010012500200240808208448002300902000000c10800510100050052010902400d00002018308108802800010442040040400908a40c00448812108410450000400a40008300108c50242910a08100410000100800110100208040000642010010002040312408200408140000242100000852010000c4010841a01020040800290080a500508848202400240110402000108402002000800002110042010040400a5a000600402a08000500902040c1844005a902842008250b00002010150442210200900600c00c0000015014000040061814014080060210000201880070000004841</t>
  </si>
  <si>
    <t>A35637_1343_805a012910100a0210a200a08002440a00048202a00400a4004000204841201004a448050008a0014001080280a850240000402c1011084080270a80004a000642040c1020021025040030800200280a010150500940208910000110018e10000000000808000500b0080200084020821005090000800041080800a44020801a000142140010342400010408040100002202700608400150100800040818800218002000100112000518010d00d4a20220080820a20ac10800010000308410848000002040110800942e02c40602242118600818000400940810118100402200012042800218400040012c1200084000a310b00408000042000202c00050a4045200a15004010800a018000400150308600200c4000030280010220000a210400a0020000080804080080240090030080824a00881000a042150408b4020045040801a00011024820280050801200a000b00050102c08a1044060040040090270804014800800000010020a11824021000844200200a00200a010e10802412008000008000b10c00400040b0004080020821054044005240ac00110008000402900258a0</t>
  </si>
  <si>
    <t>A35637_1344_8a0800011060a10a65290001200280014204021220084020005084010241880000065201080aa0244a008440200002800002118008510802042100802000318500200110808000208308200c40000200008000a0814a810002002142058100018400000a4014000000000020ac0220000044040081000010040011050011000080a01044a800212018002000510840a00010400008000000400240300c10c52410012900040448008802058100100000002410640040002202010448110250000402000040600218800640800508000010800402000402608000200000000a4a05044090a508400402200042a00008100500a10418800842308300500608040802100100400a08000c4214064004200ad0880845000084080021800850a008402140000000400b00200140800800202108b1081a540c0020840a810040618402002040040000210c00400b00840218000000600840300900310800840052502a00000440008a0000a950800b02240000002610800000110008c0024840005024a200700200012a02002400308600110800802100a42012010218018608000100a0044231</t>
  </si>
  <si>
    <t>A35637_1345_0400000900000808602000040240c00040b1040a00000844000010820821a408040212042202000408100502002010a00002002400900800040a0a148208000600002410840050000a10842808040000052052e10142000002808000550108a40810412102940302a00100c08900200b4a000208840400840008210040210a5804a01004800a058a1000aa0004004001800a208712218510100018600008010250000248000610100650200040800300000110000402102c00840400500d0020800050004001a300400400810c08a02100010940058000d0a100410110008002412b4a040052000100058500000810440a18008008040040012008e00110400842140302110e0004a000110b40308100f00442a18440200000008018202400000640840000100800240c0040010020830070881810010004000200014aa40900900002400018802000010448048042210040a0811200081200040004840240000234030080020020a000548200412400d08a58c00308818000a1010021240000080a048000010018002040100000108442800010108a4011200085a01081244000240040</t>
  </si>
  <si>
    <t>A35637_1346_8040008000308000702d00000c0201060020004a200000a08400608052002200c0800011280224845851004ac0a41010a000002708240440400000b12100000000200000008148002c10300400050142308010c00502010150040210212000500e08910100200200900648440000900000000a00040640010902a02608a08810800910100042000800000040140200800110c08900242442a42b00640010110012800208110102310010200402300002500110d00200000a48008000c00202a4a80024030244010880084015000811a002800a0001a84000011010280000801214214200041010870a610802000000608000818c02900840042110008c0000a440000142340e0801800214230004021a00800000015250004850041030800a002300002050000408200142402000040a0074a410950402000208000d40002850840002340800150400100e00b0011841860a00810000a250218810608208842300058448600000210500940000400010000250042408108102908c00802100300b0001000041ac08500000a4010a40080804a40030230251a400710050400000202512c0</t>
  </si>
  <si>
    <t>A35637_1347_0100410410242000008600300842100842002100010310800040600a58012300842008102c02840010800002012800008808600810440650802140200440200350400450700000052008e4060044080200a00000810040000220081810000035a042000102a10102910202850100340008008c00110818540100212000800502018c10808050000110800400000808008202e08450008842140310118008100002800202200302200140640100a00100008100c00a18010008802010600a0800a900900140050000818012802408210440100142840012002840010f10018400c00408042440c1055ac00100002300010108a02008040440000202c08412810400c00910018008418200042908a1000840004040001080a812410000050002000648300042008008e50010100008402310b00800102202050018008540402c10608000140018000a1844050090050a000a1a800040a48048542800008042802200a1201020001a00881000000210280050000090050821020a218002412100c4014210aa0850881a850700010000810040640400000202410000808a0005204090a00060</t>
  </si>
  <si>
    <t>A35637_1348_0658a08800140a00040300400400540408a18202000052848000040058142100900a18002000910008008108212410542200000700208000410000208500800610800850002142040418210400840100110400818040400000d02a42202000848840010300800208200000008450c40800500c1061824041010200220210884844841010821024081000020000034810040210040021010200a00201801001a440040800008100000c40002810408052040108400000110400010048b00052012800508240200008c02c10940800808102210108600400000a02408310248008042208842000318c00442000000208418008052840402802008008000008448c52448800140410210000442942802000e10010c0a00000000810820814004000280200000a100102a02510348000200410442050510840150000008902210010d0281a310a1050a00040084000820020070000200010a052110210210e0804200831804020820a458942002300642700208440010202840002810c02248002200310010000548608000900b0014840014a00281044810000041050040254040001810080</t>
  </si>
  <si>
    <t>A35637_1349_0002240140008040400200d0224080244000000090805021280200080235800004a808410808800200300000008842208208450000d0244ad4000291000200820005080050014a000400d10018902708252108810400018040200100250600010a10052600042700c00c4001000000a00005210004020840010800021230024005084004a202052118c0a010500100000640100b18242012402840100200000a00000000112008100a00008100802800000010b5060241200811010850021ae48000808b00540808000808000200908200008152010040002100400110042010040408100010a10840018100000802302000940418040f0825030200800804011284010040a908418e40000000040050008118a4000000081001040024284015240014800a908000e0080044285000801070220080000201a140800302800000000018510400542002102040042642010000200400248008048c0840804800000821200200840284810024020844a600012000910740a00000218c0a008400100100400400040000452a48002210200108052802800118508800802a1081010280000070</t>
  </si>
  <si>
    <t>A35637_1350_020a400140a00010312000000000010642900400108d00042440042310740800242010010200200240208c10200810140800702100002410850140200440110908850002c0014000891801a650400602840402208140040802000242012010950040040c00050702d00910818002500208000110000400942b00810502200548a00c40000a1235040841000880284001a04a50081200200024000a25070000060880080820251091080080801080000804000010a84200034804a052010f0260a450040108042210100048000848202000708040450000508a0020240810880800040000801080081204080210080004a00001a250000402108208900018a0000004a200112100752a02000308210200408a12000800042850008308700218002040a4a608110002440400400000010100108800052400010000700800002000b0200800210830004250250894044081890201881244020000801021804814014a10074021004280814084020040880020800051004224a550808010a00940040b00218600040200c00008000500810040402012808858008408400840d1250800a20080</t>
  </si>
  <si>
    <t>A35637_1351_805000250024a00214000024020854200020840801004a40800020000050040010085000204000004030000825000000801000841000280201020001000010000000005064000a400008010a08050140a0221a81000040001204a800210100a00000900802a02050700500a0080090894000281000240005030a04a200408700a48100a0a042000308d50410512200040008810102002010000952000e10808008000448008202c00240a5050204000825000040000214004024a108410d40410800a08100110100008050100442a40408000540240902a40240002008458250012a4000800201031040201044201a000d00100848500108b00400300200800150a0005040831004240a050402102000200800048400c0a21a108000300402412140810500400400a12c10048258510c00900a0840000201001200080060241040001240001014841000040200245031000a200000c0800a10a100100210150242000400800840040002b4820800a000002810802800000008000350450000308310100110a0aa00c0240000030220000040a00010001800040895200090004231040000</t>
  </si>
  <si>
    <t>A35637_1352_0402c0ac00440152050400c18008c0044025021840800a812010002808050010002240100400800102a00018400042000940010000600a0000020000a41001040204094010210000200004000800230005a040800208610440000102640018100258102402208040300c02a4000040204844840800080000020090015a910000400500800200208008348400100900040050010c02800000c40240400208140a00042348800300608400c0004020081204201070a00081020885024a000840e10040100042400d00108000100e42902000008000400900000800458000102058952a08008600000000012500502102110200a0a20005210085011030040a448000308858008500112252002800000310218e0a250000148040002d00500a00c40000210410008d00800100a08050202110008c00802100040000300200c00900f00910448408042042100802b02008b00810012400440218012000442410900448850140000040208402500100202518400c18000b4000041201094a040002908000250000c4a20200204291200280080000281200281025001804000a100000040108a0</t>
  </si>
  <si>
    <t>A35637_1353_020800081074a000410100d18210d40008908140200200248002700a0a000900410040140402102718400c40c00140108202002000052040440102150310008e0001000260080011840010284280040000000000070084804200a148400200258002040202048402308050000100200108042400b40842c00240050000400200000c40900348148000002808c02702000040d0050800095004020000210031001804000885210800004000800000a050600218200c02000002200048800940202800640048410208048048010a02050150808a10042010108118408408458410402200b58040008010000000300a00118100002040100900040040010410c1001080080024010840821a442802112308800050012450142048010200610600050000800110d0020040211024020a102808000412000240000142210210c10140000040640810900008040042b0020800010804890280280000000880801840004010240281060004840270811a41a00014a200440200800540200202200802a00000212c10b4001010004220030000800800015244804000060000a600050308008050c0</t>
  </si>
  <si>
    <t>A35637_1354_8c08210802248000340200c1844250020810200050081084a05004001020040044880240010a000100600150010842100a40018400100240140500152242400052400002140000248700000010440a0220801a01840001241000880020041085060250010010231aa18102040010040058200810508002012448108042200142c00000d40118540e08010c02412802b0a200208802c50900008140100500012810802202340402900c0a01040020020821800044004a802a42008008200408010500802100508c00240010400508208000010050642400c48a10008200700412150c00012112000008040010600040002100600000402e0001041021000880285200020a012700810008850a0810060000020241240210094a44000010221810044034044820000000a040840210748300c00018140800002308810100008c10a00802012600e02240800c08202100100040c4001200081800a418040810400b0090810881821200000240004865210840040a40014004200820804085a11060005854810080024201000801051800090001044000200005200001240050020010220040</t>
  </si>
  <si>
    <t>A35637_1355_001080a500600302200500202418850000102042000840600100c00800608100502242810b00008202a0000804001084000a208008208210110140000402a08418e08142240908000118000412840d00018102510900a4284214210015890001220000020080200021030a800d12042a10140000818018000402248010400942010c00002840340110a08018502000340400510400400040308240600618000210400500048000a10802a02002800900402018a08200850142200052108100000550800b0800071005840840024201a550200c0000040000205831a008300002040800102150400900840000a08010650818800e0a000c40b0800000000020a05090a000402808d42802152808058602400910800c00648802000a0001244010244811221090801820800034800825861840a848800e0280020000000801001224834204080000044014084a800202800000812c02000110050900e1200251240000225a000a42208010d02010000e10802042500c4204010050840a400000000a1241030054020280000000830810084aa42000908010410208a08a00d4224014060020</t>
  </si>
  <si>
    <t>A35637_1356_014001014240a800508200042e0000040000a050c10508018042400842010a0010000810250211040040010804240240001a000000110a1090004095800820004025280080a042410010608242040842002042a00000c4000000880800031840085211084a008000800700000040a40118002200a00008100800048342c0080280a040148040440d0061000080204a000612c10008802140000000200100000242400400140102800700000850700008118000840648900000110018000200812000000a0005080004000081210080260a10804a40000274a002040510740040912808200000400e4000080000011040a11085200a000008200558900000010d0200011000260820020a00010021020080011080a102440050000100800200500a4030820050045001080000015021200030000080224000860a80801840200084080a04011060005a000340812400108c08240500308210042008308000502000050008b08800600c00400858518000200c0000000a11820020005081880284000024040001a008d5000224040280021061005060020024800804000200010005020011</t>
  </si>
  <si>
    <t>A35637_1357_8800c08010a02240348100150812500800a42108808c5041010060a010202108800040940048110008100550c00040c00918108800000010c1010080800010020240050064890221221064001a402c02902140c0010020a000048010140110002202000140240008408008250c00000a00100018c0200204020824060020050001000090894034211000040000084294a000200010240d00000108208000e1840001040a80024a018000800002700210018000010040100600840548a00452202c40300208608408108a0200060804210841825220a800002a52108008802000012000300112a00a0060a800300018218300910c42810008200010a1050244205200000200250040000800000a10240221004a008040000148642c1080020080204220250001051200000280001000800005a200002700018210100000a50100000050400108b10a1001030a010208300812442002940852112000340048100c08010600300102800002440302400200840a02410b0214020040801804014090a242010418000408452508150442e08800440840508800148900e1280000090010210080</t>
  </si>
  <si>
    <t>A35637_1358_0000012142e0090840880000a208c00a4810001811011020a810000018240b18000402540002100100800100c4005240001005020095a400510640108010210610850002808050600100308c00000842208010100010408012500048200e0890a20000010205814040030804084050800024000004a00281210030200820024084005040000a00081080001801084005010821840004051054ab40008000200208040900a0000000041000010010024841201880000010280a80a54010025040051004000004a01054001200200880810000080221240044021a408e0010000880010a300712008558048500042800040d0030a000002600008200810e10810910042200012000408000100040040208f00040002900c00012102018110010002040040200000148210502c0281005000001000210010014a008210058052000d0a00040210015080081060004000821021204040080090a608610008000400802010110400940808452400040300d08802408400248310000900400242040140102400900a0080801080a000410a1040005240004020041a31090a00840020094200021</t>
  </si>
  <si>
    <t>A35637_1359_840040845000200260011835081a000c0081800a90004044004014a008400000f00840400008a42012400410000900040110240500210048100002000008400202000d50042858002910c1800805280020030810050020204210a05210020080000040044810040201004a000050e02802500610810402450908a08442410402000040a02a0820200010001080010a050048000008000140202308018c00510040142a40800440b00010002010c0224000000004240044060001020251800060a002000312208008b4241801204284801a21051a200812800100300908400c0054000a800210008618808100108200002018108002040000800040600848a58010540042112c00100810c40200200000c10500240842e00810410808000012910440102010110250018400c0294a000008800440910400012312310040a02040202000008108800c50900a08108208800108a00102900100540810840a00000142000000508610000040802808000400008418040108342400400108c58100602010210600210840040a00a02218508902012140400300602410040400910d0a21211241</t>
  </si>
  <si>
    <t>A35637_1360_8202200510840200000610248042000700850502010040040512a0000804800014a40811004080a250910400202500200218048000a0a81a10010a040342810002410c0040210010a100c08458400a08002212000400440140100208100a00710042900e0021024a00000280840050a802040208410208412000010300008900440002c40042258008800610800200800400800440400440108150100800900200042200050212110010000000208000000400900000802400b0a000710208010142c42040000a00600418852002010410308f42000000a08148010008a10208d1010020204a600a02042000000842108408000258100248a02408800140000510300108612200c00600500e42002450000110640040308202048010110c0a840602300000210018042400208a00000500c00c0084080085800a000140210402002b1201000014020000200800204a40004000004080a248008208410200010148100102a10900858000648242202408050042102000000200900412440150040040512818108000110800010208208208400002400b00642800148440452700000048a0</t>
  </si>
  <si>
    <t>A35637_1361_050861890204801000021021ac50002a0201a000000900840c50000002102008e0200850020a10000001040260284200005200010024a200000002210042008002200000140802202900b02a08000040810000108a00002100a40200008000c08058100408100308108008018c02140142000200410208000900302600400000a02450040218008908040000000040110018900202c00040208802212410610200900800800200718142408010248a02250510008600000c08a0a010100b1a01200024a108040c00200e02900b02048440000012402d12300200000008000040810600842100910412240040200048112410118a1200040200840860025004004000010a41090084000091040200a01090064805840240a840400110a00042000402000502008c4000000200000224a008100208112408000610300100c42000100a00000200000000c00200010100808842002000202058400a00018048c00600800342010240058000040800210e00008012000048148010408100218110300100002000012448412842200100818800c1a91294820a248008500000000c0010210081</t>
  </si>
  <si>
    <t>A35637_1362_0a48a02140400010002200508800d50142010008400e10810000800110100500a40040402040308000300a1000880070a210402000000808052a40812000100800a0011040001a700400040c02010702a0204a200850400100540000400018840208002202048210c0814840090034824a00810014a40200004800a20281024884a442100840418200502c40410402010500008208a08440440008110000002400500648a00640a0800044a800500208200a00102018040000018640c00402c18500002850200c0080045040004884230810030204294034800034010841040210030004040020000821005014090a200a00b5020814020004a21a000952450d40e0a018042200208e08002008040152800400c0000260000055220011a002000a0010205000895001000040030a050010a4200885080091000a70040020a040c00040100400a0841010220821a542a00c12e10410500000600818502400002300002200100600a0000014280861240851805891070080800a00810821004004020a140100108c40500102300400418050442000702200050000408812842c0021004041</t>
  </si>
  <si>
    <t>A35637_1363_851080210030081000201804220a012002a40118318900a0a01040004261ae10440410810000000418200200440050100108050208d08242410000900448700c4004200080210004820000a41a010408100050800002000140400940110a00100408042402000010800042800c02a08110212508200c10840008840140a00000010102402050008610a40000002100008150400940800100e08000018200600840412802110402800a00002802300100200100248000500108a18700410000000012200108008a0040840000214081261200040a602040902900048008842040050800342108800312018840a02300042110248210100900000412200400048000a00212100000410000900a00048218008058400010a00948110300300400000202150000000302c5201080030030200000000840220820800810001064000094000224041061840ad42000b10000000800008110640000712118010002040148140002400c4801845014201260800034021880044200a41850885080210004020245800020080844230201844081010080005280004240040815800a00220210010091</t>
  </si>
  <si>
    <t>A35637_1364_0000840010048048008e00102808c4040004a200010012800842300008400300400052000002310050008000612000208018040e1801a41a010840002500808c00000000402800440a00c0080010004020221a018018218402a0084035050800040040210ab00612700500040800100148000200200200400002218500200800c00500108008018a00052002c1024000a140200a08818910840008440c0010000201044224801a308000208400002000212c1090281005004080034811000801200034004270a000802a0811064884831281045880000030024241041001240885090a90000010821000804000a910042800000000d4000224000a818200400000600800110100f00802440008118010010a00200510e40a00018610040048002048902000c00000002052542010510900040852000200848042818108040112200110700208c10008100200910610400002050540802b48200400800002010242b1a408400d0044090000200000040820000800014220001040000884210004015251a810c0220041040204020801861860a44000015200000094040811200020031000</t>
  </si>
  <si>
    <t>A35637_1365_8440000400008b00448100500602040308050050000008e08902b4010004210001084a110408200048d0085080080210224014a80081824840040800a00880810281290054010801080810224800080014000881020000a540502002010210000448800000100400000c0845084000a20810021001860201214000014a900c40212500602008400008100c4241004000805a000800800000008200200900008a0201020280a050e0040265004210014060a208352008810140010400000200012010200002150000010200800202910308200610040002502910600410148002942e0821800ae00100002100c48242410010312010000c0a01810260820040844220094000a100a42000002000040440100a00052450008008000100110400c40a08010050800148408000302902440b08e00050140040200508c1020201890010030000031084064010010204270010010a008840400042010610042050810000000548008812c00110008908040600058000002902340012100018402100c00048200400200e0ac0034884011070001024800080280050800024080a440400012008b0</t>
  </si>
  <si>
    <t>A35637_1366_000020200004800804a400840800140240842000108e02410c0200000200070080044a152008200600c10818040100208200000300810842500000012012c0074020800024a10201840090201881210210804221814804080000a30004001030881084200084a102010448a08002800802048400000058400048000440508f42802800408108250c00400610000408010100700400400802200a5241080840aa40d00500008100100b40842112a40040210000200c08540300100440408010802442c00000002408000200000402200000010810400000c4280000001844001894004090841880024000040000004205240010020880080810220a81021244251044800010890840280091040800801800000881040010020020000860804201200800805280800004841014800220210801000001070204014001821240804060024840a000110a10002c02b0040040040004080054001a300900018040000a0020a410910000402500000012000200818600900500250100608c08002010840050100b00100000802400202610808d4805a40204200001020010000884294214020050</t>
  </si>
  <si>
    <t>A35637_1367_070081200020021010001020a01800020821810080081844014284000035001060060840080200804000000a240042040208108800142010c00040108042500008050450808012008400400c0004020220004a300908e02910e00800040018042800500402808002008200802000008200618100300c4254010080054200020040801000801000000041240000000215830241000280081004020000010000a000902200200448c00e10a00410102040100100408000500c4225040aa0880801015280820800880081a410112c00902400210250440042002018040100200a0010090001804220020204804050a908240008212a00800608202000500400048940102a00510210000c10010800000108200050010c00202318242010300c10010240840102900200408942008042410a1000a24005044000801891040a20000290004a218000a0801801000084a50080001060a41020a20060a010600402500000058102010808c40000200010512000000008000008912202008140418800e4211005020000221884000814a450400010c0004000025000040824801050000805261001</t>
  </si>
  <si>
    <t>A35637_1368_800a24014000084a040c00512410002000a0061200021ac12000d48000002810100848450340002002210400000040000200400c18002a42c1000a31a440d10210000002e0025a00a00800220010050000051000011000044040014000280090001011000210821810060845881000a140408100a02800000540010000200d0040081090890060000001005004240804000050025844a00290201020031000085005000200020020004005801004034200000090820090270a80000281030a85a040a0200041000020800010044021201a110c0001005010a05810250041004050040a802010400d00858910200a08500900400000910900908640210458400002000110000808a40400502b40208010400f0200001040080864000090004005020000054220000860000084210024020000a002402902118400a00850008d00c4804220040004000a850208008200208450042000008a00112200300a40900000802208200450e40c1250004220281005064200020a000110100d40408000840250018200a0200840260010040890085025000000020050050000080004244815254221</t>
  </si>
  <si>
    <t>A35637_1369_0350840000000912008808000a00000042200402508150802c5090020011801880844005080a80040240020201a102142000652018508800c0000020850001000a00000010800014231000004284000205805040014205a010000300000100308a0205000224051200010a008400502118050200208442800240000100c08c00210500200340202100d4281000090830201210085004000000030010031004800a002e0001a002a0000000001200030010000834080a400f00110242400040002840842b0804810000245001030a80010a00084a000410200100050210600048000800150748e18308c10510102000048000200808000e00310740008842a1a000100200210100000012c40000810602608a02002940140042400100448010000648000050118450240110102000002400310448002942800408408008000002008210200a0010884a840000a00000810510e0000050801200021044080800240000a10000065020a010800048000110400412110002208118010818000042400140510000c00640012002000502200510e02002208040208110502448140202100310c1</t>
  </si>
  <si>
    <t>A35637_1370_8810802400202802012008c0800a100100a00008610040200402402912052900a10458840508800000000018810400000200440900418850050800000108108010200800a4a84014000801020240044805060031080a21010040a85830a20040880000040004000080001084a45080084050090081840080010014a442008c10400852400000748600000000010000802010000d12240002200900102e00210648402000812400000000a0a110040012448c08400218500000812110000800440410c0001061030020a040000500000002e08c42a00000040942208808d48e50400042150402000140a02012100000000100a40050002808900640610902802810000900448c00700010000600850142a08008600150e02000608d0040005044260204010a400212000d40008240240400800208000902012000918100058800340008008a18052410012000008040310e02200040342048112500140402000a40000610600008008d0250090030820080001a800140158440900208810c42902b1230241020a00001010081030000001084001060a150012018200c02010b0004010041</t>
  </si>
  <si>
    <t>A35637_1371_0018002100802000400018c00208012208000152c00842000100e40808642008018000400040050502000140200000000040440200208800100900100300000a0001800200005045011000085840040010a650a00648200412802200350a00000010c5024a100202800200e0004040800830040000000204210224201821880a840000e0024011090010021240210000800221840020011084801005000000000011234001800861024005094010a810100900150c4004200200041801041a048500048812102c00002240910800800248400600050500400200100510212818400608150002a00802602412100000000808000002852440800148310008440900240b00010200008000100200102542200450248910200852000008c08458c0050011000ac0810840a402240002440000110050002800348058a0000201000040280a41050885a840000442008202800110610000008840200208642402d1054001000a90000040080200001814a408108040100808802550800302000402408100000010e1800014020081000850864040a100e0010000281080004a45020080041240</t>
  </si>
  <si>
    <t>A35637_1372_0c10008040402258450010012002110c00000440708040000c0040a000542010742200c0000004a01a01080a24a000042040200000e00c02002040008040200940000012000102700910402210000200000010900200a4884284204a640400c12800c4060810040a000240852002000900108c1020001050014014025800000201280200000000000015200845004201800840014080005040221000230044001800284200041a01820a000852308a10108018052000900540040112010252800010000800250510208000000000010600000018c10000a0010024000824821800024220811080060040004000001060a000100418102c0030201800804025041080a242040000010802140800000000c00840450d0014010000ac08b48a5294070a208000800000610c00240940018300758200000600010210300b0024290290880000001854080000000a018400c0014021084004ab00008800000a00802140310050800608400850902208400000202008402000300000508c1040a900642812040010050408010000802218600508840110a4200020821000001000200894814090</t>
  </si>
  <si>
    <t>A35637_1373_005a41a00224801221010800800a00010a800010000118450040500858600208208a00c02700048050400100c10100c0a802208410402802c40d00008218000440000010008000450008100218840002200040008210000410008852002610200400002c00000518110012440000008000400118000810040642008002a18108008012902100050100900402152800110400210108000000200112140b00900000900e00240310400408e40000500808308a0804221ac0200214015801800081000050805200030045a218040108000100908700a4801030880a210900d1040091200000004a00005044000214210035000084864041030a242408210812802510200150200400910648042400000018100b00010940100208018400648e08100c4010a008000242000c02c0000a20a100942400110902848040508040050800040800200110400000050002000010610c00802c0040024050080041205810000200214080010800081000001800811851840a00220005014060000a010010540a0805af0010800090050204a002010412240002002800340000140042000c0230001001</t>
  </si>
  <si>
    <t>A35637_1374_0240a18000102100000110a50010440c08a00002400708a0000080800001ac00002c00010a40048000b00240000042c0810054040061820a00094014040220081a80201220a048440a00008000400048010108500a10c4884210881270200800a21a000c00102250008000010900042002110000902008840248048258018240008c50000300000200040608800100210140108812810002000002400000900800442b0084810280801000050224814060031860041000090224004011020880a800202050400200c0880840030200071000000021054024010204030800084084080005200a400800800110100108002000040052810840202000a0040200091260801a450c1005204040000890825020804001014090800a00020060000255090080021810000a048810300110148200300c1001020030a100310100840000140a1040880060a608002100310008600208a00000a40300140510802e08800300240340200040010010008040612418a08010000008802402910008242010300a4020000020064011050a00a500c10908040100940810002100000c0ac0220015040a00</t>
  </si>
  <si>
    <t>A35637_1375_804040004040020014a00011064804240801004020020020200224090a60010060201294000a248100410800618050a40310052b0880000880214085060030000281a80010004020091840000281200804021080080021044040200a612400540000000200a0020040801044004030284000a008a02840400400100008c10718800042140010142010308242550100810208100700002c40e08000108810c50600000000a48010000e4a20205040094010021084041204024800020a70800a400802a0080a342300108612402200110600500c0884084010811204800881001004060094040800885200040060211050800030205000000011000240031021884004091004010061024800040a150008000012000100c00812110500800400100400010002500c0080210060aa02400818508250000848308540300210400010002010610c00450200050000012402308508002400500a10200108810012812000812050a00800450000000300340800012200c40440102408c00008008400800002440000000418050b08208040000400208d4010234050830890004211040000a20020</t>
  </si>
  <si>
    <t>A35637_1376_0408800000800048110808040000110c0014815080804844000004025860030004001084280814810a400842c12042100800512400000250002608a02000810202018800100910140208648808000242202108410500218010a42a10002c00000000002040842210810040a0814240201244841011884000040020040020841024000220080800021044000084080281a010000842002900202100600a10a0841005010810010200000a208440908040400600040458400202a00110500100852800440108442500b00400800440300248100048202040048b4011280800220200064001851000800244090000890001290095081054204000020241800000844200020000a000702000052902208000218002840400108140002400a00018500000118400200240010d00500b00210000248010c0004220040080085080a40000804020081040a410010000102200400b00042842442002050b00c4800211080010a30000001800800080001a410010450600150002a40208000150000100002b00000000150a10440048112010000b10000100108000248000248c0a002440810048d0</t>
  </si>
  <si>
    <t>A35637_1377_8810818002802200648d00800a1040014801230201020040845240210010a400002008800100858040110000e1040000020030030824a44010074800224060001800a40020a20804230080800000200010060280034004080040a018500000a0a200402008b00018200110e10c00840012500000708040400008202642018800c0894010001210240041200080040084261041080020014000801000a400000202402c0000040200041a01241020a152000000008a00012240908408200750c18000000240002818a1205245064034805ab00100a4040020020a200008000010000140802208000002008410400108218800040200000802010010800c18400500008050718418148c4285010001204a000910252802040102200010802608000440048350200208002010208148010000a0080201210880004270001a240c40508002400a1020000004080200200000044084200000030814040845aa10412c00050402008000000450400940040118008408402c40000010b00500c1a80070220a010008510c0001230880811a110a40a02402002942100c00100040102a0024a40800</t>
  </si>
  <si>
    <t>A35637_1378_8600000c00800310600c00248810c40002000008d0040041040020810204240011000854030000a04020055280a100002300040100202208400200840300410050250102500a0031280800025880030004045080000000001080880220010834040a400648800442000f10202000100802612210218000002d0800814810021041a00000a002018000100240802d08100400000002202842a40000440000410002010000008010000000400000140848000c1081801215204810230091084a002000240000508c00400a02c1000030a60000001200000204a108312110140048d00002218250210508c0a80260aa58442810a00440012100a4840020030860800000010000a01820005200204000000800824884804080000041a500100600410802040252700208050c10000040402018400a4004004084010aa10400000802408002502310202642100b4800021240000000080090025220a21814800845290230000800011201004004800844881050000090000200a000008042200400800000340000b1000a102200008148818010600800800a0814000044044204210020030211</t>
  </si>
  <si>
    <t>A35637_1379_0600c00802408208040000040400900000908402000f0a002402008148040010218800800102210242010000008100200000300e0015204a00200210010040010024050000a058200000310000840302b0240810811084a940c00050000000a10e0045040080a34050001004000214a102110900000042810400800050110040812c12008048442810f0800201020a048100408200e00150202312000110c08848400200150740110252008042100002042500000050000840002400c0055a800102340210010a0060a000510c0010001200005201a000440b08002400008412800000140008a18008850910e00050002008018000410748002118100000a52512442048400a0820060200014005201040040000841090020820280805280084030000050060090244044244090a142000208450000800802248c0840001240020210204a000112002050100210002800442040010900202000c00000608010a08200042300140210102448948458908a02250502208808600000310200450842152000008300040000000100000518040a5000000210005050021001880200a00060820</t>
  </si>
  <si>
    <t>A35637_1380_8118e1805210220060020090085080064004004810014200814000804000010081001a000900240002800108800002540008418200c0004000084800001a000808c40110102002012110700800c40a4004a448008002400010100800048108010048800102150050f10002208c0000200064040000280200280220221000030001841024030000a10061060045020a24025010880264250000801000a400a0085890094a200002108008842110600002040208d00808050000002600618800008540308940452010a4884094090811820201804060a80204011040880001ac10842400808140418008000400e00010108600702040012800002100810342010040540010050000012208c0000025021a30004220800200880820070840ac00800400100702a08008002100508912010b08440e4004020a300050008d40002800c00300008418212010440240840010410002408002802202208608000a10402000810000800000a0044000a050008100510c0041070001210a010202248110800a00200300e0200010010225861220015080240020810850000064220200280000a00090</t>
  </si>
  <si>
    <t>A35637_1381_0910008c12348840400410e4a80a01090200030a01020821045054a040408b10018000800400a12610818008400010502002110400008812110840302250100240000100142100010000a08052110c0000010a410842840802008000048218512000902440000108908048202012900848100a10110400412800018202008040842000100240000210300040050440042048000602c08800002b00050c00002c00500d4030a600100448040402800002000c0001201880020800a30000000044ad0080000020201000085800020a04004091851005210200800044001820a04005090a010000008000048010042142010000040840800000808408c00a02c10050100008010000818240940a40200102600000a08812200102100500102048040848040640d00000a00140640040208510c12002100100a40402600008000100c0801011290804ac0090090080024280020005a00014884010280841800204080020a04801000040085020010830201000200a800240042100a00400a0004010004210a21004021280074031004800801201081220a040000410f00012800000100000e0</t>
  </si>
  <si>
    <t>A35637_1382_0c1241010000210060a910408010000540248000908118040100900208518000540218000340852200500008a40450a0231840020035041240280004000a90085205080040204044021001884804240090000000060061200220201a550100040808100042240450100010410840e4000020080041040000010890001051020a000050108058002800100850900440200300800c52048000208000100208110248400000948002418e50440102c00a10402000050c08c00308a02000610500200042200840150008400600400302000148500102040002408010050808a1200a400e0a118100e0044000000050021200060040021004000001045a708c0000041230804065211000081804020000a600308000c0a910008202010008240002110402100108210940840440042002102400808240500408018012808200808000400a00210208000208500c40042010000342c00440100002012000a1200005294200010220890020880204884260840844280201014010220011074040044074a010040408b40040c10000100402008208010842400818448200a1000000010200201020</t>
  </si>
  <si>
    <t>A35637_1383_001040010034004a00000010280241000010a000008208000952e40200500d08300018440a00800218418008048c02842200410b00202a12100108040440118448002500448108050000000252410640052050208108c0014010800024011024000084240a01040010830064000000a00800040000800000270021804240044804010024000204080840a800140800000400010912a10000000310002008008048440140012208018100018010402210402f1011080080270000a10210895a040042808812010010810c02010000050000010b02008500808000508400800450810008800108d00710a0004000004030a200102010850900000410000010008002200100208800542c12000242a0014000060a60801000010000080000000884280005a01840000005010010804a002818040c0204000a912200010000248902240208000010112c0241090024024200084200081024a108000110410e18000040a08710408000400540040200110800c0820285244810841050081040080090000835021021004ac0000824030a210002400810a42a12402c1085020241080080861000</t>
  </si>
  <si>
    <t>A35637_1384_0c40018510400118210408418608100b00252658100800848050a0000000000824024000000090810090080861010090a810400008600600100042008210208252002100c00108200810442c02d4004a200008200600600802c0210010a200948040010240a00640f10010410100608042000200300800000008810002000000242400200902040500058012102202200200c18018000412248a00002000000440040048102218600148040800002108510200602a02010200050200400a0000804090205021a010412002912408250300200008442012508052010400918a00012940200018100342008042000902000310300a00440008308042000208018000a00940408100058c08000040840402400900050800500148100800108440510c40200000100342010400400000002410050c0200020881010821040020045010000220031804800001000000a00ad08500650c10000008018100e02010112148850100310200000c00148010442200c0040a450802100700000800c40400448b00100300410410040900302000418200808010400100000d0001021055000200201a00</t>
  </si>
  <si>
    <t>A35637_1385_8900000110802050000c0820061a000d00000410118000000000148000540808c00252010008248242000240a40042200000100c00a40040412040912040300048402040900048008300008000000000010142800802c48d40a42848340000710208500200a08008000b0000000000211054a81820221014044a00a05ac00012040c02c4001031820090200004240084844880800a400800100a0801021805000a00050200a500100010a00c42008a4201050001a042800202008200400910010002402350000410000610002140202008400348808000040000200a08110000052202010010110c0020800064020010001800204004004094001a700000210110802002108c08002812402c0080001800084245845000210241201024000a14090280001001800880000080a31014a000a00412802000000002000c10000000540040158200350010000202810710300c08000800000012310000200400050400040200000a00000c00002152002c1080800214070821040a608c08c1000054824000a10044000a010102800402d00c18002000900218210008c0041095000a04050040</t>
  </si>
  <si>
    <t>A35637_1386_8352200840008012000910000008100400300008a1830801290040080020800804020880080200a140510440a02010200108048708000210c4084a10210080050000200204805024000015a40250220804200001000aa1841050080820041091884a042040000050200810040500008140002910008a10c12200810010010e1a210040702010040018040a0a000600a00600400158818040c0000a002100c40010110d0a00200200084040a00050a900008808940e00000000210200e0084221091040020811030011800845040000011280010804a002200800410000200850802000900200008000840050502100108200408800400e08342002208148000140040108100408150040c0060024a440810040602940142102040e0001001010000084000810844040005030a000158508d02a00000700008048000d12400500408802500a08a00000c02140250202200510c02000108040308200800002010008a10002100410600002348010000c0064000800260201021820004084211044a208200010140000000440002008000c0a218c10102140500c18208252040c0220204841</t>
  </si>
  <si>
    <t>A35637_1387_0000210c00000008008000002640102108000100208610808800200052000100302018000800108440408340000850402148040e00a02c0004080034804000034820840084000051050881285081020800030090844080a800300850202f0021825254010880011000890000000080081a400010500400900c08008600810810418410042800010000040c0004000a14a050008200400452000010340010008c0804210a15004861000244810060a200140418000802442000102458a00108218400448140508500000210000300b1a110e00002402810100852602b00008850952100052208410440400410348800202800100010502d00050600008540440002800b52400408210058412300b1824201830080a400140212408000600a40900a0004841820000a40010030000a20850001020ac0064010051091814240245004014810a000408208812000000600000048a4210200000a240600c00250900408000600008808802000700012200100c0824a040a0014004000850001840270081000241021004804200804805080020204800034021a440c0021080294204211200010</t>
  </si>
  <si>
    <t>A35637_1388_004a84004080a018210018000c08000a0001004020065001801200804020060070080a00290aa0a000500140400000400140002800500208012208050700800000202410100000048410a00000050900800300410850202400048202048900c0a000400b40850402a10040648140a42008358400802002c4000810a41a100450012000e08000000a10010240c02802000402400500442102840002040100000410802008302048010a02042402042040212d10108c02040800118600500e50018100100150002a00318012000300018142910e00850042c00a10000a00400002040a40100510000150a42852840100000800a02600010402012058118200402c50000200208200508008000c02a00408010102800800200802610008202008010008008142010800040110042018400200848002410502018000400258a00850400058010d0000040800210024040200840840005034020a448400012040802240200048408000e0810044080004a10880025240280211241080004000890280880044250084024000204800220800861001a40090800a05080804000010010820205070</t>
  </si>
  <si>
    <t>A35637_1389_084000244080090010221000041001024200204820040a258000042802502410010010002242018100f0824001810020015041241030000090044004034a810c10012810800302008b10002e0a000d0a84a21211040820010040014000820064a000410302010040800048e00902302a10202400108018c02100108408100302410000100202010200102000000b00000000008650e4241224000a118300b40008000c0004211841041000884000801030850820240090204005000020880000080020800870020840801201060000214a81000061210080a002542a1850804211000204020241060000001040224040a818908002410500018048000218840040808140010008418040800500808208308e00800040000008212010010a02500442010200018048008d4004000020200030041a010008240540108c10200002300300600218008400112400040100200e00002802840050010008010440400408300140d10008208c0220030200001001200004210010814a410002640942240110000200000200042048100400808442c10410b0225000a618a0244214290000210821</t>
  </si>
  <si>
    <t>A35637_1390_8800602010402208208d0810a002002100008500010010812042002000312500818c4010000200020251051805200010800000091025000004004020001060020020810080aa00150210042212000502802300608e4004840000001001091080000804060000000001025800a842840300508100840000140a00000008400008442400a00000140918a0040250000880071051000064011290a80064a00030081080020205804880010240085030a212410000008050000640802408410758450810000302200208000000000840048002008c42a00810300840008000202050042502100100500008202900540808640708510040402008900002a08840240000008050200000c18048110a4084020a00080005250260a308048d0804000a840100200000a10010018c0014031804200801800280000020a40080010000a100040010040c00c4280214000000014250004a610040d08100602000902208012040048308a1811220081220004235011004a010410108012000810600c0290004210800a00081844011200024000a600040400810500042100400900a58000008a4805020</t>
  </si>
  <si>
    <t>A35637_1391_074a240900c0080030040090280200200a010040c08640010040040018210b1880060050050090010080024000294004080050061880a41241094014200800081804251000280000001081020000084030845240081ac4014280a00000800030001080000204241a810102c1010000a00a14a008050a40d0080080a01800800285a000008200710800040612100c0031021a900800000810140110600a0004a412000800050150018500400c0230004830021800080000290200201080840024805004204004000004080810210085800841011204001200211040240001a400042c0000261020841020004040081851020000a042050400048102010240400c4040810a112600600252102000142100410008208840040040008000102a00000000000040800d18202142002040050600308c08440008310000008a0a050840900040400100840410400002208410200110000000000008102408040640400202208440100200002c10200002202808450010c40b40b18108110608052000000802108400302440950040052002a18000802400400b48210000008010100040148240f0</t>
  </si>
  <si>
    <t>A35637_1392_0250000c12b00000040100100440c50000000202e0001a21240000801054000000a850040d48042612a00000002150700000508000c00018c50a02218208008550210810c0890a04000820801280280a802402000000040140248000408808848850902208000110008500248002d0201001030001020000004a100048608c02040512000000000110848800040500000412000502000042040842100c10510c0a10264080240000061a00000204200040800085081840080ab0020840001a240000040000300010208000012a4285000000804a400000948102618000400a10540748118540300c5060014200a212040400058008040b00950040c00010208802440102008000708810040142148250200412412000b00008000400b08018002248010440410000810800000940040b1801204a112008000000c0824041001084a040000800540210512c00008410000810000000000948102800808002850a02810400318358000102b0280010011030a210c00608010012100108008840000848100000000a4000060000874000080005ac1080200000080055000a000800108300a0</t>
  </si>
  <si>
    <t>A35637_1393_020020045210004001200080880000014880000a200c58050002208142200a08848c0000050210224081040824204080290001001050a40011000a300040008a48800000600800400900008a08402a00a00012810400c00810802a1001800861824a900208010218c00240410900c02210010108840408d02400100712410840600010802008440c00008010512040108602000a08052450000002002208400000150102010640318802040000900008000210040002c1070230811000000044010010030051800000080014224080860000801801054280020a010000250e0000080024004200800020ac0200a000200300a40812110002800240000c08200000100a0a50a210910202000c40100042e0801004a442308100240008402018d0010034014240010a402802048200000b00a02600440448000340800150800c50002010600408a02000940808342542000802418000c0030005a01004844040000a20000810060804005010001044030011000001094810800000020000000200a958050000c0884004084800000811084a40880220800040a200800008410340042500b0</t>
  </si>
  <si>
    <t>A35637_1394_0000840000000a0220001001080a110900002210500840800040e4000a100400040802040800112008410050210012002242008000108012100908008018a08050010c00000902000210612410500b0080a000008548408000b0810020260081044011240a05024081000005a41200ab10100000410200c00700300652c00050000150000000040000510058440248300640110900c1094014004010041825045804000080041000000a848000942a02400800412050d00c0804850a11004004041200a81060200800080084010824004801894a000810a0000000031804220080204200a140000200018800a4214040801810801805284010065050020081000020014824880014020084014011a040c10018008500440a50002000100c18810b40a12050d0840044040000000070080081200200284004020220020040890014030040040000080050200020804840000001200040081810000020a200500f0805021a010648040002d0210a14020001000050080001020011010201a010948010012210c40200c5004820010830800080884000224244201080085090050000000a20</t>
  </si>
  <si>
    <t>A35637_1395_051045811000280025061040840044004080a40821080a000040400000608e00b0840000240824a118100910410002000912048018140c42000c00100050800c00800010400018110408412400800640910010008852202100040010000118548042902800a48040100940810812140000208300112048042002000500210b00e4014214001020800080040884050a20004aa1020a200000000808010700800208900002848502000058008c42340208110408150000040e00000008c00100400900b0a140000010a00212000902000418210008a08040e4080a00a200400000000000040640a1004241204200084a21041095020000010801000800841a000440202218040a0020a000c40548900102c10410c40840a4014021001041284001000030040090800000040280031a400800a0041844040284800000081220014000210040ac0020000214020800250030000840040080004254010830844a110b00140210900440402c00a42000208500000010812802008000800a08c02c00102010008000d0220010020200020220850024890200090204030800081005040825045090</t>
  </si>
  <si>
    <t>A35637_1396_8042018040000148040000010008000540142410000340240000042042100510000000500448a08002208100200000b0200005090084000204000a812648008c5880000290a048102808102600400400012140100300400840008202458810402218000200110500008a0a01280004000a00290060001084040030a002900e40040810048042508400e0800801014020a252208012202000100a4040200095000055080a940310008108a00c1000030805221000880090010020004020010020084010080800a000e00000540442010240000110000500c00a08040408040818c02c0805000040021200805004a210148b08e00018000048010112000302440112348242000008042842000000102500200400a0001050090014240000000a800100040602600542000940808208208900810600000202002010000608608000008358000818100642400002a10410200518800850c0010a218010200600800600200100100240618902002b00100000000a10852502048600100810612900140942040010a00a0a400000840000118c18842000042950440300a40800400808a0830820</t>
  </si>
  <si>
    <t>A35637_1397_804000001204000250201041200010204a000012408202448510f4080000020064800a440c0010011000825240044000804210000865220050200200010001004201800220000014080014a00051054000030081040061041204010844030800000205090080000031820a00a00010090820000010ac48052042202400700200e18100300800250c00418250000300312208c08902010002c0800801a008200002910000002000800040210440040202402210c40a0010000004201a718042442500008000048018200000002800050640810000000c42102a0205041094800000060820020050081800281020080044041051a05800010000a00240014201881044000004000040224840020200230a10881280245020031801000001240000090a10040041884800880040a010410208140a0000040014001a100140800010e00010310400408c42040a0815820a408110002902c0821040061010a052850500042448300010c00042008000018008202800912100200140a0000004844060000820ad08a5001210000005214a40800040a010440300310e0800204884000081820220</t>
  </si>
  <si>
    <t>A35637_1398_0040250000000102500800208c1a400008000050000218002040200218002000158810402a0200040000001a04000220884a100300010858102408200040400102450040140000200100b4020044060200800a000510a0a140202310102400a0064050250010030240004a800012600802142908808000000600240300108d40a5a14084000a00241834040000210020240841800201a040100210000e00240c00002240002008300100200002408a1044020015240014004200204800010005001000a342200008400010d00d0a810200200018400842840140008200400800000a00852102d1000a41090040030a608000848458142602052010910c0080214034a90800800001800044080095870001804a01840210021000091081a00044000aa00402e00048402002c00002110208002802140202240458508e00000d10300102210008042008c00c40010400000008402050940008300c00902000802040100002800400202110a00108400110200c4040000824820201010000a000c0a04040000801820800040804810070040800000280090010021045800080280031a250c0</t>
  </si>
  <si>
    <t>A35637_1399_090204041020a008448400500000400100b1005201080a610100108850408200842000002100800342c00412202c0084014a00000000044805054004a010300800200450840140400400700402402808310200410000a1a012200050000a0010804000090810001240805004a51044020a440f00110802000040002610c08040200950b00002008c0820261014044a800400100108240000000800008210002610002100a08340000100e0a150100100300400000e40112002300200008b00840040102000000010a5040080230a30004200090aa18c00840010300008118808010200810508400358010002608240102010c0200240034080a010518c08240840100352012208402000800202200002000012052002000002248200018400000a4091a512a00510042802200050650100d08400c5000200000040030004280000884a11081090a018102508800500000250a0a400a00218010300142810942048110250d00400408110400152040400010040840048002308100040c00000102000612500042850000a4020030080004201804084204a000508210c0210080001200201</t>
  </si>
  <si>
    <t>A35637_1400_841040a400100040442210258042410108218000100a08000c02a00840218810242018810040a08540800440202010442002308400110012000b40000018500a0041ac00802200300c0010000005040800050020890200000270010000830044a20001040a042610018c00a00042040140000600d08048142000050048818840000402140210040010500800d4040a30010821000800241080201004060074080000200801a202400c0001050044800821020024020250004a012100c00100008010200040400900c00a0080220080241200001805001030000064011851044000220080000020020241001090a908000a08000840c10402300408010212240500a48102000010040240940a4030020850000004080280034004000895000005040000025850820a048012508900008200442c00102840808100900c40200000c0010044230020a400002940100440308150040d00100148042000008c08002300000302e00142850000442212012110408808040c4084001000001a200012a02a1a000200b02008000c4004000810021221804064221a00010041000840000014001a00</t>
  </si>
  <si>
    <t>A35637_1401_0208a50800102048112200510600400100008240310102440400408940000700208a48c00800a12440100a52010012d0a040002b00240210040100110440410000440940140000200c00600808800902000400500210000500000040008d0801281044040015a00aa00800008100c08012600000800210112c0820005880044044040044800800a110a0241000020000224041005004210080200004841850204280080210040020034800240210014000a41020020800004001824800840a002442a00808150008c1020201000805254851060040080000a102340b10608048040902000600000440048140440a0800a418448050810240902012808318808500100800052500040002000202050440118100050800a02000408000008a08000002048008100710418402c4a14a11061000024ac42100200758900050818000042210212c08000c0281010020200081880a400440000b12000300e00012112a0800240060044000001000020a20a210108008100a40000000018810200400302200440400312050002208800000b1020860004240804054a20080260004270000241001</t>
  </si>
  <si>
    <t>A35637_1402_8402000800242000210000902208002240310100108202402400140a1011800080000041210a050100a00100802002342002010208010452800400a00008a08000c08002248912050c0020060010000000a41800811001a802000248402c08000610440008108000900210010440200100248608340440040640112040200a1a002142008000210000040c0084084004a008000000000000800800610900742642000400042340a0080a800800008140408100000e4204214a040240000900008040208040200218950448810e08040102c0020201204000280a508310800240540400002010608700618050000202018508000202d00008218018810000c00140a0004a00890800840014290004000051000024010080201201a300040040c0020000040010894085a100c0a102402800208e0001024a30824200000201005080810050040801040a450408858000000510010040042000102608408c40000342102018c08508010410202018000c0020000000090090001240800025010040010220000000820a040902a02008110c00002410e08a08708110d5220050024800815240</t>
  </si>
  <si>
    <t>A35637_1403_0050642802200800648300a4040080010020074a100150008440400000008200808610100242300040200302a02900000910048c0800881011060825241201080200800050084020821044221a44010290001881820825085010a012200010008000802d40202402b08700808540400840452a00108242902808000000410c00402800700948100000102c40000002a42010b00502000c4094880804080000060200030000030070094201000004810800010080000a040600952102310a4a002002c42110408318002412100c0004a040300058202100e00a00702800040010410800050602008848000900808000040410000800900100310002a0015005004060804801060021040044250880a35080034000281200080214800044885011000800a040800c40600800c4810010050061a018800000a10400000108200112200000140210c52840002100a0000001800820841034000820080004020ac4080001040240800a00050020015030010884020280014210a00831011080000000884000020021000081000281a41000064020a940248102102508000a1000080200005880</t>
  </si>
  <si>
    <t>A35637_1404_0408440810042110610a0084001800270004021880040840041220814a150218010a40142040810040c0080000080204084240220001000004040080804a01810000004074280801200070001050230200000041001200814270091840040005020254004a002500000f12012000d00a5210001000044010000800020200820080810020280835821010a052510000940102000202010402440100700100a10a00d00800952002300400802040008200302208808048010400100008800818650500702800008e1015004a80010200040060805225884200820801090080220001004820a00851841000240200010210a000948a40040600048502010c1260201094084014280801225850044801210020800024054010aa10410010b4241a00200005000020015a800402040250540010e0801080044011a008c0004045010210020260840080004054020a30801001000201010084000a000c00040410800040052210008a0220001020021a21001011064000070820010001824aa12400e0201a00000000000a010008800008300000c50900008058440400b4801000200280010000</t>
  </si>
  <si>
    <t>A35637_1405_0400a10c0040a018050000400c08110840a02100a0010024244004030000a400010c0a100c0200021ae0064004004080ab00010610402008152300218210008052000812140808700008248802040200100242200000240500a4211800800000204055010280014a10000a00244024a000108210500410002200802000200500602010140a08508a0045880041020804811200055200810000a808202200c00040110008042400c00400010842508012302810412200000400200412308000042110400102600a00c08000010100018040110940400450808a00608d0001044a840000a1005a90011080090280084a500200042a0011080280024830000004080280220044010000000055004800001aa1004040a000108000400508100010000b00218610410400812010348840108a00c4804801264a040110018208800400808140002008440000052400200400200310600c0040230241000031aa10c0250000825800840020810054210800000081800290080a000108000002000000040040000a00250250110402000608410840418810040002402f0084220240240004004080</t>
  </si>
  <si>
    <t>A35637_1406_080a41a440100102110008810400102008800208300208448800e0001000a100800200450000800400400902800040442002100810500218942242318500900910852000a4211a048010100c0a000200040102008408040852802200010300f0044080034a00a00001840000001040000014001010260000010005800230050000880010a040618000412042c02100008002400818200050100000000000810008002c4835041840020204a040300b00108e0001a810410802218008410a42000010402900058000200400440440800202800340a48140108800552100142002400c00208048200002040000d08008212800410000412a00a42210008142040c02100150100800800c1001200010050210030205084220a018610400002800452400018048900308052000e08050400118400010410808140200200040048900500042008410508008002002000110010800000800600202010900610e42100e0011015200804800044090001221070010884a04240a148100e08012202810200200040610a00810442842050108010240000000200200240000d12002c5080024041291</t>
  </si>
  <si>
    <t>A35637_1407_0000200810100152048108200000042900310000310200452100500a4010060811a20010000030260a800010610410000858002400010c4040010020000241010084000230080000800881a85001010285010a010208440002a00048018200602e00400200b00008100d0800a152800342000000c50a18800402100040308010000112800002110208c00018002248018402510542c50112900100140000842402400600100000c1890020810084000a202000912008142008808108000110c4084210080000240060881084240030011a800300850c0040001240020010a842152000012042c08c4241040080031820000020200a500c02240208000b4081a050000218008a00110000010300048610200110050052500002542800048042802048a52042218a1040211000084070a800008818802000140010000600010d0000001a040000200a10100800112408800400200000002008408000810210110e0a80825010805800a040442812110410400a4000220a24a410a1000880080004814a302000242010442048000200208100800000208b0204010020805094040020870011</t>
  </si>
  <si>
    <t>A35637_1408_8b08402000000002152c00a0820014084a848542800440040402a0280041840851204800024021840000004200a40030820000a010210010802c0280040211800200201200204024001081020211084080211000070000040024200020001820060801010014040a00000801004060a100748b00810850c00002358010800000810040500908100010402c10000402902148108008840000440340412000950000400740900110400a1220084010aa50312010100810000440a0000280840020000280080a00280814085000200a05811021021024044094200a000000842408400400a5860811884840240000080800220010000804034204004280061204014004091800080041a24a810048010000010d42c08000d0001010881021204040014804260801080285001200280070020040840080200084220010005a60a000d48000202200118408142240808008110248000412f0280800a40831860004204001004a000010010102448842408808240a42000400a08200500210000012408250300808002210c50002b00002410e00000010040102500a08e0a800102000a00042b0</t>
  </si>
  <si>
    <t>A35637_1409_0802800000800200650000d0000044220001871060041020880024a80805040030a45011030010064840011041880250aa50040210100000540b02210500210108c40400800010250108212050812840108008c00c00e08400500300008a10c40202000502150000508800600840348040640018402000c10440242008110112000050008110640000248400000100248402010000800400100800100a0811004041020084a000400202018900300810400800218402800942b00000008408000840a08208508400000802500100042200018a02610400442000010810a00010900942200048b10000212000300100308008000058000802158740200810c0004004021a60840024001801240810000240005281040034290801ac00010048840202110602408002010900402200008900b0004a00080210204080064081250020a05810001860200240080024000a600002042002948000150100000c0000004094251081020004a000d08848102c00308208000008218200100118c02940000810000610100008010048058042600810048002200b0025200005820041000000864070</t>
  </si>
  <si>
    <t>A35637_1410_8410a42842402308000008b00210000800812312c0821060004244000040201804880200000020a012810402442900000000348000410840002940102010008650840d0020a140440000000448042808200000800850208800102308510100008000c02a0810044001021281000024011a400e08258812800040000340c0080021244044aa0a30030000020a042102140008a1024044014024000040200080a81090260000a20a218100008400308842000100440042800200a0204040041000000210a84820050814001001064a100050c10808450502c00000000010050010042000310218000808040800a4211020040041080041054034030a00880044a100840a1071880884041815030800001820014004091220030a008010000400100d40900210808000000442000802458108110010000802200042110042202040000842410110200600000848002208208512a10c00802a08200a00100000940c00018200900240008c10000300010400818208100848b40100f08402c0000000080804241801841290060800020011000804000080210000010810020210080015020200</t>
  </si>
  <si>
    <t>A35637_1411_0710018040e0a000608800108a0a440440810000000200840000702152100200440000442400802108108a10a08110c00002002118142002800e0a000040508008210900002000018610108000000148058100200008c10410240002402008900450040200148000808000c48102840150410600600002000402308102400008808000440110412c0040a000c0204a002050000210a40400300010248800410248802000100112108110a0010020004224a200412200500d08000200f00d00e52100408802308000800050800848148142800008402010900040210600848c00010100042402010808042802100b4000050820045001060801241070000280040000800820000000200080010210a010400618000100c0020244a800140600050a00810248108008210800c00950000a0810081200240a00040000001a000d0000084021220820040000224800a24010024840810090205001060050a000400300200000408002812012040802002000e10810400100202202018000002050800310040908e08a00000c40002008008440218c0024000000000004040894054220060801</t>
  </si>
  <si>
    <t>A35637_1412_004021a110048808412310050a00002100008140008508202400402042542418400040840802058208010d00010012800108048e00300e02042400340102c00110600000042000052208108810040100800650408b02240040000002242800152000100340810350400e00608100508200300018d08050000a02040102810000600002900a0220881815225a10214080040090854040800010081804830840a000412c0020844001801800000210210004880011000800220010a60080014004ac40840918610800902000c1000010020040821001010024815004010800821a440100842000800100050002302200202f00050042000d08100410908112010452640112000a00f0004041080880004250000a80a002c00a08200700200042402042200418810018200902500240140410608040400a00002100b00a0200050020001044040810200885000824a040100840410c02142200002800340400000308842510318102002c0000030050a110108c00010008002402e0084840201020020200a210008002c50100018408000002440850542150040010200250002802b0821020</t>
  </si>
  <si>
    <t>A35637_1413_040085a840800802040a0051a05090240825a21241041040280020a04010001881060a000c0895040000024a85201004280054820084200040214004044a200a10e02510000012100108410408440100000042608802c08810100100240100008c00400340808110e00102808800200202000600140240100002212400000a0a010c4000801800800824080814054010004000080040284210000010030080800081040a040340018112000810400808110100448402040400110040500800c0040214a040642400708040912b00300100108800802842600048048000402c5090000210004020000880004030230a040208100a10000a00000212018952008100d00b50002400040400442408302202208408c1200054204014a900002410900008208110010e40048502a48102240000010040010808908000410402450100400318000800200a00402602040008200000840442808a00700c1020860081010000254010081a04a010c4225014a908042a0805050284a000c10802002012840200202000a0a258102400010702000158c00400000000410210448a4800090a11200090</t>
  </si>
  <si>
    <t>A35637_1414_8c00602000802800208300942002400102018102208040048010400948410800a02610840440312500810240010c0290020050000060a058400800312140000c00e18840000002200418000000040108050400c00802a02040208800200108d00802100200848310810212048450000040310000050a00800848b00008600200840840100000400a0034a20240000aa58010000110c48c00240100100410010408110800a00000000e02050412448342408900310c0801000a040012400040450c12002200012008008002800200840500210858800102200100110000012448110a00808012000010040842200002012200e10418040008150402400108042010100010040200000400002148318402a08440800c52400a00300008000842000202102100000a10e18110002052200800c0005010244821001a200948010000000008002100018000100000948500318310042010408010300000600800910b0200220a000400c0050080a04000040005001081050200a11020000840800060020014000001880000254011821870020000800280804010891075061050000a20001070</t>
  </si>
  <si>
    <t>A35637_1415_080040815080895000a010200248000640218100000900802800c0834205810000ae02000800010000200408c0881010a002042408d10850842100900008800800040002142a4000a61000201040004010021200040a25080274080060800804801091200010040081000021054000080200831004804004254a000518210a0260010000021850010001a240002500000300100402c10112c40012500100208448c0210014001a010012008440a0a200248a0010260285024a140040800702810c0014020a00220841a80800004000001800001281a500048008018c0041281080000020020000800a24801200001220a008848e08010042802002100008840002e0820000a000c5000044080a058700200148608002840000000100a02002100400018200018800a1801010a210100000812210040b40010402a0824220240290091a410208208208c4020031a208800940410110000b0230a100042010010400000518e00c00010102102802400408100000c00040148442808812002142a02800040800400408042000140448200318410010400208740610300848802108100040a0</t>
  </si>
  <si>
    <t>A35637_1416_0000800000402900210010600402110402010240100100018402200000100008c5040200000a81220060040000a100040900100200240000010d0004271851804200040000884255a80881a002450000150110000000400400b0200a20a10830001a010000b08440800100000040408200110b00f0281090290001201020024024040064000800880831080201080225200080810080000004004020841061a400800400100110900900c02100140818000508100040400008b40000110b0a850102b0880000000020024014004800805060041280251200080000261090001880030a80014201010881044000200a20041014000094080030800000851824081080021810a008440c0a01064280a148400242048002c00040600710e0a000000c0800064a710400000400208008740300008c40440048142202010718042042208108400100402802942100840048608200418010200202440900810000900402052402200212610140700102050100b48000c4200220000890020080000080891001a00880000040080084230250014280880050804a200208040012010000a00100b1</t>
  </si>
  <si>
    <t>A35637_1417_0040658002402910040200a18c00442a0001040000040080a942102300600b18100410810400100108400a1000000260080260260000801a550240800300108500012000002048618800410610400e0211011a000010240100108a00018000008818040c0880a010000808410100000008318008b00e08040402002202e18100000012840302200500a00000002400808548610010000000148240148400102a08100208118402c10200008140400002000500840040100000050010418402002400648948142a0080a00005050020021021024004005000020210a410800400402200002040a00200040002002142410108900e4045000021040801031a802c5080085004800880000200200a84001070000a208000008842012a0025880a01000021000840014201011000200a00041040261084014091020800041840280040080040a200000608100108200012308040200800c4000200001085060801004a010402010110602000a4000800011811000a400200200440900002000840000802550010210800002b40048248010200408012c0000241050044801050084200a51a01</t>
  </si>
  <si>
    <t>A35637_1418_0902010c5020a218348400802212100002800202000500012800148a0a208a08010000800400140210018008e40110008808412208148040840302202018008402000140c02018000c10212608800408200008310410048400240000012a00140810102200010748308540808000a4201200041005000801004a040000500002000412808850408300000002050e42210058608140c00100008848012200312050040000018742000648000152200000040608002018500208000002e1800a848000140912018000008458040008200440008000a10800e0001840010010881090004824040200020200001050aa5800070800044015210001000a110e4061a802802218400208000840400d40040502000c4020804000000830050080020001000aa10012000100410150000a4000010885000a040448200408100812800100142202750400050018900340802100a0004801810020220024a000200012400808800040f1804041254000a000502808102252142108042008200400a00510c0000810001014001801280004001040824060890010000200a000a5800040000201820000</t>
  </si>
  <si>
    <t>A35637_1419_004020081210a200012000208000400248010100400100800812a0010225090840801804000210810a108d0080004054005a000800610008c02440812402418008408010400010250208000200100c00000540b0804881040040804205001084060880204000820801041001a002002948008900142a4800040211a400c0090a21000284024870880841224811080011221030041084804020820a20081800280014004290001010001841811040010200001854204280034020220a008952040c00040a08050110340002110700000252008658800400840900008008200c00002608040202200042042c4004085000010040044090004804a11841000a400800c00010040500a1280844284004011a108c00200410a08a10252300c1004814000004000a10020804284000000214841041a010010400b0200831890021a000c02800100010358400402100010650408040c5810010810860aa00048c0044264894000a010802a00802500a0801040050a402900e00910200000000840c00248110200808240a1ad00800000002010408610042402040208d0040021280084005010241</t>
  </si>
  <si>
    <t>A35637_1420_0010040d12108008042100210008040b00002010808048042040202b02010000840050100200810100000000408802308850150100a08800100508300208a10108c10400c00300448008142840000c08000440100150a02c50900000140910240418000042900118000048c1000200800021840014080000080800811a100100c00042002808002000c08448d1030820040051025280291200225000a200a0024a01014000040030041280840014084240080000020085244081851800804000001084231840000801001010094804810081840200004200020070220094000205080a800100210900612410400040500010002208440148002700100c00000c10000110240400002808000a08000040c08a1ae1004000814a100700018410000008000010a00248a10400000808200800002a00542e00108700000b1240010004020200800001800081200091000200074821000004020241020881041000000884a048200400808042040812000d18410a0010000280804850014004804050824804a000302012050040008002c00802e4050080011a112408002400400040102000a0</t>
  </si>
  <si>
    <t>A35637_1421_010280890020014251a010402a0004004884200041800a250040900140012208840000102102040112900012240112000000208b0841004210040200a100010608202042000a0840a000f40002510c08110202708200a10400400918108e0080040840040a202202000040012802a40010000e08840808842240118040900a0200a41004014810200824800004094a000402110e00448010a02802450100d18000410040802108010d02050000200000110800008400412800800010000000008002b0220014091811a40241020000250041060884010090805205a008250610c00440010408a00600012c02000100250010800208800240340058008c4804000090800010060860221a000400a0004000011084200004804000031081284240004014a410210110000c02140808000400000400100900308100108800c40400600000012010110410500000008440800010000140002002208000e4a200900800000002418210008100600a00340a00000010100802310018d0030200000200200000240811a050000000048100b00c0880801070800220250044004210020285000210</t>
  </si>
  <si>
    <t>A35637_1422_0252808000e08848000300040058000302000018e10418040500c0821204040004044211044000801020834000084004824010201004060011000800805830084800a40004011201a410a0000281244aa40458008102652002000a0200a000640a1804004a000002600008c48d1004a058010408210408502000b5020231801a41a000142242408400410258400200240440618148058040002910408808400010050000018048008b0201081064001024a000200400800940000110300100442800d08212200000802800900500902248000200418410400042310308800a02150802302018210100000800200348448600242c0080034280800040000a85014200830a602010102058900400900308a00a42a0040004804a208018500a00050640050000800000048050048a1201291890ac10840740802440608000040800308002040810212010010802000702400908a00000348050042608002002910808808040008a00402002002100512210718408c00840100402800142a08400940012400100a0000a01000821060a000800002050902810048600200000440800842510b0</t>
  </si>
  <si>
    <t>A35637_1423_8400800900400050400210048410100b0010000081891800050080010001211055884004020000201831800040094020000844261011000201000885000281001200000240a21a300200008800842000810000800952018012040040542400102810810000002240200418410c12540b5020010854205a100208a40110210842002100800140000108500200000b40000400a00700040000142808202110b02002040700a00000500000c48442040902100000010a00d00202002000000000042450000002150408550048410402200640800002c1201000800011001060a610010100300010008000c4000220801254020000025200210000010880865005200040a010240500200c48110142040212008002000050600810400c00a5001004000804210a01031004814204800000a41020000a100540a1251080040020000000000044800805000000094080800a100210000500842810410c10f4a042002c00858608b00010202800400200208000908850452200008040208008448900040208200100508c5005030894020201084224204020210a042e10812040140c4000200080</t>
  </si>
  <si>
    <t>A35637_1424_8500018010240010550808040040052002008442908110618000508202002000810240d50102000018610048000010a4a80a20800800280000004000000010864001000004084001261040800a01014010064000034000040020000040040811041800000821804021000a800940640850048408402202000202800150d0000a040042002040512008f1000084040a31010800024020014000a112408000200212040002212000000800e00000300840400200010808040208040200900100802002000142450600300012100800900000400108a00450040210410500010210940308848002008500040800000308300108208842000600002010c08242818110302808002908040002442440a4021a20060220015024080050a80001064010280090000090000041044000081840000080004084200a840400608b1004005240010800a210150442800008100100900b02808400542048218a10200c08410440000000208018002040200040200000600000400108010200200048400000408012212c08a42000000242a02600810c00a02c10840240000010c0044040220814000010</t>
  </si>
  <si>
    <t>A35637_1425_0108240000248200010010400002902400000400918000c10050200a42118000c00a48402140900052218110800100200810250000840a1a44080205a04000020000000074000005080860040ac42000a00200c10700002002000018008908000012010000100100008c0244a000a40000150a00010802d0000011a418000200400c12408248240018048c00000408102002600000a08c42100902058000542c52c4090220200000030200a100008100308118e42000010808b40110200040050150000250702c1014840004280021050ac00812412002148900000000502440002040818340a00000000150a4021241031020201040000820024a200842252010242112000400602408800240808508c0810000284060001800000820824a002a40208052010000610810608058310500258040012002000000200602c40800800000010a00140e50410140a0201a300850600040940018102000210c0a500900a1020200850a41a402108000042c1881000000264a80000030081000000090a208000810012200002c00102400008850000400e0005000250825240011050000821001</t>
  </si>
  <si>
    <t>A35637_1426_005040000000a10000810080200081000aa12050410402000d00a0800225a808200212100808140400200500600110040042012000152010050208058108400058000c00308010402a1060064080004001010a600208410002400210008200002040010000300100100000808400000a48110210808210010c0a00220050000085a01220a002400008148e42000a40002018300102842010908042000200158208400148000008610440802102c0210030080090800084010000000ab0040021000284031040880025021a000800110310100800248500608000040810002c00010208010210a1801800850000284230040810a848800302052112010d40010002040000310808b4224040230000800240811840084084201a042118000040402500a00000208a0a200c0040080210aa00000250c02640218300018408042412042008108000450018050e08040148400412c00910048212000a1820221a04210014260040014281090040a000048108400202010608b0020000014a058400000048610a08000240c10900310002010000c40140a0091000a21800004040000880a00080</t>
  </si>
  <si>
    <t>A35637_1427_000205040020085004040801a40280084090004860045001010240005a000c10002e00850400052010c10a4020040050204031810020220080004a80020050090a050002308a08740200950c08040200002412000600208040a0a148008010048042912100008200c0024860000040021040a00091001054004820201040010821810204210a010900900800002200002002500300a00140a42002058408000612002848200010018402812040800a42710000118e00000a08100242008b0020000084210054210040804800234080044a418640400102b02a50000d08008802000040900058000000210002502040018a00102000c42400108000008800812100002010402100300402440408218100800848040c00500210102100200800812c4200a248200052000d00008b00010100000048140800010010810400808c0090001004860844201084010a00040001890820085270881a140000d0084000044a900208e18010e02040c00100000100140a5881200011200a000142008050040852008400002250010102010010c0000000204050080044a01081824280080080014221</t>
  </si>
  <si>
    <t>A35637_1428_0110808010600000000910700002102208a08018710640058c50008200048310000200c00400100010c00602018840300a02002a00112002410300800008000810018810002100552100800c00150240008342f08c0020891000001060040000004015220205001010805a800000e08902240010718402000708008542008f0084000280284804270024a800040408058048300202410800000208000100608218540000240308000448c00002500200240000b48802440040102100410900002140008842000018442018002100110102408a0ac02000040000200b00810a00012c00008010008b1801004230a002200900100008800a4a00a240210040400400b0801050210030064200000024200201080004014200015001800815004ad00c00a10040500448800000402018210000d12002000000000150900808008940002310412818700c0005240001014001800280210224890040a018c4040001010a000400700508008d40900a40000010208400050008218100800110400c42000008050400308e00000a08852000210048010000300818108100150000d0044004210840</t>
  </si>
  <si>
    <t>A35637_1429_8012002c00000308100410000040d0010a110002010e42608040900018112000100402100008800200a00010608540740008400410658040000208910410400400452050800100542900850040002442302400810108200802000802118c0000281a002042800018608110840400a0a00200291001081204040004234a300e50600002840040310318200440802802218100c18d40600812448102500300000008042e00140202000b4000ac12b4284004211080000a110600000640000800c0805214801200041020801850080a040118008100800450e02018218800502210000c4011a008100050600000402900010000440212900908842010000202c0015000a042200000800a42912200800148000140e5040224800804000850840880000a042018000550000042400010002a08840802002002002110610300858000200248548218240000040040302440900600008440040208202410840808100500802300a0841a440452000100110400002242042908818008200000810000040248450008312410050602010200200008200840a0280000001000001000220a950100a1</t>
  </si>
  <si>
    <t>A35637_1430_014001801250814815000010800000040a000000400040410d40100a1000050800805804060035800a408140008110000302242800800202450400340202000508008012900048100400512410c0200824a51a000a02200400040102012b00008408040800a18400108202440c00c0000000851031a200c40000800000c00000458100208812510000048400910840118158000108a02c52040008408908c40e0a000040b4020000001245801040020020011044a00a000540250108b00410040500000000240010c1a210040900118200008040600d40000058408100950000c1060090004800800025a40214204814a300010200500f08800102018000e40140002012050600212842002240040400900000200500100a1205070004241245000210050030810224080284001a042c00d12000910008100002200400400140340012252000208808150b00000440200940808c00a0210000000810a250802000350502c1080020010010000005040005844094000201a018a00400850012800000210010012c00540040008302300050010002442002010808e0220214000000860200</t>
  </si>
  <si>
    <t>A35637_1431_0808800400840040202000002a08102102858100000a10642510200b00000608012c02010302010600010202c48000600202108000410018000a02000010c00510408540040002008000802802800c40000658410210400100108008040100410010412508802200000600208800000018200218800450810c40a4824820814005050200800a602200f10000402002118008000040c02002100010400010a10840000508a00500900602040100e0280050ae00400200440202002100308000800150040140008c00500008d00a4004214240020820090014030201230024081810240a24205000804024081040000a01000001800205220200a000b00840402800208050000000c0805251040000050811010a40a442140250018100000c4800080a800150000112e00800500012240000042000100240100250408850402050048308010000c50052400800a00200200308440902a0281060201000a240100000002048800158802500c48800012810200402950100000012418652008800200940202010200c0881060224000880080841810050024811000040000204260200014870</t>
  </si>
  <si>
    <t>A35637_1432_040824014280004260081050021254020011a00a610e0000a010800202508000008e10010848200500110540002000600242402a0880a04014090880001290821024001200881020070024801280040000800290884881040260020845220050004000000a040340008302840500a42902008800c00800012842018402900300c0004060200000010021220a052040800600800a0041005240084a508c1091240000280804014ab18e18008000848900100100400200100000800002210802008010800200200408910200850400212448000500618440e40318410208402400040a00208150300118202902c0015a012000542000000008340000410040202c4084005001800000041a00090004034a40005a800000000840102010200a58050040010000a1865040a05000a800208000a00c10450302848040c08042802002200112010010a0a400800102a48112c00058008512142200058e00200000502808010108000000200800100008100108a02208810042150002410c02050902000a0061020040005010000000270000060861841020011010260041020014004825800010</t>
  </si>
  <si>
    <t>A35637_1433_0810010812400000008a08108000040000140008c00c1a80000024a040612008008a4a100140210110408a50010900008008000c0801041045040a20a008118240000d00c48010400000d42c00910200240252010800202510b00100302010100c00010802802650c00000442400008008608610652000800008000502208200452040148102142800308200040048052008000002002110840800400000600008040402008040400800a02000d0081000800840041804210814041080010a210812140202002010400412900c40108518310c00c02110008010050308000a48552208010200508b50402402a00840308108b00202040000a12102400508200002208058110c00200210410002112400300008810840200042042818c40000850a42902008e00c1a21a100840002010018000808000240000102e18018000100200b08300800908440010e0200240020801060044030800a042000e10040010900058002500250008000440000040300002250400e4a81224000060881a500d02100010600c0000a000000110642108d50800000a40048300a1001860001214884050890</t>
  </si>
  <si>
    <t>A35637_1434_8400848000a00202440800840c0200000834020a008002810000100010000610300440000042000040000000450450002910442a0000805080230200014020060060084010220060001001aa4a000500012000800052850000000218050018200000c50802a0000090020200201080a10031060060205004230a05020000001a00000044080810081010240a00224a800210410800000410000202208008508008110900900400218000040050202040400100a10810100448108000800208200142a40010010100c40212042002040252400a4080ac0024004020210020221a512400002318800142400802000002210400902210c0024000041080000081044020a90a712200018800810140b0060020010a010000602810000000852000050502a00500800100010802100900602a08712650d00000102048800a58042002a0020000a00801000a800200a12118a10048012d1050224050a51860040004000884a110508400610800800240408010808008102040110202c10c00602000000308440000048000412900908040808010442400040208402900112c5814234011265881</t>
  </si>
  <si>
    <t>A35637_1435_0040010150100100000200008a10140200240100000040200010a42002040d00008048840002910202610240610040000010500a0000040081010024241a118b4040244000a010042908900008000000200440308008042100c0085040801080800805060200040030040024800030a00030281040024ad0204030044040824200004080010201880040041840020094001aa0881001a002000102010208c0a000050000808000510000412400a08902010200200010400248008150010310200d00200040442008100c00100c0a00004001030081281000884801080000244890000a00a50000051240841060210001000081820081080201804080810001a40070025800850821001a00200200210010884025814040a008400008900812002140008002800100200010340950100010210840000008a0240020061080a00000095810000881a402000400802108000810040542602002048e00102248510202002650500a4a208000408042008010602002c00400058102800c1021801004020001001830005080200800200230004080090204020205200801a81801070a00005090</t>
  </si>
  <si>
    <t>A35637_1436_8800200540b42818210008958050c02a08100000400812a10000040210400b00400018102a40a00040010000800442002a08408208402a4044000a04004a100812400d00c40102000c10e0040240280291201280090000080004a008008400040642010a0800020230040225240220014044060810040001000030061200041a40804000824840020001200084220090050021000260080240214a042010012450012040812610408100050000008048448010240000110000818040010450042500448840210400602e48802600000210010808810c1004880a048800700000010102058000c08a4044801080025801050830084255010004034800000281000004004000030000200000044a000010008518202002c4001a608200700200d00a40108210000302202800a4020204a00860000094094280201210004884004040aa02148500010c4040010000a200008e1080001084a940410300800e0001000a058410600318800450c00350102400902850000000800152210612000900400002542008402802942102310200900400810110c4020201011804081050060280010000</t>
  </si>
  <si>
    <t>A35637_1437_8c1004001210004230800080800000000000060800804804210074000051a20065800001200000800230000824240024091204041014045841040215010081820200a00000090a400910c00000000840310010200402400452800902200c08000a5280000005064a80800280004000234004a410250400040140300010000108002840300818002400d10250512c00a02110800912808100a00000242c00600c00000048800400200210002110100008008410200200010400012152010410008002040108218408100800050102902108100a42200800c0031004a40061000014014801805220000820010010820070a60040a010800c02052100108010640000400248048218048040400c00810402400048400100002218010000000c08040000810408c08310010400002002000910510010800d0a04020040005824010040010220000844021810000204040041830080040040280220890004220a042108200108a08a0200290280820265250000220001024030200000084a808000a00000002108a0004a100242802602010850810440300008102010102058c1040034844000</t>
  </si>
  <si>
    <t>A35637_1438_080860080020080264081044000240010280805000850201205020204045001850060080000a00810a100a10408c0004084221850044a00000250080a310500412602802540208140000200a12400002150242408918008800008240000208a4080010220a000400a00842e1844060220a008010500008400a00b48000600018008800740102400800a10002802400102010808040210400840000042000c4000090010200020200050004810024000a01a018802840100848802008110802a50100900008200c00250c0201020800005220860000201200814044070001281040054015000281030805084200801014080801a84210014200031840004804a010a4021010800000220804000004020850884800800280020061201000081800040a000408308c40a40802400a4004020885200a54214000a000818040c02002042348248610800408102400108002000242208850140150502000608400000b00202110010302448102100108340100112008042642012010010000800400808302140310010240802440940018808f0004800000084801240005881010024000801811</t>
  </si>
  <si>
    <t>A35637_1439_0500000142142118050010e40202010800002050300648000010000910002000a0000841000881a510400a00800d42d02810108000510002c42700200050c0881a800942242200050110212c0000030804a100c1801240210000800040021040800a150802040002a0080a01080054020000020800064800080800800080004864a500100108000618308c4040200031804080884041200010000201000081a84054010014000800840221000200000a040c00442a00842008200358000d00810410048110040c00200000d0280a012200e08008418012240040402208c50440900108000400900650802410a08802040200000000d0004231840a20800845804040080024201804865804204831a002400418850840800002008808002812800d00200010400c02800412a42012218908800000800000902110410000000010108200412f10600400850148008308208500000110140100000010200050412440042200418300840840308840400610a4a042000500200142000812002410400842002a10208240140200208702800002212400602800008a00100008840e0005254080</t>
  </si>
  <si>
    <t>A35637_1440_0410a00410c00a00310700a00002542c0814221201824000200064a20801080004081090000880054a000400a12410200048010000208008800a4894240020850200295200891800000014241001020080010240000280004014030801020840084045200290040000060001091284034025201000080080050a200202000048400c00d42210000000202200002a02250002408458a00512100042010010c00418000202810000f10140802802008000652110400400c42b00110002108108000052008342040000112640140008900608e1000000080014081020020060021211040220200a008400012d50000152100a10008400000508112408908100208050502000040400150810802000802052a08410a40052002000442010010600800a08018010418440400800002248540608302818000140000002110d0a808800840108442000310048400800000210000302200c40000000008508010c00900a0020001a418800400000100000200a0010a00a00040080071880880a200002a08800012900100008052040012250118040400000a08242000000c0241200000000804210</t>
  </si>
  <si>
    <t>A35637_1441_0048c48042502812000800010200400e02810740610000c0200090001a450000312a10050008048610000c0200050020a108142910a0260044204094000a100900002800200210400a08400800000400942042000440058040500048102800d40000802a08108042400a58008110808808048200200802002002300140a1000045010080020820a40024a008810242002200900602812112800050000508202000000802100242000e12018000148010402008c0a440110942008300a00100e00410008002602010c0801800290a100102500050808450200000050008d0a00290260004020080001001080010220041800030a800402a00002008810600042102002802440000840000500c08012300400b02002140c0890a112008002600000000b10100308c40e00050c00210100c00800012c1030010824020001840804004080840070060020ac00100842642000102042950008050200e1001020000040034845001040081040084284220000860041000040230204000811aa08040c0201801840004040050030014a012000052002940d08800008000840048002a0801001261</t>
  </si>
  <si>
    <t>A35637_1442_8c00010010a08000050100102200042000102000d10a58602442040208000608a0041a142a00848402208210a08040340810448800200408102002a40512800240810100200800140508c00248812400118400000440400000800900210c00008612540048300200a00208400102440a50458800100052410000240400300258008450c0010811030090020200004280a008300c0005080040800864000004800080064014800810000080880200215800241001005001220010244010854004a04260214000ac10c0000a100a0800800051080025804200000001880040a40085030001a148000842200010400000440210050812402b40102002110200002d4080820021a110142408c1200a100208010940a08c0004a202550210808440840800a40500a0004ac1a01020001830040004a058002000110210100512200900500048200708818000050508200012c00600012140d00840018410848200000000940302018d0004841024000051201025820284090201204000840004a00050aa0000aa0021025004000880200020090aa48542c00108008e00000a0810024010070050</t>
  </si>
  <si>
    <t>A35637_1443_014080a11004834040040061000a01000810004a000008010440100112600108300800140000040100a08100c02000f08842118b0040061010044880000060000004080000220260201891000814200804050a00030804080010031240a800408800d00008050000000100842142a0020801000060a040002a40040310000440000400602950008b1040840a44050aa02402010840200000c0001051a008c40042410240200202308000e0011010001040230800800a912000140058210e1a44a040c00a00100210010800810000040008000602240000c0030061240801ac1090220080840800844000800284230841001014220044080a040310518000448142100902000e0800040081020221a400400d4820041080030834a10000821840070011020010084860890220805024060800085891020821010051821804204230a000018000002218000542a4014080844a802810100108400000e4020004224000a112400050002c40e4000a04210021004080000010240000000840081200a01000a410448040810d48002110818200002012a0081000080840000045200020805810</t>
  </si>
  <si>
    <t>A35637_1444_0008400000e0021000240010205804004010a540000508618140100a0a04a400502000040e40a1030010040a80250080024034001084000240020084220a80004000841004010030a00800084a01204a810202018440200000040908000b10c1a60040040004020230060040005010001a24030805204891000a800108110002000c42042200000610200000040842100242c0010860805010021074020001a21001004810000210000240200020224210870044000a000c02200500700440818142800248400800848400c0270000a440010002212440048008050418040a40c40900b00002308a42c00102108a0054200090000a00004014010ac00000800102800052200610100c4a00004221804090021200a840600040610100802202800a00258042900810410100100100000c0814a000852208800400000800000400000840210000d42810540902012012210c18408400840048200000908002c40900800000500040a52400102110412910310800100508000140408000408000100800050500100852400000312018900842c1000040090024060041260881010200030020</t>
  </si>
  <si>
    <t>A35637_1445_040884a94004000a200818900410400008008002308102008040e02140140810050a0014084830240a20041a000510000808508800200008410542808118000902200940040000010000210240000142002500b0800001045060201274a00080020a040440110010310842048810c0a012110100248040000400a00010000050202002008300048a00452c40100040102440208010842100240b00208000952c02002808810100200a00800010202000048400008200400900958108400050210110840002410d00300000d4080231001ad00200008840940810052210802000440100050008008302408000202040208010c5005001264080215091084a24010010a00000061000000a80020204000a000000c1011000014834000001204284244000000000020280800030200220200020021205090010045020004001800024005060840831040054080231210001801024240090a100000510100c5a800c00040150118000000510400a00508200618840042808802302800100808d0000804200010050080084010011030aa00200810442040010000800902c0050024200001041</t>
  </si>
  <si>
    <t>A35637_1446_060a04a80040000834860020204814224815200840084220010014204010080080004885204000240a20084a008050942a4805010811041201020000004011001844a000108008400108b40800950202210010200412442800408000348100212200002008850000400900448100808840302010052812400202008600208900202042800248110500a12e08800048910000e10018040000c48350000000000202000840800712708940842410840148100818140450002408908340000040400c10a0080a20200820044010000a008440a1881800200000020040031050a00840264211830040075020000000000a110d08202000000c00300050500300200010602100050c00052200840008002102800208c00040140000708410040010900400342340100000850000008808102900808008002900a1001a20090001015240200040a01034804081004010240800041040000240031201200010200244200000840050801a000040048018000800c0200a010840012000000202440d40900040110610b02a08000302008102808158012002808100040800100e1800000094854040</t>
  </si>
  <si>
    <t>A35637_1447_8d08000010842010600408410010150108a40200108800a0200010204001080001040000080811000201020a210400000102008100610040900c40140002810000602440102800018610040642840808140000200840242102808a4064011084021040040004020000084040805030810841000001020200084010001050010084a510200058408410302008800100050152800010608040040042102810442000000040100208c0020a050050600208000100000410950440202040800400050500000012008908c4221011000200a108008900240102000040210218f1080040064200040061010800001000010a248600910418002502208002000112042c10300b42412300012640c40440a00400008610010040800800600a0824881054020000024a90010001241000001a200200040000010042040700110108802000f4a208000608008200000c08840410800940010002e0884a00060800040200000001a250418000448102802b08000300840458440102200040c10208810400c0820010800035845210014000844070890aa0081200010244201801080001070880020020</t>
  </si>
  <si>
    <t>A35637_1448_804005a040100200202800900842050102012100808000200400008300600900a08e08010000002412e00110842042002148002200848040840000210300600348202812100910102d00400850500240100410200000608002042b0004810004a018010e08218158800100400010202b5210230080840094000804200ac00c00c10112040050412418040412110340240002008140800040440110212000d00008c00a0011204040000801205200220820221815085200260084040000041284010010aa00118400740040012a00010108000200002d0080014034880800000240044a10211200040a60045044010001000034801014024280201200000220280060010a500000a10002040e00900440800c1824010024010004860844a050000000048200c10018218000042a0a108c00008808000402a1865ae00310400100800100100000900a00400008240412100000e0a100248012218218242010010c00900200f0080081001004805040a410400800002000008040200040a42110a4004070090820860280204000040851801800a800000300600e0880000204044210050871</t>
  </si>
  <si>
    <t>A35637_1449_0c18048040800002110a10402408400040018200000b18258502008200240010400618000e00352148000040240c42102010702000140e08812000048010508c0281010204800800830004800014000211a100d00a18600402242110210308108400002000100300800802058042000010102100008850100e00200012610200000400040202050d00110042c50000148000c10c4040084030090020010081044a800d0090021800020020a002400010002900002800d00208000518018200800510548018000a00000402412848302418000108800000000010000800050c02c40000150002000410c0004080a012442008108208110300212400b00502042842800002050010200818100302948110118810208810800802100418602000110c02208100810010442100240208402910050a00440440018400800008240802b00a4000040000880880230080800071000081001044a842100610b00018040842a0a640200418a18800002000008c0010885a410008008240018002000400148100208000410002100c4014041051044201a000602200500208d50000000900b4801000</t>
  </si>
  <si>
    <t>A35637_1450_025a200110400100242400048840002200000012100558842842e0a00000a00080a402800108010012000000240042a42848148400500608400c00a12000300002a12040400018510c10842000c4040024004ae08010400400802352010700300052142640000200300402400010000100112a1084ac4800080800050021800804890000010a00821080040890210001810200000884801210a002440000000a58c02400008000210612012002800002110000d4824004064200001a110c40602410c02150108c0020a440140148240408400242002810900050008400018200c00800a0044021011000a54004004a20020040000a910000900008100010000550300048002210818208450400012102600b00440542940200048810112018002800a10018600200810c00a4200805a118200610050100218000000402002040802842000008102248110000218148318048440412900100602910e42400002000018142008210008812300048402100a1001290000800800a10090801000240010000810021060000094084260021010204015230091050040060800004284000250010</t>
  </si>
  <si>
    <t>A35637_1451_8100e0284040800205010844824880000035001830804a212002a02848540400040402002240108000108450248410040002540200300602100040002048200140002800908158048800002a4000034010001081090a640540400210340400012442040800012500408608a18010800140708500440800800200b00008008200610840400842010110040048102000808418200410210500008002012308e5a040040300010740010a5000010090a00200a200400c00812c00810000000202c00040048050150200c00200800400200158e00000c0250200220801000040a04010004010250090080000284014a900050e1800844804004000270ac00100040002e0021001281000221041090094860000011005201080080a010810600200800000b1000020895081040270800800000020220044220890810a510e00240900202b00240410640c10d00040010140000102008442248210102500000812450a0a000002500c1000a01044801050811040000000074884061010041800001040004a21000000a81841040080a402008d40000112a00b10202500110000500802000600c0</t>
  </si>
  <si>
    <t>A35637_1452_8340a1a800048048008a00608e0094030025841800040020851200010010040815025040000024001080020001284040225a240900212008c02000340000c08c0005080200801a000408008000402000040640200100858000908900700500800000410a0204240210085884840000220850a818010200002442100042800108e40040500008400818200600840a4221011020084884005080a20a20a50004240801020001031810061204041000004200000010000080000205010021000080201230010800020001284810214204024000840840804210000240040050a44a000c0ab00042000810250000000a0a040c1090000010204021a310810010648c40102008100100a02808812602202400110600818040040a1200001061004050210201040a108042200900540850050100852200100000008500800c00800002002040600400008000040a0a040448300410018010000a08000800310a4200004001040221010845000090810020a400208040010800100048208448210c02400150200408012208000400208050108a1a40815280aa00000408208e0884014000205211</t>
  </si>
  <si>
    <t>A35637_1453_0d00000100a00048010100b0200000050014000071001004010080200205021874a810c1050a00024001030040000264000050030060240014004280014240820044055200091210000080081881220010220000020000011074280a10a308058200d00400100200400800040840a4000251000094200000000810204201841880a100a00000112910000a0000010801840061004000244220a000340a08800010010400042050400802e0014000000a44a000200c10000302108308100b50008402802000000018600402000048b0000820804a012902048010002618a40248140540002112000402010010b4020a10200874800011244891a640000840800002a0001a012600258042140300a4000aa1011060001020020004000011204884200881220a000402040800c00010110808002210400000048300100940400810702240040b08400440450902300412010a00a18842008a50000308802010000608a00410208258010400000800212400c0000054000004800a61085844800050a140248110010818000042100002f0010021010040020201080024000014000001811840</t>
  </si>
  <si>
    <t>A35637_1454_8000208552840100002808010a12100a40140040e10008410402802800102110100408042008210542800812240810b00000500000e0844200000010040081880800004014005221a118412850000100340108100010802800602840000a0000240080000201050200001820080004281a208c00058002d0000024210a000850802100300050000608418040510100010012108502a58012e0021800810004024210250884030031000020804030a148450300c4004800200001000001880a000442600858100a1004080080240204000091021820050084090004a000042a00c4010081000000084200841004a20a040008100a02150240300040100418000100c0290040800844a852812102018102510040000000400140240200300200400008910400108c08402400002a4221211070a008c0000030010270010840200004a042110410a0000080030885a442000300040040302800518800402040000802240400910550a00900100202100218648010842000802108810a40058000200000000b00000402000c00800002010000442002908048000510300a0a00090010a25061</t>
  </si>
  <si>
    <t>A35637_1455_0b02000802e0a100440218140448012048200018210108400800a0025000020071060a00000020a340400f02a0000064820800850010200201030200021280000a200040d4004010800880a208800040800510010848200d10a4020010000020080a102242010200618210640d00048050450000a48c00410d0084010070804200200024014005210001005880280020001860014a00a802c4201045030084080000000000020010030041a80024811810200060041080010001060a218000418110000a42010d00442c40000208108550108400018142100952102c00200000d12308810208000810840800000800042818118a08840208008052200412200402e08800042200410000c02000102000808200000010840002010010500208110100010008000458400440800100402100c4ae1004030201820000000041000070890050801044045804084200000220064044a000000002408510148808110200300500018b0a00040220230040880000a010d40000002008000440242002500b0040010015004004200224230a00020240050000a008002c00a50050d0080204030880</t>
  </si>
  <si>
    <t>A35637_1456_8800840042008840008000d02610402e4000011000884081000020285a702800008a4045024004000021810280005000a000140410002040400200002410100008008c40c42a0a610010108000012e02b08000008840048012408208608000440000400802900148a00402002010408210410218a08442800040008100000100610102a0800210090030800001040215874000004000284010000041a008350410940000050000108010e40000340000142400202050040800100702218212012410302a02408208c5024880200211a50a41075001050004005010a910000008000008a0040821040824a840000208008300800a00910100000052210818002010200008210a0015020040000091800011050040ac1080201054a400040410850200000418800718048c40900a10100810102042400240300200100048848050802200640408040400010408000118008040010012000800610800040000042200a42248800040050c00c08808250208448010100b00002100000100a40c4220a80840020024884a05060a008008408040802c00040018540800000248800400b50442c1</t>
  </si>
  <si>
    <t>A35637_1457_0210c18012502200708908300000010002048350110102210840008108000700c02010000800042518b0800000800050800a202210900212100200108208210050210400002010400000200000802200012602500400040800400118400800a02040800000842040000012600002608010150010200418102600a0814870890004090280025250000004020a41080034004000860020a112900040002a18000208910300000102400102440102540202050208608408110042000600d0010084001210290a008008c0801884000280060240084220841224200001a80030804000010811040801811800005030021000810880a04a400400000200400602200800608040140318808202940800850102c00d4880000050200060850040085041200010a050800c10000000148008000200b0880280014001044200025a000000a08800208400950840402740210408a10600400140042b4a410c08200800000300000048d00400a00042002018512010a10800500a0804824040800240201000890000861010085011280000214800810a05250000004221020070081845200010021010</t>
  </si>
  <si>
    <t>A35637_1458_0810442c10340908240200418002410108850042a0084844a040040950408200810418000402100618208002200410a02300008008100008800408000400100140210000800112240810218202042c40340008008408802140e0220011230011000200084880a110100050c4040020880010040004000004014030204240010a012000c00148000200348200010248208112b1010841854020004844aa00448c1a000a40002440808000802500c00000540100100800c50040842210418002210040102240112408808400812040010210b00010000c02340a4a040010052040040200800010100d50a0814214094824a110402018c00400910308000908042410000210040200900600042242040000000440a00102202000440a00b1a00210244800a14a808010c0804000091004040884a042040040202100310d0000810040000810a210000450900808800100010000440010c0000824060861000094000090800a200000010440b0801000820830040241040215011200020001810240080a40040804200800004091064800040aa00802240050012c0004061004080200005011</t>
  </si>
  <si>
    <t>A35637_1459_0400042000148b10108500902842900908010200100400452010000a40612b00450802012200000100208540440050240348048100850800002202208648900000c02800448300442910402210500a0881a008000050840c0090011214830084221841000a248008408200208800800002340100008600442002200000100400c1881080001024000090ac1011010030a308300f40000000040040010810a10400400048a02002000058800402c00200008018010200812308812448510000200440040902408a0000020840050001801800024081214060204040810084040281070084004880000001251000281200040880041284044800060ac00000000000440000700800900a02150848000550100e0824a01004024000820001805080010020040821004025001004010040800050080080050080200060820a610140c4281a210d0000800815004000064ac10010410c00048a1000a818618050100002040400400148040002202010358900110240002440048000a08f00202042902800702400900008002048240012200e02440440200a00200110002618c0210020800200</t>
  </si>
  <si>
    <t>A35637_1460_0202008940f08b42008000410000400402202258200000040c0000011821081030000094010004024000020a600100802b02410000040c50040400248000110100a10c0220000211220840080004050884020240844080011200801024051884000000280891804280010200080000a348508400a0080800200024200241871004200000091a040d0071001200204801200010080200044090884005871881200201210005030a40800261800290021000210000a842000140002018000208048002002002000210818a00402102010442408d48c08150e02040142810802400810442048410300002a50940402002100400048410400100008000900048000012040040302800002e08440208008208400050452010048b0220880064021000004080001a01040020080284030021080000a00014004005a600008158200000002000002410140010100802100048110000642c10000a0a102700012800400802808302e10102010412842800010f0854224a040c08210440810c4000a44080a000112200200440d4080800050020040824090270004030a00055000001280800051880</t>
  </si>
  <si>
    <t>A35637_1461_800844200010204240000844880080080280801060095000080010200040a100048042000600000040500208410c4034024004820044001001280080070000825204ac00600150242110900210410448018000c00c40008d42000202110a1084a00084214000024a00804ac1240004080245011090a842140140002040708a1804a040808300440300012002140b00940200110100210840202050000010818240800a0010a00000000a20840084090a01800801084244060801a000900c00810100d0000201240800a608010440152002600240a50810040008200808c08210902048200152000300802000040010042800a0000290290030220050841000005000801040020820280805270a100152000c0a800000c08102000000418810010040a10310000a18058d00202200340000052602000242b0200840040840250010a800100818042a10900808018708608100200510500802250008140440400002042000a00108a0080010011261021041241080000210004850880820884210881a052100c1001090000000004040044000810280000044810841080801020224204080</t>
  </si>
  <si>
    <t>A35637_1462_011220090000224800201061005810044000250a000242808142140210058108100c4040010004240a800002400100a02850210408040c40c5230010820201084004800200aa00000010348018412000842440310800a00c00140040108008012a12800042a10140900900812542608018300400402400800508810100810450018000d0800000800800a040800000a4200221044a000400f08002018000210612002508100040300208040400102a10440200d1204210200a248000110210802010400800100000b00010402600100050008440000402000000540400250a00002200008700000212812550842800102800002442410408100002200100840000a08810640d10c0005040024030030080040000a550040018600200440400410a42818410010202858000000018000d0025084204054a100000000600410c00508008000200112602010040108000100012a08000002040600510800c0011010080220240001001881050231020090824004004210224000281080081211000010a00021890a042140208002100110018c00040100142400008002840042202a08008a0</t>
  </si>
  <si>
    <t>A35637_1463_885a05800224000810840011080090094811200801810820a540100200140200000050902e0200a400108100802c00908910110800442018010000a02300100340452810842810000000412c1000034000804210015801204020880815040821084080200085844000080805001010a840500200a4280244010810200230000804000074024230a410210258400440018408000a00a00c52600102408108440a10100840110050010040400140908a40008508402400040802002040d00012002000840048108900308052440908000202200c1060205090000000a00001804880000820000091820a008c12100200040e00908048902040050750000000240500242100440800112812c00e0031800201801060014020005805050020821a91004a810402100300800100800848402800900002000900242408000f10008410042110110200500240402208218018400440418012d02048142200240000c10402200140c0081225090004010a410010208208050000900400c00208818050a40000400400a1220000040230a24200084220014204014010881034000801210a25824090</t>
  </si>
  <si>
    <t>A35637_1464_014045080200800201210830020054234010200280010880284290a050240010c5880050020800010041830220a802442002050800c08040c00400258142800040018402202210418800400842100a08000440000800200040008850240310410008840400340108400008052110308a08400508012012800040102100800400618450208152042010000240100108018400410600010102f02148040100052400812400810008710410048000202058050010310200800440200518400200000510040250200810312800400600148048c00008408c42948800200010d02400110040042208800912840010b08040402008850e1000000000861091814004a412000a5040240044a000040c00a10600000010000c0250000200810001040084040000214200804800014040081800060081804281280814010050860241a410808100308e08608002000802850110000800208810048050000400550040010800202450a1800021205004810204210881000000200a10001a008008410000908000000c18800258400500300100000400208d0034814220840800001855200220840090</t>
  </si>
  <si>
    <t>A35637_1465_0540010000a40000010008840a00c00002802100108802600002400802212800442200800002042600108940850100148208642000118412400000000100a00c08000452a00008200210a08000d0000000030a000208802050102842100000010040040108248410208450a52c12600102510000942040850400008418508000400840400b0821031840061094210aa4000000000a200100600818300000000200c02240902302110800800010c4080a540000008202440002042008500842800042902010002f00810408010208000410c00a1820000020001000280021205811040210001010000a008000208008240800d00800010900108110200a00000d40840102418808308040802900018250018000402900440002108210540000000c08000202010e10048800108002048108700c4050000800040881804a40080000a150002110900000802c0020820040045aa1001284090000080080021250200005210a01820001a040f0005000aa00200402050940800408708500a42110040018108a00008000100b40a0014210001001054004000824260020000800000080204a11</t>
  </si>
  <si>
    <t>A35637_1466_0210002900200040208518840602c00540042048810e1025810000210060880000061010200010a200c0025021884000000015090880080011000aa08000000008200142000212600200842c0081040a012348400408a02400600a40000208c08810012b4001041201021804000204a90204011081001a540c0821840040804044044200a142010a00000040040800810002208010c02802842102300400050052502e00240008000300008110000108140b0020000a052942010018008c4005810090a200240408002640900300142208108102810002640002200808058008010a0a10001000081885280040200050060004201881020a14800a11091220000040890800041060021290044200041800884084051000224021210060000880090005224aa10810242000440040208f1004020284040000a418c00002a00812908040442800008012002200040100200200400d0224034a000000d4205081000001000880024005004014000201a81010a050000500202000410502400850400202340000100012550000010200c18750418800d0000010200024224014000a04000010</t>
  </si>
  <si>
    <t>A35637_1467_0042040902702008000010000000802e08048040108802208402848000000310740a0000010a300210000d1800881000800050041080824040010001a002c00110450800a08a00412000010440000b0000040020800880811004010020001000240840040830a110808858002500000102408d0004084a00214804814231094020040000000a00801800844241220201035201050004881080890844041030001a010400340100400018c1884210021844a100102008500002040450410210400410700210300000210002102a00140100008810410410140000040010410258800140800108018540200040200a0030a010800a40110d40208402310208c08042c40148010b00c00e0280030020200a70010084814030004000220804000000204290841880030800080010081001820064a200400040000650000200840c0004820205210840201a000440110100c10200418000902002012208c00050000508808302800008000002500240210800e02400000042002340410a1840a500000900250400200010800508a0040a800210202002508a10500700000e00000848040002e0</t>
  </si>
  <si>
    <t>A35637_1468_004000a00020280010020044a808c0080814061a000002212840e0005000260884805280210224001000000000a040008202002d0050a00080014000040a808042258110040048010400018000042a02202008018412400152c0a900048000212000002408908042810110008800040a18040808040000c0020200a058508042000900002002250d18000408100840150000000e4201290004a300208100040218000202018100000540e00400300802302808000800440008810502410410002812208112600018000008000e0204074a00880000084020004011a410800000002a0231044a400200e5a01014200820060010080254000a202542008800800910808010218000c00600152102140000c00300410012408a0a540218c00e1010204080a102800010410440200100452a00800a40d02842a4200000030085a000208118040210208c4080010a110140e1041a000400e02102440418108842052800818208800440018400200102058c0014040a01004020a21a80041021200250091000820080001014040800a642300018402000848108240800c0260250000080220010</t>
  </si>
  <si>
    <t>A35637_1469_0240608800148100000600612400000900250340108110640050008042010400100418040608000240c0874a018140142202100008810200040202000008500940000050000848008408812408400100210100100100000810502202600008550812500048242000018108840100e0000031230005080091210015a04a00030080a800800008140418800218002502010008910a0a40040004a000442000202240502800200500800d12050002008040040018d0040a00040010225020041a00000010280221a000800850040a40a5061800800804000050000070200824800a102008800240400018008c00200002010008002810140d0884004050030a808c0230004001a51080240840280a302240810000848000500210300900000210412040048002400050e00840002b08000310a0a408000400200200200008408100d0081021801084805040000880a100a0084800011040210251000004024084020001801040824800804050a118008000208a02442200810510900c0000004010284a14000070804a840502108000800012a08002048310000508000a0081000800801080</t>
  </si>
  <si>
    <t>A35637_1470_025060240240010001850044240a80080200844040011224081200000000801820a812140b08000040a0820020051000a20000070001005a942a0010040240080220044010001805041000aa10000000000210200340848400000002010008412052c5220000a352400740800000100100000018200402900840010000810302012110500040500000440a0001020810804020000a212040100842400100e0060004000090260a200818448850000900200d10010202000602a42000110000000d4210211850840845020000050220034850810a01800220821000800840001800090a242010108002010102402a0001a01804084200060080010a010000810800000842048000040408050c0a14241080010020a450a0a10000a000048048050a00100142600202402050100000440a00a00c08142000300000800010002000e00008710108108a08c5220020020080850220004004824811810020260005054800000050874024280220004810811045200050080020840001050aa48010a08852042000210000c00000b1820830820880245280001040021010200a01244031800820</t>
  </si>
  <si>
    <t>A35637_1471_0002840100000a4a340208002800002400208008008858000000a4a100408d18a00012500c00100340c00402250902802012210208102248000c00040118808100600910600a08002008500400440808102410210410040800002242040218810008100802918208508340000412200800018100600a0000290001000280040a010440c42008240100000250402202000602800110200040700040000400040442050100052010010202018140c0a20a042400010002110900242112810018010152d0200000091095800800000200204850000800040060880800810095a84204000000805860020a808800f0011810881020005200000031061000854081855004205004041010001005080230004050021044011010a102202a08900010100148848000c00940402800600040210000e5881000070a00010011010800080004080020a60050005085080a140002800108050010102a00400010000a0844044a04011800020000080020001001820024880241000001000ac08200c0a900c02000018c00002000410040100000800b0221a002b48008300800940610010a0024200200</t>
  </si>
  <si>
    <t>A35637_1472_8600648040000842600a0011044204004804204031805000000040810804011014220204044230200020020065090014a202410c0804284004280000201800860000204024805840210850021290070021200841040000a150000042000f10800000112048000410810002a02402040840050b00c1a200052240058040a00640002000b4285061021000840a012100308002300840010800208b0201030040824844010800251a40850080210094011001840821a200002442008100018000c18940208b0801001800001a440408200000008a08800002408042210000c10c40000400040210a00202012010842840040108000600800948908642210c10c08810502040402000100850040000110102c00618050502400a0250081814240014010001005040020200800044804071200001021001020210a11080000841885050210240a800a40048110600812408400000442100940008102208a4280240010200a442008d1080a442008000000118410042902402008008910040602012100142050100f0280000040225001020050844015000080020000010284250000001210040</t>
  </si>
  <si>
    <t>A35637_1473_0442c1810044280000860000040050094890021860804000890240001a002c1004000040060000000a00085000805014881a44030014020000094024040801084800080070224000821034004244010a040110310000450802808110150000140458040000100640900208200400c0a008610c0000280801084015800020080805a11004000000890040084080240025040010001a41210000810a048200400008002040140600608a0800050080011204001805241014260021040a608008842c0000814211a31071200004000004840021015000200000080a00070080000081024010a100418600400100000002040200000212812800100500d00042400002b42200050800910242012000208602810010000102000050450018408840440a42040208008400008c4020010050221005040000020224800810010040840290a008202200240a08040800100450b00858000000002000000010450800c1040a148008c00640242800008a40000000548a10010100a02052a0084a000400200048008200008e18102948810310008000840412000b0a400400008000142908a1010000</t>
  </si>
  <si>
    <t>A35637_1474_8842600000400b0a000a00108010500e42b40018210042640002802b08248c00042808902002118602100200800000400000110a08808002000d08210100008400002850b4a002110008042400c12c00840000018508200040500118210200058008000208240648500c02c00c5210885024080800041804220820004a10091240800004801205041040a80a00020020024850010080015000001211000095040055040800200081001a24250004080000a80020000a902040848400100140800110000a0820a000540040040c40802150300210002002000908408408c00800450008240600600b0280000054030010200050a600800000a10010800108a50800700810000a00410000842840002202800000008010740808242800c0a04000040210210001090a65810230005004810800880250264000040a808018248402508110400108c4064011090004200021820284a01020a000000900800a0a000040010140400a08008440000210040610108400000300100440a00642010450800000410910400800810008808308900a0004000004a00000020860200201050aa0850200</t>
  </si>
  <si>
    <t>A35637_1475_810a85000214090060000010801000020081000290804844011214201a018408100800402202810408a00800442002400810048010612200400e00808100018052848110040000700000c00858d0204204040050060040040014a248202e0060000a000102912012710408448050008012200310450000000400200218808a5281011064080001011081000a50220020041020031a000802808050340418040440010400200018400100400002042208048800402a1041020000835000800084201040010a300000a0040090004a00810040820a248d00400852000400e00000050108010202100110850d00008300512200b00400002200900400210e00048042042150002200c00848410400848002710012202410740818518600802040842608b10450008218002800802000040200100010000c08142400008300400010e0a000000600018202102002000000018100000010008052618800008440d0084020045220001280a01284000814010045800a052900158042010400010952000108142a08b12850800202142458a0001a20004000a800002c0800a80a400f0001020840</t>
  </si>
  <si>
    <t>A35637_1476_850020000024001000a10895200000040810824090021041000000004210a010400440040400800002200000400500908000300a0080240210084094a14001020884084010890a002000040002000602200640a0000841805214000004260080a008000340148040e1061001001020280041810080000000004214205051004220a400a00b10200608000408010848b0260280814a240900148800008910500240402440008042100140050140400018302618008842002100000002100c00050500e00100300100a40a08042402018000210a00010000102158002200108040c50a0080021000001a200000600210208110812800100c0800000241040040004004080040231000000004294005a00040040005010080804214081880000844014a00820081015864000214a000458018050412810000040000400202e0001004211a100000102000c00040200040008040052c1050231824010060a80a800a08008200500502808400800a0201050800001ac00000200000a10848050112a42010108308400042010200200100008d0020855270004a600618c5800810024000005011</t>
  </si>
  <si>
    <t>A35637_1477_0b02c02050002800200b0025024840260890000021080aa4084090000001260024044095014011230020000004800200a000640808d40000000508000000e10050418000108110400300000802912000008040000818400100208208000100508400012202040300008808202540848248448400812000002102150102800102200802200a5a10a500200240102208200012018600008802b40200400a00002040900008200540000012208400602058208108050042000400842200308100042140042a10052410c00212002108048440800140240000100000252818300440800208052208000158802840800000300418250048040002940100000018248100000012410008412010d4024011001810820000000204a20001011020080a540b42210048018a12410400002210008008102a00040c48840142008850800110000a42210910500c00050048050010900600c08410000008412508018012800002958140c10002852440148300440200102008100c00812012c1020840a050040000008200d00800540440008018410b00010000600050250118010240042c0a10021890</t>
  </si>
  <si>
    <t>A35637_1478_040024204000a85a100810100c52102c00800608000018200510100910200a08010c0041020094204050044005a90000010000241004a402800240100418e00d10010540048b1800020850024a45004080a408a00a50840140808200000100440c0240014824014020000200a15090000220001020240001000000241010880201090044000065a210400202100200948502010400c4080030000020800830000084000a008008010150010410240118108010408810c02808808400c0031800a010900000400a0004800044000035a01011040000080010081000210004800a140802150510208a00c1a010c00000040c0814205040060010a002208410008010008848000808800e0010030aa10002308140002140800808540000802e1004250021000211000000010040280024aa00110400412202100008700d00010050042008752100002800440a0004030280821021011280a152500b10100202800300010240410040800810308842410a0804201a000002000442300100800100200108018200310010412300a0000280084a008400702008000400400050800e4884000a01</t>
  </si>
  <si>
    <t>A35637_1479_0202212d0090000824000004004a012200002010800910008500008118048008400600800d00040400000048408040a40200118a08100052400a40908102908100202042600900302000c5000a00280801200a200240c0a110d08208340000108850810140b00400000100058440448112000410052c02440a02000200000200202000002148042008c42610150008012200308608200402002800102110a02210900c02040000608848440002940202410810000008040b48148300000800e0841090821840040061245004200021000280031804a80220080210840000ac0850050200a00a808040002042842202508408908010152442000008010810010540808002008018000050d40508210012800500c1000010280201001044820080094000a148a00100040400a0091005021854000a800840148002600110010410000008048000110642010102a5200251020a800842048200608008412040000940100008f00810a00400002100640410000208410c00810008808e10240400508040418c0004a048040140008000410448402400e0004041890025044240220284040040</t>
  </si>
  <si>
    <t>A35637_1480_010024a012a0810201020020080a00200a008300118240000050402012002800b02410000c4204055220804a000000a00b10400f00302008840008208100000500010040100910042e00602400410000902000c1880a012010342248302018900200c0200004000011095044041040200001080021080890020025044820830001240040a810002300800a00c4000081205271081000840000815244800004ae00c00840102200400000002c1280230045000861200844020220201000021845004000810010a10010241095030004000aa00018a10010108348348308008808542940010100a1000064840200884001210081001a000800108048300000c0880010a21045001060a00000000280034040020a400140c42000100000442818c10c0800234000000000210000a200102900a08010402400040000400440250842240248112c10c00040002700a48400308800c02050000900100500808402010208000448200400002000a00000500000808008c00000048002500000e4804040201020220000084850010200210010804080244220820201800064000805050094024011</t>
  </si>
  <si>
    <t>A35637_1481_0040602100c08210410408a0aa0800000080a00a100048400002608108200008012810040100900302708008242d00208112048010048808110902210500410a00848400200000010a00012a1840020084800a61821000080024020034880024200250260000a048918000010000002340042308010002412000010608000802202800842000008800c40002000c00102600a1070005050210a00a200000000008452042100010208050000c10b00a00240b0880004200200001840210041201800020a000200218418a0005024290a000400800842002402008512010140218400a00942200c10a00042d40000310008a0064840800004a202000118c00a10000800000042000912c00100b0800220081040040840024001000010010280880090234030801000a208450442200112800410800000008108250a0000881040014000224060011004200204215045800085040240010200a008a0000800080000001001000800001800004a200602c00118440002100800210210000e0244040815000091890000004200a04844800070280080220004004040020084040000895054830</t>
  </si>
  <si>
    <t>A35637_1482_0208048500d00240600200142200842042200040708548008c40800210150910400408d10040a08000918212410002140200110e0020245200020800000000001aa5291000010001001094a600400148018152c0011880a80210001824a208008010140a0010840020010021001060000844200030a608100c40000008800000a40002000008040500800a0000080a01000050080000a800202150258500c08408010840002012010a0a010000008242448808800010000008a00508000c00810140002140042400800008040940b4800a608042000800102b10348000000408c40240200040000608210d0260281051000041000201280081005000024000050000015a102c08100a00500000a48008008c0804090250000020030024000a802800048542600800a4080294080a000200408008010008800642308218800040202310200000048840140a0000810061084005ac02102800510000010210000200242708818000a00002402010200108010210802c02300018910700200010500008140000808000100040840000300240418902a0804874000000244000200000a04221</t>
  </si>
  <si>
    <t>A35637_1483_041a000450802158040108108000040840110042010418c5040260021020aa0090800a00024a842440100400648400c0204a100c18058a02840102818308008d1a218942248018400100900a02040148018002c00440012040048a4041020004860090000000010010004220280004094814a010400a1011060a000410108200242000100b00012600048800412b00210248b0825201a050200000540a00800800100400a4044a408500402152000202200f00018200400240100310908540002c10440300212a08010018052000010008018908418852d0a000610510558050802000042010200902c00042000842440500600408010000912200408d02402400000008000010348210402048110002200400800802008100540000300258050840110400a0840000804004000800000000000091020a000008210452002140d40200502000000010150602212200a00110000900408000212108318042000808000400000210c0a04010210201800060205015040a010340010b12008040100902042900910208800008850658c0800220040210220014070020a20000000820000000</t>
  </si>
  <si>
    <t>A35637_1484_0a10800100002010010410e10210c00000900002810a4ac00902f0200001a00841a85001030004065230040004a010e40008202a18010400050002008412010a12408c02602b0844a210300442000448000002200810810902100042508200008840502200908218000900010800800002008010800018410102112008200408408040800000710c0000a812902048a10112100c02200012200900500200008802000600800140100440c40110848a00400600500048110602300000e1810064004040a312100010a0a410040048010208600510058800800812440100c00240802800040402418200e0a05000200201001004220200000a24010051810024085040081811a400000000402540248100300258c0201090004021080091844845000820a202400a02050140200010042f0800000204040224000a400400040800d4000a20a80040201814060000a00010800aa1281260000a052110600c1a000040102008800042200840500a12200210c02e42000140808248808400040100000100350108102808010402810440000100000c00940000600000740c4201200020040031</t>
  </si>
  <si>
    <t>A35637_1485_021084840214001a440910200000840148002202a08210210140200008000000008052c42400140118008e50008400448900048110200040410102100200210100442800f4000011801040a800c1040004a000008840000042a00110040308000608010008208200200642c00100108a00000800318200002408018018000008000502a00010002808002e00100440a00300600342010100440310218408412212100140000200110400248010402802002400a42048900e00252408008802000c00140a00042a00250202002542008052800800c02842208000218510240002d00800118148c00000c5000004a842000500500248c0010a00841000060000a410700200100800510000500000148340408210c00010200808202500000018012408010308400c00410110000040608c1890a000000400902200008440000042e40910442108b00202010200910008418008002040000818440000a10000002000240502010000608042800812012808002040d00c00810200b08a4a00200080224a04880091241880080030010290840005a90000211070200010020091034004844050</t>
  </si>
  <si>
    <t>A35637_1486_0800800100300200050010200a40050000908240b00450008c00900308400000440048c00002118402d10040808000100018400100408208842348308408000140a40500c02002010000842002040042000002510242410000200940040608a4000281240810210a400208c18050840000700b08012212402940100550008000e00502108012200508210408810200300018218a48000410f0220844020000201804004030a40a000410410100348802000810248040000002100400408200212502000242100018110010800c00210010400418002002908952202408e02402810400058600000c40000d10100b40000000942400012c00148310000608000842308b58402300a1804890060005040271015a042050248002448000c0001010014020220801040020ac12302b0a018000f10248000008250442410040c10900b0020804850824041850204a040002000040052000400802210600800200c1080000801001880200a10040000075061080084a00094020000001000880080210011020840020001a41200281a002200910008042448a0820a40001804010010080221800</t>
  </si>
  <si>
    <t>A35637_1487_0a0220004000a240210810c4200040020024020260020000040050895231801804a008100648000000c00140610102000200000300502042550202018400400e00c00912900800018010800818002802040400a08002018400000040002e0001020800004010020000071005280000010a150a0020000205000030010880870080005050000225220000840840080080221821000a250042002048002e0095a61011080004201a00000084044054000040011014084250224030000010890a000440b0a050008100142600000248010158100412808000242200608210240658042902a0a60010021000241000204801200891080010000880201200000a008c10440140400808000042000800802440e10018012000240000110200410000100200058102000340040500800108012400810002c1280020040000001084804220ab40118910402250042202208352208148008000042810248008c40a18d12000052208c00002800d10002902040c0024040084244a010008208a08842000342a10410118c18802510400102140000200010040342810402100a40c0801000084800050</t>
  </si>
  <si>
    <t>A35637_1488_0000800400700140600210000400812002b50050c0030800800220a802400000118000140000112408300048010000008040340000040402800f4a000110000012600000800200000108808050842500810348910002410812108240200808200458000940012200408c00c4804004811240030094a000800a00100048008012e48040008940000100802210100f00052012000000200040442012240c00100a40400448010600008500c0200024200815a008412242010008040302110600a02010b0000a01040090001210040030a000210c0a21a50000a900250a00d0040a04080201060040040840a550200010042e08010a5a040200002540810002c08000c0a240148c08048450010e0030204080811a20004000010021000045200005004081a00a800050010800800002212918208000902502210510200950052510c00800440200808202412802000100c10100c0801280024a408018700850150408040008200140802002700218042a00800a0050204015a500208018000c1074000820800044804a040202102402810800018500248002252008440018c00000000502e0</t>
  </si>
  <si>
    <t>A35637_1489_0600618840900a00640900010842402400000240300200618040708002140118200000000108a5204000891a800100602100008000002000400408250050800400e1040010004050020030840a400100100000800048240440002200342000000c0011070025a100008002050912900b00100100440c00110200a02640800c40a00900300808700008148050440102100102c0021040011200000061820010800240000014000a108008c40040000000002000002400040000912052010040840110042818510a00200a40050402302302400c0001a000500148000208002000810008b40410a0010080200200025a040400158010102848a00310010012a02100548040052200810202150800202008000408400552108008008c00040c4800200080a402a00410000840c08048452018450000802a0200000000804a00a80064014001a510e10418c00042812240300448010000040100300610c00810000800050708400c02000002208002212100100e00410000102000110148440040808200240010e40800100000840308000048840c0200000001a80090024000070800021080</t>
  </si>
  <si>
    <t>A35637_1490_004ac52840840000048408158800d0000a110000900010810400400a4230041000824a142408012100a18002e02910402812110400000c00400c4004810801000a018012b00000502400b00848452142208000010100048410000808600210848808010042810010d0080a440100400008450200008a00910a0230010000840800045260814030810001040240010a81021280861004204084880040a800d0040011220005224820885000081004080a00090095004810200801024041094840840010804000a61090a01a802402008040700b00010400008000400200c1201014000091200821801a44200000031001800840201205044220804a00810001285050020220880040045890044a80051251000204004000001a20020004081010080014000a000808612110302810640100540240052100002040108450008410a02800200818002810800440800152500902400002102050200808110442800100000010800c08810902400008008118e02400800448042040108248002040408040408008c4881804214200820280050000010214030a510108110e00142a0010200041</t>
  </si>
  <si>
    <t>A35637_1491_041080004020020a41221000800044070800044070014040ac4200010a000c00310840002002810050808000840140100010600200c1000801040a10851080010000a000100308000008008200c0040025060040800005090040200010860004a80010030000824020091a000540002000102000440648000a4ab10240010218442800200b00200910240008440100a12008110010a10440b08800412208010040402c00800000a00842a40502c0810845890800000a140440100140810812400450002200002008140648000200012450d10802442002040800708310000410000d0800241000861860810004a040002000940040110f0200060061030801040040880005001011a248802042908408608008000400402808050008002200842208040010510c50a0040020290010a018a02042802842050018210f08200850048a52200210510002000a40008002300a02000102102010500400c10242100000100002708610408002a02b4000a41804000204030a000010900902000042200308000000018418000000810410400808a1240064000a052c00000c00440d0010200a10</t>
  </si>
  <si>
    <t>A35637_1492_0040410900c02000018608100042002a02012302900100800000c40000340000100008440500108600800208200800a0a110002408018c18000002a10040000008402002408a40508600b00010000302040702400008052150000002100300402012c50c0020240a818802000400140010000110a4820815210230041a008240058900840a4011880041000281280000204800000a04201010201a202e10640a0080004804a60020000ac00c02008008508010010e00000200210000b00018000042908008150000610012140040202040000700800040448002008910202800410c4820805050881205040010200040201000204000034881060ad08052812802740000002908008402502402050002100140242440002210440010d08400140200040008508a10400810400b18110300800040100900a0030841020040041200231024050024a048d0080804014240000080080010814010800880200890000821041820084000a110448002250200440012410000848410a00050448040c4000024000020860850220000824241801084004000091010090815004244020201010020</t>
  </si>
  <si>
    <t>A35637_1493_0d00a00000908000010000610850002a02100608e0840000800084001200a80061080001004010001810001200a15000885001080020a01a110240810602e0800004080260004000821024000005000a00811010094024811004201201000030a00041050020810041801841a81010281800800000081004210094241081050a000850402200000008800a4884080a102040108412000010448302000900c0a00011244a902002400248812040440018112600d40a40012008b0020210000805840224011210020000840010210aa02200100000440010308a40108000150002000340248400400002600902402058452008240000000202a0061030071000290084a00004010090040000010080020a600648008040900012008a0850064000080a010000000142610002c0884a208100202a1a450200000752100c58c4005280810001000801800800200011000281030004000240204011800040ac00000400040502600002000100402100410600000050000208010000508a10600140500212000d0865000a042040800100110840400152008a02640000410c0201044084800200</t>
  </si>
  <si>
    <t>A35637_1494_0140812510200800400008608208110002a0a442000040000440000048108e00b08810000300048450200002240c40108100142010448458040c0000040000864800041020210011040001080a90010284820820080200004210aa40212800308410900a0080021a018410052400c40200040100a50602110a08802010400e4020a910b4080004211000000a000c00048400c08040242c0200000040000010080844080810034000864a40851200081a21040820805014000800840081054001881024a010208600842640500800840200f0800225a81004000800001080a000402000040112818942010050808008400e1010844280010284241000800800200200280014a10891280800040801a008900400e0080204a140358000042002402c00308610600100010010a0004064240085021000014800a200000210040142008002008218042000002c0a040050200848a0211080000221020000001010290004a100400100440840040940208510008002510000008000800200040802200102010a00008800500900040110418610008000140108040a00c50200400e4030241051</t>
  </si>
  <si>
    <t>A35637_1495_000081280000005201080001a002052102040000900c02600050108008000110508240002040040108908a4000210000a900202600240240410000042410008858012000200300208008248050040200040412900810258c4080200a40040040040a800b0080041010000801294020000a102100810008410440000142700200000102800310010010100c18842000808008f10440410800308200242208f00e0805010000a64010010800200030884a04000860081a00210001044090020a64a00004080051890000280014010024a010600152000002b40010050808800a0080224200020041801020200044a01004820040800004050a012700300140042010500810210310802000402408000118200548000140808002042400048a00c40840200250000002012152008008200108802408410008b00000810800840002a00110102a1000240a000e00000718808510200c42c0024230080045200014030a008200500000000442c08800012800000400000c02008000a00558050500008802402100712c02100c02042212000740000400040000608000908048010000000108a0</t>
  </si>
  <si>
    <t>A35637_1496_011221240260a148002500800010000848248202210410002c0000021050080031a000002248010242110600008040002300000f00008008100802900100600c02000812800208000d10842c5200084880205810814021010040000200280090020200020001240801804a802042100000248c00150000c02408942500600200218040448048302a00100c1084030001804010090a010500840310010c10a0240a84030891014860860a008002100852210008408a0010044884a00ae00c50840410000a0010280041004050020014215280814064805200801861031840800244080080800820081244244240a00201040000a400540008008318200000e40500002900600008140040850800002240800000200040208000010800040608000002842000018700812040008050700400000c42800c08842450000e0004004000800a642b10100200802002a58012008002050900a0201820240081000080240a002000e00710000c42040218400a1031860001240081a40800050020a40220200804a018610008800240850250f00a02602c0080080041a21000001004010024824000</t>
  </si>
  <si>
    <t>A35637_1497_8018400910248202600110400040500000000742400008042010800100608000400412400500800000a10812010c1060220a00821001261000060810810040810201215010080a00030844880000260a008000000252810040e0000201a010a40448840900000218108502a18800a40040300200548a0080014030070000004840a010408040402a00350800150a4021a040718908440000100a1010040021a410840240a40102d00000050000800840302610002212800000000518000210048c5220a018500808242808d00442000002a10210202402c08140000000800610150a0a240208300100000400300940100000c52408100802102200c0810040080014a008050010618410052a0030010a000200800000002a5800070030201000034801000a40030280215014230204040001884214000800a21a400040208140a00b08012010a10040c5250030070a010240808910a0080200a400100c02000100b40058800418200112400808042000f10200842048008042400602800800408018400e1800a01044250014204010080240080060030850060015885200080010800060</t>
  </si>
  <si>
    <t>A35637_1498_001024a00044801840a908a00410800108a0004011880265041000220000010890881a040a0220000060841a010100400000002018000010440a02910240808100802040008052012300d40040010800a00540010008448412240100108410000410800e0220804001824a008800100002510e00918202040848208240000650200500900142300908002012840140240308000e0804a140142010102010012640400600942400000410058402400048300a1080020090084095800210004241001030a300400110000000800040002140800a10600c00400200100408048602100802010000400d02852110000208008408400810040900a48002000c4200800044a200110000042000900300802040e0080021211004004224000830040a152c40000100f10440040040a40900002510500008510202108108610a4800001010031a440000008c08400300808258808150042902440210040100040810410400010012118d10c0000040000a25030061205880040a002200310400200810942a08212c0084ae0280280820061200805020810084091210010800000a01020011224000</t>
  </si>
  <si>
    <t>A35637_1499_0950012000808050202110200240040540b02148410410000800100048000808418008410a0081a44050080a010040000302200018500202c0084800a042210410010500800802012310000608100000018202000d0085051080000041081800a240400102810400710218000800200200240000d58058140002a0024070810a808042600000440100a00000900600942000c0001045a000300108240200800002800840202610810312000010240010040008850240002d02a0200ab00200212802302010418018440e00c10500008400018848c0014074000a14070000080200220aa0205800804800804080890010aa00800a02840308000412300302008000000240212600102850112200a0024090884004801080a100000800212410040c08b0a002000840012012042210200e00808000002240800000400152200000048000202810608a52140500840400110408c4000200005200811030204001040001810220811020200024aa08000800000a0844200a008440010410200812440108008408040210400200100100110100c10400248200200910208040000440a0200801</t>
  </si>
  <si>
    <t>A35637_1500_0842c1000090a000108a00442040410000042110200a00000440100008010118000040840800102048400250008040c0085000010010020000000a80801260000ac08c40140102000418002a02000040908348800202040802040008052500300810000200200058400600040052802050102c08800c5015214804a200400540040000e0810250810880a040140548108110210408002d00302318412400200018452b08040108d0801001041220a000040400518840802040108042800408402140802202110400510a00802c0a11011091040000a500a02848150918000648c00008140410210000c08800100200550e00102840100240140040000a00600002200100202518850400902800b4001a608440002000002040048210050a0041040010250240051065040034a20a618800040008800142318000108208a00102000010400810e02412c00800a0830010005040005050214210291004021a91044a202408210040012902108800402000608000410800000700408100e4890000010821211080040000040020010051800a812002202000040000e00c5810080200040280</t>
  </si>
  <si>
    <t>A35637_1501_8050018440140b10410208040000000c0800a24a00030000840004a210252308648218d00900202012208040042140c08a08042408400e00000240008002308610e00000802010010808d0840211214004800020080080884040200024290021ac02c0014a048040000302000442000100600000300800000b0200071040000001a000048000512000012812050200110008000810050042008a50510500102c00800b00210400510118000802908240440b00d0a61001040a040040400d4880050280084800250814041ac00200050048110140200012140040008200402818400400010200000608c5000024080810010000200850244024044001051200a10084001000240020021811090210240290004800810200004820a80884005001040880004801091a84041004a902610800240600440340152012000602c42c4050001000800080a000410648810010610400440000000142400400040e00002c00a02540500152010800048000418d0840241214000210a200010800400900000810502200602000112c00840040118802800500900a0260081004005045000000020060</t>
  </si>
  <si>
    <t>A35637_1502_0000600050848010010400102040540400018002a0000081080060015240a21010a41050200284a14841040044a810600018010400612200900242042648010240a0010000020800021081001005000a100100a0810004a012a0080a00080811800080030024030031061004800010815000210080024050010020240a100840052012800850200000118008000600040040510200000800340100618800000208c00c02318548100218802140402200318408102408440b4000000800061220000044014001850000280801010080000810080080001000000004080035040800080200800221040820ac1230801a64831000080011000214050080081824000024020850a110110a00042540800110810400440012700818000908a12252802c00008240908200800c0000231000a000c00250042900800200400002048102a0a050318400100802400800902418a00540a50050040002040210500008040100040408008000012440a00108440a08a1040a01020080004000081000090250080220a81005240210090090030000851225a50080010a012810002400c5020080235291</t>
  </si>
  <si>
    <t>A35637_1503_800201001010211220820000040010200021810a008002c1200210000830010040004045200a800210c1080000880280084021040090840011040281040810095840000050035004a800708640000848340102400418600002240100000300800040042040142142000200608400400240210508c0004ac40402342018a18400000840c0020240001885200080004000a450810200c40000000102502810208400000000000442400010000902008050000400040602800200200050400200000402c02908140800442c1204224201010080041a00a400002340000018c00c0011004020210000800004010010800041280824a24000060a040108010500802c0240000840020880a00801054a90005001014004a40020000260830004800814210a20010011824064005010801850a400400200902900102240810040412012000218208a00208010052000142108800300608050840310040e0024a602402048010010108102040100100042400e00010012902c0824000230804204040000084801001010020000010010201021871801805210020854a80091044081000280800000</t>
  </si>
  <si>
    <t>A35637_1504_0008410800602a00000810018850400002008040108c5080281224a000218110010a12010208050148200440408402c0005241801090020201070a25051840000824001230880805220840880010254095840270001000a840a0080000850041a01014080a008240000002008040100800000410e08608100e0a242040810310040540042a0264000001800200020030010000060241004000284a012100448600812c40852000800900418902000002650808808840c0040030034000041800044034a010000300118040500a00a0041200840005010010004844a718000852002048a00000c10212250040d0294844a600102242010400010310a0880220850064011201a000a02002c4010210221a500050458002400100108a00a08a00140002002018708900000400340042200010200010012e0010870090880800a95000000801800014240205200010060260080081a000000800050d00910640800500a42242610500042112802002040c00040a00000808300700410142000400700910310410800208d02040040602010248200002a42812410508440000100208a0011020</t>
  </si>
  <si>
    <t>A35637_1505_8210a40100300000410018c00200c0000010025010090000001000010020800020804200040800a010610502a08000100108110000600800000242108400a0000004080000020000a01801041001054000000000004a40201090294050010040020800280200000000815a40040040810865800011000200094890220000004040a002842050000010308c10900108850200000a40200850502112100c00c10c18400040010700a08100048d42000010040900002208810a40300000c00800e00050040202200218212000d10408a0040220010844090004200245891044005001094000a50081090820a01024214840000010820005000220a618010800812100202b10000600040058040408010000810d1040010010825205a408002000110302008000c00900010000400110000500b00a1250000891010a100208010002440010100300200048012000818040e10408050400200a08300818240400150e48102050800040800000808b02048008802002402802200408400a0a010c0040204800201080001090040201860a400248840c0094200044000810a20015080001a20040</t>
  </si>
  <si>
    <t>A35637_1506_0c12000040140952108108042402510000110108c00400010040100842500200002a02812040208410308400018042000040000b08410842d1220801804810040881a10240a000240300008a10000400800012a00918810402200902000808218048000440210110400240808d4080810041000060020000070824204001080000040010001021240010a40a112b00842258200400600102840900100100c4200a502100100202510500000040140240200400000002100808040000100000040450440900008010618400000c0201040020000220211044030001020004204804004020a200400412400100408318310008a50608c42008100008208440a10002d02000048210042052000408040608200808400540548050002200900600102002808448200800840002400200400110a00600000100018410800002810102200948100a00008210040640302500100b4001a01080005020800820260a040008000208218c0004000040284020001804a018900508a02100418102002000100b08240000508a50100000040100800010240810002210000208c00c4240020015000281</t>
  </si>
  <si>
    <t>A35637_1507_0b12648c0224031041010080a01840000284020ac00610808850902200608000510810010a0a04a200c00d1241080030820004020064840090210020001801040841201004024804201811000010004080a418800940210000040008500910248c08c0200210200a20804840814070020814220800001080040000a058000010a40940248000340618112200c0240201a14000084201200000825044000004000040050a01825020060a002c42002042102400c02410800600800000100840c00010800a0031a100050058110348802200300800a02552800000610000250440812c0020050011885a24a402140100448c00200a0804230030204801021240084210080011070040a00001280000004040020201080084805010880044001204050a000010800100010000000248040100848640410000200440a10300c1200200004010080051804815290025000a108400450000600800040808102800042002218000c00108008140740210600410112000000f4200040030050001004044005040091810040014000a800100400c1004001054004200820004200880280000a000d0</t>
  </si>
  <si>
    <t>A35637_1508_0000212100800142412300918410400d00000040608800000110002100000400412c08412008018540310a0a448040602300540210808010140a0014820081801000a00000020240880004804800280820010280880041014010801001060040001090210230240a200408802810b0a81a100400052e4080030094805800015004851260805060041830020000080000040260080081045080801810000080041240000804005210010a60000004005240240020080214044011200020080004000020820825a408900210c4080201221081000265880200a102200808000408100142200450e18400000900a00040158808942402410e08852240408008e42800808018250010c02840110800808008200300400040040808052300e08e10400b4000010000844005204214031021020810a808102000002042d08210012000000942008d08800410050400040008210400a5001294020000220011004010060080844a00020260045020011820081001840840084020a400010518000440c0a208548010052208040008042000400800c5080020000000880040ae02d40c0021a40000</t>
  </si>
  <si>
    <t>A35637_1509_041a01285244a000510400710002440002142002008218008040008140002400802c10040608a12200918800040100400902048018412a00000200148012210e0044841004a20220050000080a80030020044a00020040044034081810280011204090280080245800061284801210001000880880080a800800100600400000000010840002042900800608010000200700000100a0281090085001201050a410810140042040000208818102800002102000c1044054080210225031004a012800100040200000b5824000250204a01080020041050000820a000000450a10500042810018000a02010400a00208110400a52600510500040208018002200900840112108a08000a08100502008100900940c0200280810010080021060210094091000000061820a10000080800a11014200201220884044800080021841020020844060000a010440200018010a0020044004004210800880800a00a940648110400000050008100900050118308048002800400200012100c08208850000002048a0080041001200800840001884861205014004024091050880080284220000a60</t>
  </si>
  <si>
    <t>A35637_1510_845000000000030074230011801040070811a448a00000000000440840400018402248000300908108700508200840040002500008a02400100302b4a112800000000950000a0000080040005a000240800500110058050002208800402200400242010208040050e0881044040000285000831040a01240090880870801011080ac40200208002100b08c58040002210110408212c10442400002000600b48000110400010100908010810100d08000000400018008812440240000a0030800004250a050448c10958052400008a0220220820080840240890a112110000040010000208608500450800c12400010040b10a0001000240a000450d10b0040010000090a302000342200040002008740200602a48800200210602000800c0205014020a140210040000000800900518508400002000102808100d00508000010940a00002200452000100200812412100050a4290020a308048010450810c02c0a84800810830860040000000051021000280000274011204aa08000042010a0000201000820200a05040800000240060080001000801030820820020804280034000020</t>
  </si>
  <si>
    <t>A35637_1511_0a02450050108200640510100000900000200308000240040440202000510318c48008000140000008418008048042208b4020000005a000c10600a00040400000a00802002a02500200050010812100008148608e02800402000100002c1090221000084825031090000844044004005030a100a48412802c00200002600800800800308308600b00700e4004270005210030011080a102800110410400800c08000808008040400800202810000802018c0010040840280280260001804221a040040a00610800440000c00002002042908000812000608050112008c0a000000c48102302208002000002448208010c0804a240000800200042a00a0000a010440100200000658e00412208258042110908000552600008208100a12800840008000012300418040000540a00102000442008010802800308000310000110440040402000040c10500140810040a0065020290010830001a01080020010050005861021004ac00802300902118b0060200000040891a500510e0020841000095840810004000004050021014060800020a000008300502010400448100608042000a0</t>
  </si>
  <si>
    <t>A35637_1512_830a048002800200000600440840000400000610c00800008400042800002800600040410840010112000108602100548808050100048010000108b4000831011824040090800a640418a1020204090a802212010c02008c00000a00000510008a0800010001014020020821000000224044840004004244230080030000050a01090020000a24a000650418000a02100100a0020060011000820241000040885205040000040aa10140040900408a0a708010042402440d0000000081804840094090234004020000ac10010100800000000242042042000008000c00112200d0084014044000000805001084230234890045a00200220200014a50001000a050a40a40200510002210400540010100c0890000200060020001a000818400400f0080800001080a848440c02140410400200640040042018440000118008002802010000508040a00c00248118442210600000000e0280860800000800a802202002108c0061000241000001a24050090220094000090820a200050218c00140240002800240410812140012012800402a00400100000100008000c4a00000880060201</t>
  </si>
  <si>
    <t>A35637_1513_8e00002040a00b4a042418808008500902240208c18912000440700010042410000248400908a18402c10010410d40e42800050000818002c0280004a20801001060015004a000002100c1064891080885061030044020a050800000500200100200410900100040200002a08050942048200108010a00042008a4040000814080a05250a000108800000000050240a00410410118800000040802308008240010902102a1040800815000a002a42302252100040018800802002040300e0044040040020040021050204a842848040140000040000c10040a02048010c0ac02402040010612600018000400100000008100f0a00240000081850040080040044020890040091080044080014a210612600200a00500140b0200000085800055044004a300400000210010608012052010002400150802102012108400640800600a00050200510810c1000080a108108000240040840940210600100a08c00240102200208242048802800808202800040600440442240018a0000040094034211000080000204844010031a000008808008912800100242100a0040010000020815280</t>
  </si>
  <si>
    <t>A35637_1514_005001245040221001080060221805010884054a100902010400c0800800080020021000210880a140800c4884010010801a200500258400802000808200000a40852000402818418000100210102402102000200108802810c02008208008f40a08140a08300600000d00000c00240002042d0000004010200800010a100208a42000b40808212100450010010c00308402018512408540040018240000800408400002002250508100c0ac00802000000208040042000202808142500000000000202012058008042440400640010510008008040000002050212910512412c4000811001820861a458040800142700100602040840000a40402800c42450802008042050210648242000048900100108810a42c00900100202200018040402000110408000300a42002402308408200100800100a42a0a51800811084005220021010800001aa0854004804a01090024080a80004081004001804005095040a040210600b4060800200a200310a0050a040810948102510800202c1811020000004060051080801000200240a100c0880a100202240000000108a08c00100058102a0</t>
  </si>
  <si>
    <t>A35637_1515_041065010010a050318400240000410002010008000050a40040c40312112800402412840900808310710010200d12508000002208140202010402240340110008010500000040410a0001000000200004044050804000280200095240001001880000000081800820015005000010000011281001040844000a30210821040a800500100110100a0000020000064000a24000020000a500940108002000450000440840052000000400e4000020200a142410440400912008040340900340210100200008000b10100400d5200a000002100b5841840010000000000811a84a010242142000f00400208840440100402400448c50102d00800410108e00000510602040012900042200850000040002c0065021800284210011841884880811000820205a000518600102a08000018b00308c0044020001a242008940800450000148002208100000500a0810820010000201004054a108040810208808400900318612800040042142002808200200a00208000040200400808242402140340040240510c00058100400340012210800012000e00850000e0811a00000044880020281</t>
  </si>
  <si>
    <t>A35637_1516_8840a00110648000010800100a48d0090a042000200a10040840d0004844a00021820004050010010a10011004010000030804080824a40000284080a248000802a0044000a040000c0830060000020200204081000260080054830020a10800005005010804200891841a012000008008212318840800010002108600c0011004814204084004000090081041090030000200800004080220280000810000825000200a000008618318002052400908200c0040024050260a05010880010001a45040004200810021000a000940000510f00c00a00940202a50050710002840502048848400200410408140600000402110810a0801080000241a400402002000100200500808112200410140142402110118808400a02a08600808108802002a00002000900040040950808000142108400208c50008808240908c40200012000202210c1004000210050a000652000010610c0210004050280894801810220010210001881820200004080060a600712010942000810008e1020204000010080a44820000a218002e40002700200248000400140b0860040001221080200800020801</t>
  </si>
  <si>
    <t>A35637_1517_0440010d4020010001880044800015040000000060800080010014a040000818900c02910a40240018000608802040002050012510548002010002250200100010440c00008210400310100400010048200108400402c50000140a10018000002808100202a00040f0044005a40224000000080840021800020a00000841004045880210030041801024044814010804a440118042002102000040442010010c02002d4a002102600740002810208810200110700040840800910100a0004880240000820811a00061045050080830a64000841800880230000044030000200080040035000240044060811000004a200108848200c00442810412210848210100000242040100100800100908b00248210000042500c08800500808150200840000042200310008008040800010000018050818800002040408800202048142140202040600642602810202118208000240000d40002002040900000002110040118008800000442850900152008810c40008010e00200012208012240110f4024031001080824015210284251010025880845000010865070021081884250204000010</t>
  </si>
  <si>
    <t>A35637_1518_0142600002108040040000402000140f4a808210418052e18d00e00000108008f02050500040300000500240a00800040218042008e0001a510000a4201040040220804000800a14a910c0880001240010040231841881a11020014010081001080a500a40302008208c48000000c02808200100018640012002010048200100010500100100452208610800c0290000a400008040200452600100000800000002c0080080211080080045000040204010260020001801220004805060081004090200010010291010a410000208110402600a08c48002a4224244001880201205020200800821804801000004021200a200a10450802000900402800102002100c4020a250200200a0084280221a158918000000000902800240200452000000448900310c10b0205800020080230050880020250000010a450010808402042600010050000d08042140040908210400712400010100000002e1010a002002102250502a00402000440448008002010540a50c12540b0800040045000044204010841210801041010080081005820804004094010800040081060024205050224000820</t>
  </si>
  <si>
    <t>A35637_1519_001080010004080a148200a00c42102440018010a0820000254000025040810021000200040020024090835000240024ab1011060000a200102040110100008248840000202102410600402040040008200100800052810500a0081000000820a40844010001030011010a812850c0201840800041861000064014800090021004240010a85a042010f00a48c00b0000000a110b02840000c0085060810800820001000a84a040c00000a00002b00250602808000e42000a0201801070851800a91000824a200c18442408040940940000010040042100000800602200040000800e00002300210d5245011004000a24280830a050150608002040210600800100148000042308440c10842200200540210118200840000810040400800840802400810150808208008842000800650700802200000c02240002c00902812000300800050400c0200840250030220811880000804004a010000500000442100140a40000000002202100500950000608d58408810308050600008040018102102100000a08010018040100b08000100008410042c0a01010020014880014080000815010</t>
  </si>
  <si>
    <t>A35637_1520_8842208900000150300c00000a00410108810302210408000010040040200000000c1804200a812602c00800440010000100740800f1a810102148840242800040400500a02142000000058000100500208208600010208c00542240452000008200040248100040810100602000342a0a400100742002500402040118400800800800000802048400242410402440840208e08840c00002900200508500552010410c00308042200e40000042908008410a1060860880004001000a00010a00a000200050542810040e5a44004080a110400110050c42002042100210018608102400800258d0824881010220031004200800041010020a002108810a18000402802000400000600042810142000052800800002912200200000910040210100542818102c10600800042200008018408850008840100010400010010a0881050080010a510218400142000240508000010200040a40202040000408a4a400202000300c18c0020014044814200a01020241a140042000018910440400040c00012410300058640000200a4005021020260a100d40040202808200240c0004205824840</t>
  </si>
  <si>
    <t>A35637_1521_030a05090080025800a80034200804010820801210040a050502200a42010a1000224a812100002400500018858112600010010408410200500048008100108400000402040350012600000410010100008400808152050000848002200118440200040c0011841090080080045020a01201010880240045090010020020091041081000200051081080aa4800280211064880070000a002002108210008010200042008142540100b02800400200a48008000800010040008800012000202400140900008012200458800810100840318a0044200844050290220090820004000204020a400410100442002102808548000010000412100200408500802408042300808202200242818000842008008200d00242d10c4010a540000810402800900148210908848002000908300500000500848100240052402218408010110c48240118008010242010008840410908040a0080200200841040804000000020290044010001220044054031205010041800814240804005201020a200002100800508100a10202450800108208900100200400c00a1210011800260801210220210000</t>
  </si>
  <si>
    <t>A35637_1522_0d0000200070000040a60804061200204000a602110212840412740008400418a18040050202a00002100642040510208000200510100052410000000508600100248c00048842410808008000010600012208000000000002c0010011000005000211010000a10860880044805000884021000010200280000a200010010d48200800840a0034021035001240220a000140700410008012242800400118000410400400018008018142840050540810050010010a00040b0010a010a0840081801090000861020004a018d02a08040018000000402510a40202000f00050602800842000002000540442810502048612010800202900000040108208c00610000800148250900000040042900a0a640100e4080880040010810810000824801200804004000081ac10500500010340008548400100c00000000600010000500040202612010802800840d4284a008c00200008440408012008918a02a02110840a1045001010804290070884040290800001054000080a00020004084001000000a00220000001010220a300640300802c0284010a00a008000f08810c0000020844800</t>
  </si>
  <si>
    <t>A35637_1523_001080200000080a150000110018d0200804830080800000800000805035221800240214004000000a000008000012100000218010812400000140140310800842610002240810400210600800002348a0005a200508012c42a08210000100118000400008042012600d1260800000a202008210600402d00900812148c00a00a00440800010318900302410100000040142008400042142400810500f1054ac42052302000210010408400500440000000a00008800540100900110218950640c40a00040000000340010402000900002508108040840000042000100310000c02000850402400408240050b40900100108c4204000004011801800030060a010808942012310c0000800000a04010a30880885211280800010210081080290020014044a010812442040b08052450408858800050200340610418840018910200a00408c00340408002440010000410100008902800810642610000050440c02002540000000a40810c08010242000100000510840112300c0800044a01200a25021080800040a040800802002100042800812400240440900c1080201010800820211</t>
  </si>
  <si>
    <t>A35637_1524_8c08a4ad4000000840200800ac10010602800708818218002000200140540900500200100202808408810442018900a0201040000800024014000031860800821081a000500040008300852440c00802042408300200002800400000200900400c10800a0004a000b0020a00a550448042400000100402000108110010200d4041811200a310200618002240812208800140c10202c50840408000540a0020840005010210064020041a202010040050000c0820041000054024031241085a40a800040a12000110000250002200818502100800240102100848010318300400000048102040208100e08800a0881021800064000244040221004261001201000040230041a500b00400000200102202210500400112240108248c00442012810440200248000e0040a41024800a040008c00002140802312300000042410802e08040000908050612012940208612008340050002500102042110800200040b00a00250000008c4ac0000800010a41021060801220a000440000000818802500150102000110800042400000310a0050004080000011814090031200040060091814a11</t>
  </si>
  <si>
    <t>A35637_1525_000a000040442042300208240402140a00a0a102300940252400200108010000800608010300000112108200800000000012000000410c0a840400300040808808a10002000042150110018800800002840000000750a08010c02800010600102810800000002618000412a00c0004011804880041044040014a000000408000210100648a10100a00810042810d08802302218400002100a00008302008d40842400902312002000002400800400a5014280005820a000342a0805ac10000410440c00802050000008602000c0081264010040200a100a0801001ac1020001890040030a20020080040890210830220230000000000050a000258600042240410800148000218e00448040000100040100248c00912040250010108208442440c0a148000810918050802300108008400100048c0284a31050001000204215040290200040000804800040201a40280850040294010000a04221860024080000800020a11080280010020020031851080a810000048a40142800e5021200080001055200041040090084a850452208a0200044010811834881831000a05070081041801</t>
  </si>
  <si>
    <t>A35637_1526_000a81040080024a348000010a12840a0000060000824000004240021044280095040090030201a058e0825041010040200001880004a012942e00008100018442c00002440140008018852802102000042700310e4000251000200a01820000201845050234000050834840001010091210040060040800264081024241014a858102142202300000840000400c40100208800c00010810142002002c08240040c4084220040240830224004030000220810810825000000020840881831084000050001000050034040001200284a042000412c10010000b5800820884004280250a31000040091840844280200061a00045280001000000220090050a00a900608202100008400008000a40010208000a10048100d00202000400c40a48902c00210100200400010900340842040008000440100d0080020001010804a400048202002000100852400202048502108802c48c10100140000000112010c0044a802058a0010880004050030074830000081040080a100100008c50008000808058042000e10000400540800002000600052052a00a0001001081200200014004060820</t>
  </si>
  <si>
    <t>A35637_1527_0c1020a000602112110a08818008112048040248400150852010908000400918240012c40542000010000210040402800040208200040000002b40100208c0024200ac00002040250000700208850840212002510608210812148100712c0014240095080000211040851041001030820860a100c40000102600902340d00050c40410002800052200c08848010c0000810000011220000224a848052000008400802140302018800350400c00c0211001820011a012000a0024204a00880000250080800834270081004050000024200071050001000210a018010100002002000140000258200642418000000048012400300408000248208608500348000000000800242000800c0a00010800a01891000200044000215830a21800a04000000221041010011080a400a4010040801864000800030020a04231820a610800902a4250050800a000000242808040110802002412200000308800400240100402800302510c4820201230810000030875a000540100008002810208840000648002502110600c00000500a10000000648e4041000020200890840881284200004040000</t>
  </si>
  <si>
    <t>A35637_1528_0010410900c0210011000084800000040a10041211010024804000080014001090885280010820011a20010020814214a048112110000608400202058048410642c10c10808b0844210000a40005004031014820060000000000284040080800281290204000004850011805a900448000040000812808500800040000818410012042500042308600d40408012e0a84a308000802e02010200808410000600840002800848412100a00600840802040202008348442000002100240408840400010000308440a00600c18000800040610e00008a1a040400010450800f0805244220010050290080061ac0074020200860001001205210a04030061824004800040224020250010021011000000a610a18b00410112c4085a01041024844080200220800820051040a10050001000a800140050c10102a0a00a410710048140940808100c08410010010240800018c00048002410000000240000250000c50a40200108200042000040108202110510800212850248a1004800011880080020010225811044aa1005084804a40260011884081004000801821000200850050010844081</t>
  </si>
  <si>
    <t>A35637_1529_021800004200a802040110218a10140100b02410a08740e40102000800400400342000002402100200100e42c00c00600100000100e00000000500110408800500002000342000348c00008a5000090000821200800005851000080a000a00950000010000b00200000012c00540200140640c00802048400100800010210610600c0080a10021001010004805024001800820804804ad40442112000808a0040055000a010040018802002052800050018808242a42800002000040118440410800508902008100212000410440040402008a10c0084010005820000031081894200000000a00015a008002500a0001a410c00048140908102502610000000402802000200408100218942040000008008040008910200200012910440000000102a4240080810a810112000048340218902040112e0880021820000004a400040000410a00808c02000008102212210808c0a00270821060010004080ac1020030010010020000004230880024020001201a150042000000700c02a1015000220a048400140800100d4010a008c1805005040044085020841080005a800d40002642e0</t>
  </si>
  <si>
    <t>A35637_1530_0000a0200240080200a808040a5000220a80221020000000894010011a00050814040a802200018400a10800010c5010200050a300b10c0880020024050a000610452840002200440c00200a4201200015860a000000002110808000018e0060201200000a000102810008248110840802408210040610800408b4211000020244004084a008610800718a0000200834041221050840001260020024a500118a0200014a008100000210e10900240042108c10242818510c40200040800a0801a440008010012500040202140908818000200010608100400800000700442808000100800052808812c0041060830060200800a20a042a0080000040041824840014080040a518340c18500000008002410300000842048240150010810800502202800540200300440c42b0200031000051004a00004a01a20080014040084040a040008410e10002000508200212408340e4210000a840442300000e50112300100440100b5805014004294210070840000200030800040001005004a040800158002600102600040248112408c00200a00402c4001204200834000814200090201080</t>
  </si>
  <si>
    <t>A35637_1531_0300000c10000208602400510800000b4010a05880000041211004231020860050a04880240200810810084a000000740200208300248000010b02040752410a10c0291004011040840010244005050221000a31020ac02000040008002000c1220090204094071800020a40880230221000010801004805240811000a018050010500540210000000212600900100000008000240a02110800008000b18052002100400b40400208102400002800100040910b0000844084030004040001ac10442208810300e0810084040040010a000e0040005000220aa1025000005821841030080020080000a812002000202100000100400000442250040100040248050540000212c1010800000280800011a800402202002108840108108802c08400502000200110f00000812a4a01020820004000850050201010080035001a442508100400500108400500908352652610012600100100308000000b1880800040824011091001000000080080234801005a04280000094000a008100040140140048200800012002d00b00808000a00508c1014010000805000850000204020204804220</t>
  </si>
  <si>
    <t>A35637_1532_885a008900902800040a0080224841000080000800080084040040001220041050aa02400c02000048008018810d00848010210008312002000040242040b0004004a14040a000210300a00c10050142200000100042842000000102002a00010000400502012252500810042540048300012110000458840e08000540100000800c5220805001a010800e0800020204a01801011060010224000271000014020080084030a50881000000004090004804080004a210802800110310008a0a000800500018248400d10810100000a4010000000840000044000801200005084211010020001a008e4a010900d0010814080000024001030200841081070000800000205044800854200010070020a21000001800880224011a100110a00000900e0a800050b00008248842008902408c1000240a802042000018008000050110a4000064001860a012000100840042908900440100a00012618000012440000000b4864200011004005044031840820001000090024a312210400202000452040912010400518002c00802010010010400800000000010242000a0000050084201200090</t>
  </si>
  <si>
    <t>A35637_1533_8300410102200210200108142042802840808042b10c0080001080810010240824020a050900018200000200800500508140500200100040840440210400110c08640140000048200408000240c40a00200110a00802208842240102400000950202840640000008600410012000002902010300742a40010002008640308100600400140140012318412e52000c48012010008000c4a002100058052400042000c10b08110442008050002000108240500800318008140100008100a0800084800020010200000004024244040004800801004280a000342b18200208200440940c0a00240041080000080284201205080000060000080894840000054021050080200270240821820005010a042008208050040c00000000000608000a08002002210400200100818802c0024815000820861000030020205080800805201020000a04011800081814074824000010000064010040090041a81050800081220004010a410008000500b40000202018040400012000008000010100c00040008a00040218410c02102000850002000100400010002848012a0000000000080080030000</t>
  </si>
  <si>
    <t>A35637_1534_0600c12850800112108200940002c00e4a210202800310208c00b40200110200010010002148240200610640c4a010000212100400840402010400000302200c08800450000002400010050200102240948208018b42000402d08808000418200c0a00224014240a810100850000600010148210340440410102810108400100002002c00000008008702c08950408a02040300400012800942040700a00042c4885224a00010000840025000040080800210061200a000000000602808040002140a08248400408d1a852050202108002818112440050400118108000008848000002000402800208600140040008400100808240c0060220a61a400a00602040102002008018000458c00448110010018402610100c0aa00208200008210800f00200402100118410042a4080a500010900048840000058002110d00040000400a00102f00258010400000242108010902048c00140a0820000014005801220020864800020a84a510802000448d00540c10000400000048018418400842400a50102210d4a040900348840240b00402c4080280004a340100d0005800250001200000</t>
  </si>
  <si>
    <t>A35637_1535_0448e08c1004800800010004200255210a14004040801200280014090010a50001081810000024230a20804020a440802100408b00c40818010040200500400710618800900010102400008002440800200010d08008e00042a0001a012308000410802100000052118050000010648118210310800800510040018450610b08c18500000250600010808402c0010a100000100102e0000000281040001030044a840500002000900800012810000100240000002210000302800012710400000c40442b4020081010020014010020831810004020200204010000200801001004240a04a140a08400c02400808212008110540040d4290814004010095040080240800a418000200a00500d4091840020020a410000e02008208b08140200d4220010200240081241851004080010290004000a040840100100010802408140d00800310100850000002a00000408200358018002200942000108148208812102002000400018000c00400848040918842000440402208010000802040c0010a100240418400050812040b1000000024a208900408118400010a0080044064201820810</t>
  </si>
  <si>
    <t>A35637_1536_0a0224000080025201050880860200240804070000000a010002000300200a00a08858040842040550018100008c4200001a408600808010012008000240818008600040308308008400110e10c00c40042410a00110250100802a00208208602040002808102310400052c0a800c08910110000002008c10000250002000140812002a02008148400000200500000000040008000a08012108050042800500002142042000442200808400000d0220000220004000040020021250a410008208140c0081270001800a002150842a1a20040835001200080034241a008400400940a08010210100600400012048140310810b00202010240012000c08400850010448a4a250a00000400002500010600f0801020884080011040060800204a040000348348608100000010340900442610002000140800b40012008402250100100000400400300000410200200400900112810540600008048a00600040042042800000018e00c0005220800001a00000a24281070010001a008a40402410000802200910a48802c02902048658600210000000602000148600a08c0885000894004091</t>
  </si>
  <si>
    <t>A35637_1537_0500058c4064821204a010412408100600902618000402200400200048100d18400212010c00218010a0000a61810090820070ac08a0281890004201a602300408400000400200048118800010002902810210018b0800041000a140050010710040900a00a50600200900a4201044284850a41000060080074000811280050a848d00300208200708000012140200042400100940000800342800000208a48008500002900018800408a52900b4000821800000840010014810804280020804a052600100600818008c0894294004000800021a050840b0a240500500810e00852408802100400e1044000040081824041024ac02040c00008210800510000042800118108400250418010008b50142910400040140500002000000000442000c4001020280841041201020080a040818042002500700050402800400200c42000200058008b1281080290090044ac18200000c4240801854021010040000080800804800050804801000210a100400300008502840000740100440800050000918018900058010440d00000500a0000284001290005024050890820091030810260000</t>
  </si>
  <si>
    <t>A35637_1538_0a50400002142040012808408002000248100658708050000000300840202000002210842148b50100100200408100a08008008400500858800440302140800a18000500200010010410010208000900012102c18810410100440802608900c42202040042a00108410000000810008040410008402a4040034805201080000000240220000a008018042000000c0a050600000210000050302208010400408850102802848102000040448512200800610000900810910040002002108450e00900800000010108a00400800100a4240a41820880801040a802342a0800020240200084a118000b00008400408010050c0025860245200010804250024800850200211850280090a840400148302142000218000040000100400410252202100942900448400448a0280040020810201000001800000080005a008800050800002010200200340002800500812042010948042810800240010000112e4000000081000050084024080200a04a010000000818900800900548310100000002000000410900208010040000a4810040040880000220021040060005080011280825040090</t>
  </si>
  <si>
    <t>A35637_1539_0a40e0a50080830204001000000814080090001060010004091004220a052000048200800208002240900040040002308940100808e00a0201020a008000000810c0a402600148000010042818012000218140000208808002800300110400510002010000008258008240008812042252412010810600050400040000800c40000800c02200500418002c00000908002100a00018040400c00140600200840200110800008400010150c40802140b0001060841000214060834800830884200001040281a00a110a0000000200804804020841220850244220001080034020090000001a012510402208c40402018102000608400800000150110208408202050100802040c00100c42810000102000010600c52000508800040800400240050002950208208a0a00040270a818200400252440440548a10000000410608100400200008000100800800d0200244010041000044084005220a10814081000000811015001800064a000c08012000610602408002a00240210b08102410100908208410200c1a21241024080200030001844210000814204000060041001040014050000</t>
  </si>
  <si>
    <t>A35637_1540_0002202400200140018010d08440402b40a0004040801a01a01040091820020020020a942000040508008b42010100002810040018012240002000002200c0024000a900808058618200508042c00140040108810b5201245204a140002308c50a4a040240008202510200c4011210021000210821200a010040940448b0001000010040214005800810080211004020a010e00110248000a4030024080011041201010000a010000408618500000210412000b00600100000240008000c1004010040880001081814280040220810824000880804094200821204220064041084050a11000080824000201020005a102d0001ac00402540248000018442008102500212140f00050a40010848200000118910a10040140048300c10e40018402c0a34041211800204a000408000012910400012500240900148200000000150a0004020000074064094080a90001211051001851000000064010020a608000000048040e00010618440000150542000410c08402802300010708100840400000140440d0824000085010ab4000800000a208440140000000c1044021084010081a30040</t>
  </si>
  <si>
    <t>A35637_1541_094004010200010810a00001a40a01214000220031001800000290285a402010218402010200200408018812202002000018110410b1084050020081040000804a210012542a18010900140002800042240500500a0240a800240a0821011041001095200801040860090000280010200000080841a400400a0024a24a110908202002902940400010008408812a0a800050010350800042000100408208318810800440a0a000010010c10042108210212008458408c40142010140208842010912840000140808400808440800140302400a40400052840010408800e0001a000800008002c0000aa0210224080a10011864801a140c02140350c00800000050840008208010512010810c0011020a00095204000030280010281080245010010000260201040041a00084031851000041880001200021045800810020005080000000071800064211080894010820040a20000010a04001011050aa0040044800820080880001050020884874020071024841004005044061010084014090a80020a31000000005014a002000100910018800242b0801a408700200040140a08008c0</t>
  </si>
  <si>
    <t>A35637_1542_020001080024010a05000004000010074884805001024a040002c02000100600108802102840852318900102442010e48248010a00200200510402158500310000008050208050440200012058012b00a08000400b0860080040015204020001a04800230021040aa0800080201014220811840885a810040e40208010008912010110048840102108a08200d00540302008a18000e4804004800a408018112040002308008000008b40000002500102340610000000000040002000010100c0a902800848440d1011801801220000004a00091024084230a040200a00400248800700008648808800052050a08012340000c0220240034a102000900402208840000840400000700040100108042302000058800c12540b02652800118202040308000000000440802100808050618000848402002d0a100300210800018002000208440400c0841014000a208300200110600440400000008800202002950000040652400002a00950000200000100200000102100902612200a48418000a0000000a610000000510200100400a0820200011014200804001081020280000020261020</t>
  </si>
  <si>
    <t>A35637_1543_8118848140002a0844831801880040210a810140300602400840848840112000012048010440110010300600040c00040112318510840a0204040224000250084005850280a902100410800002010200000408910950c00100540000010818000600400400040002910d40202402800a00618008000018c02c0001854a00011004805004aa0204040061004814000200a042010440210800a0000005020070200841004a000248800402800400002912100018048240800c0034021000004821085010004031200014a01000014010800080891204005014011220041050804080014000005a11000004040080804820021095281201020091200a010c10210c0020a01000080010020a040a02800210800040050002e4035000a000002600110108202150008040008140902110108f08200c58100642800740a08840412100448800440100d1080204014804841200800800205020a000212410e0a058800608008100b0080840881050a102040200208a00000200a0a000410540050102802012010008048200800202002258000050000440208a0004200061060090004090040200</t>
  </si>
  <si>
    <t>A35637_1544_8b0041000080804041a118500040000000000300810500c0800200204211040080084a50010805a040100300800800a08240240008850210842342002050010000440840448100000210458412102a0010005000060204010000000274a410000008940800010010a00202000940c00b02402000048610040d0a808018408100840800a00802000000018042010900850150200040240810300000002010202800412002010108c08302012c4050800010010000880040240815011a20000a010012102010600100808042452400010408000442000110008800000f10a50208040440840000010442202110142840608408800400400c00a0200011894001800020211000081000064284020014001030080a012010a0005040840820080a01240290a112110112800900248000050600002010810400a12050900400a1200000a34011a80044000040000030004050861040290000015000a008c40412000040210040400042802000100302000100100208550000000300008210000110208010018008010000402408010440400148408002100812012010402000c4090004001061</t>
  </si>
  <si>
    <t>A35637_1545_0018400000c0200805860045004800000a31001080064081000000200020aa0000021805050830000060010a408050202000000200d0220241010030a100018500008040408810200908040a00100148140048300002858840400b5040a208050010c40502042000010808058402000008442400610802400242810000808c5a040040a08010202410040200000c00000000900012650400002040110e1830084001000805800ad00018600000200000058900a0040000284814010010010064854020000800000001a80210000a110402008002410440602142110000100200440002a5211081010861004050020204810811000a810a0220841001800080004010205004000024a440000000842002018042640102100850010c18412002100440048008100440240012800150002410f00200810800208002400608042502002a0020000000245200010014214201061a00810254080020001060080010010220a700a08850800442c02008200800110000050c00002308500208240400042000000a00400408100308000018800802400d10c08a40400308c40008050048800040c0</t>
  </si>
  <si>
    <t>A35637_1546_044024840200a00204070890a848010802040402b00008c08800008300400400202600d4280001204281821084004020010000000080881800204020041a100e40008410c4284210a008018252050842200010400902000800000a1001041000880040280010045a200050410000240910440210950002502100a02010010048408800200010108200142250400040000448200408010100040100500200018600812b0001804080800804ad10808002000410610810c00608202040418c0041280040000010800024040801000280045010804a252c00b00040018010002200140a40108000500918800110b4090204211005800010060201814a00090081000210005800001080000804050a000118000040e40000a00102008508808000040442000302400800c0a000800000148c0001a20845000231040200020aa10800140050602000940c4010044820010a00080001044080280800200081004014280210260840011841045000804814281031080281040000000820060041804000800240800044ac1280080000a110500300a4004240a040058008110012000c40252250c0</t>
  </si>
  <si>
    <t>A35637_1547_0c00010102c02b02400500000000002600048012200c0060041000030045031020200240030094000260040000811200025261840820240214010010020241804a04045204020a002c00100008400000102340400040002d40300000208e0000880a90020205a04a11014000090000820000850820a000000d0080020201000220011004000a640100c0a000810048040010b10150802040a48040110c00208848802002800000500a08412402600800108600318000042402000040c00810a18100640040000000102248950600000110000848000002240358042908800c0a55080010201091021841000200800001a218140052002c0a20045040001024200020090a100b08e0024001040201820000010084a84084a24061a200c12008410302210200d08040048000000308100810018410142400042200e00508000040040800200400a08250000040040352500800002c00b00148300000a1a24880090084201881000a812042002210040200048000000540000008008010402142100002140110d50040c0080800820a408052000900200000300808802410412400b4044841</t>
  </si>
  <si>
    <t>A35637_1548_0202200000800118642800040812c02000102200600e0021811040011820201010240800084094201880080a04845010a00040090000281805050020051201804001000280880800200091800050224200a242c00000e02d0020824a00010044800014030224014a30021024080224a800042b1020000880020231a200208240448040500018118200050a00040202140040100210200410008008100808c18608802100000202100800808952840242602000040052000448200518800d4000a05280290a012008900040140000012248410200858900008010400108110c4044010884a450a00200610000502210240208348800000540010110408300808010600102410c0894061000000020034a010840018002400000018100c0a000110202a02510318d00040000508a0060a310008000002400010702c1805040001004280805a00004080a00010031870080005a410440000a40418000800448100c4820020040055040000020090241000084000000000204a040400642000010100040000408a02602c10842010100908102a0011000a20a10060005020040200800051090</t>
  </si>
  <si>
    <t>A35637_1549_8010040050048118042f08310008842248242040700d40000810a00300102400002c0200010020014a40001804040290020210040030a000d00a0010044850800081200000020000ac00050a02100400150000210c10400442408010108310200208000400008048008000400c10a0030040090020864811000080220240080000280000001021040014881ac00208340140000810c4a81250000040200040000880030a140508000640018000a00100050000942000140000008400c00b0260044004004024280080065080200091020a918400c1890290085004811810000041000800061000030a00a400408042200008010c00002800258600518b00c08000000048548110042808042000040412b00800800000b42848400808202010940200000000408b40012050840310500800000c00140002100300a10840212040400042400000208240010448810250800900252002000002400010050210442900008400808f00a00002100a00040108802008c40202808040410840012400408202010910000c40900d4880021a210302212400802000050408442a5250084800804201</t>
  </si>
  <si>
    <t>A35637_1550_040061810004801200000004045201040881200080040a00a140248800742600010010402040248618800b10010140502040400000010240842a0a00004801011004240030a95000ab00b08200800600012000200400c40140748112002a10002058802042008000300040a58000000100200800000418840500010008d00c52440840042250402610008c4001240000030810004281080214094000a108400200100440000042608048202000a40850608000200050000802a1010091001220a00050a008000500108240c0024830211220000880090070000814040020000801080204000091081240200000210a040c00c40040d1004081031050030020a040c0a00024ae00000400100800042612910800200400548100440000740000840200100410410010440010000a00240100040200412000350012800600010040a02010018010050610042000118000000418812902c42000010010f00000810402a40102600c48200042c00040208300b00052000448a00050a08100c00c12800808600a00040c1244010200820030024004094010210041001800a012442600818048c1</t>
  </si>
  <si>
    <t>A35637_1551_0a0200804020284214230080220840004024200201050a042400200800000008100200100600110200508102212810800108000808400210800d02100000000c00a0080020800041a700d4880210000004001210080081a50080080830060020860800280031060201010880085060004840a900b58408002200842000d10110000400140a4000860021040a14260010011030805080810080020a00001000081044050020a318208408448110800910212000900000942000008040200540802000c08042112008010050040800012100210550008410140110200110142c1040000080840091004a812050100150400700a1240040220014820820050000080284000811010801a802d0040020800011060000000084820000841020000a050800142000a08900040010700202000018042000400300000452008840c0205064800001030801860080230000045001880a00241060824040260010244a002648002042200900e08400042050508810640250c4040011a110a00d0820800040821000210884000800094824004040001804a450000052102808a0a41010050225205040</t>
  </si>
  <si>
    <t>A35637_1552_8050400010308000200018c1a050010400908200400000200100300800208000a5041081000280060801004800240050204a108100900a40000600a12410218412a00440d02108118200c00000c00e00002440008400c00940842000000100048002010140240108b00248602052000800112610110812000200102242800002002100808110402010400240000042000002100052052110c00948300e00008008840600008452400a00c5000084a118202200048c00402042910400008a08210002a0005024040081000054010800811010004020800000a05051891020200005054001814a10085001000220000031000094240200080a140100300c08442842000050400408650802850d00100708800a1880805020804041011010204080200001240280030a04811084080a448500300802c40a40310008010010208000a0a84801220800264210080024040010860000a00050a00a202c08002802910048108240000802250440008802050100748802c00000210218000d1a450102000a10042000a0a800400700110000510000008100200800040a00648a0800014000851020</t>
  </si>
  <si>
    <t>A35637_1553_0000802010000050002c10e50000400108900212918a40602d00900200400710348c08840502848508300c08012012a0020a010300110400010802052010818100040100800102400000000040002d00940700200140818c02600048008b0031885804020015061280800200a002400800100000600040100442012250810002802100a4800a10081084221840204090041041080005800040a050452810900840800140800002900000e0a10084004011200000080010000804a01810010a84a100008108202400200410402442008010100900440002902102708010640000c10240010408300000a0884020a01210051800200a000340012108008e10000800500142208a10000008000a4000a600610008042800500b00210010000000100d40008400008000800140000200048008240042840200248108008a0081004200081815a00050a200402448000012210202a18400002002400900040042442440010110810e42410050100308148500800442100100110710010e0001a142200002600200008000810e0814011820040001000044890834221000024085200014241000</t>
  </si>
  <si>
    <t>A35637_1554_8a40440500900040200c10800658410400110042200408050442802910000000040a10010e0001210070881004884080800800240000020880004a20200031820020251004a002000500940a10040808200008408840c00402000042450000e12208002008000442910658400012b00a42218418040848000600000002100000000440640252400000200000002800b4804241025045851014030a410800400042c0024000004a11010080284020080001020820a242510400040318210c00600012400002548918440802000900202700100500208010802110010200650440800142212002008100818102208800402118050450840002202042800808e18040640000450418008000510200b1010040800a21000220811a408108850400040248800002a18200000040042010512800002240102408210010400800000402d40900152210150008410002048450410b0020290200a200608210c08808c00000000308000a00e4884010004811280000200010030880844201011a80080010010030820804a000050600148400010000002140540a00208a0080041001050211001800</t>
  </si>
  <si>
    <t>A35637_1555_8848200802140000040008100c4210060034045801001aa40400402050642400008a02010000800008408240812000c0280000810014001241000094a40801021200080020000840220004221815000030a550f00010018512200200200900440010010602000050000a40408510140800202a08900810010142002308000010200910c4004005011015880045030201040000860080a802800200010000602800902100000402000b0040844270885000aa1091080000000ab0a11040054845880284021830010080820040084204035a408810002c10a00142100600400200012148200202a10b00000800200842450200048000400e08b40000908400008402200012110018210000040308200612018000450902000810002710010e0a80224205004030000ae0054000020a64200010244285040001005820804025210000010a30001034041201000091001040004241280244200041220820800000020020825281800aa4290010800030a00804800200084804050010845064040000224041a000008000d02500948200200850640050008058010000200c48c42300810000e0</t>
  </si>
  <si>
    <t>A35637_1556_0400400000300208048a0004a000142802048200400802802110002800010200842240402000810318100b02000042040002408210002000800400000440000010a50400000108000308108c0095204090044030020a042000f00b10542808810000040008202500400d00a1010240210240240054060085024000834010000020284200a000440008210000100200802108808012040450900200100008908440000900042108a0081204080080030051801000020800214814a412500810c00010b0215004200894a010000a02048002610912002842408a02040200110818900240000440a0040a010440802000008008112258400600110118800402200440142242140910048650c40100210000800208408942c0801a410808800450402100800002208508a40512000108040000a00202800840000240508008842812108a00008100a12208400548040000200008600540a0a80041080010065200210011010000061a840050a40100608400a4280004024284200211805a008110040102500800400450050208202240400812642002048000018110248c5a000002000500a0</t>
  </si>
  <si>
    <t>A35637_1557_8508c00510800200002000100c02450a00940140000310200800000240140800c0020004010081205820030a200000040000040e00240050500008008010100010818c4050024000a00040201290084831200261020a200000842002042810850052000640800500200a40200400300140100018b00042540b0001801251040801040030000850000831204081010a84a402500e02200400a0280010260041024ac02000918640100808048d10002200458c10510402000040140240008450408040848200010c1840a210000100000402a0085ac4210240004201010801a64800010000221070000000040200024020000050041804050015830801800aa48002000812000010010818000402010502200040002002000a0a400400000a0211200001215a000510408900208200200400408008d0090014040000090000205094200804000001044041000800010080090844a000000008200000648000110002152040018600408500c02008000008848202842600050418810102018400402000052000212842840400b00650800008a10002000100410808c50402510a0885824a01</t>
  </si>
  <si>
    <t>A35637_1558_0042002c0010880000a718140802810400a40200200000a02910440000308310500400450202010210000a00c0850014290805200040204a402008158002e08200000810440012508c1021200010000880004a810402050800402000608400002210142a08048000500002400840e0a300010000000040000802a12000300800640050408048208010440000800200042000000b1041011200a900050600100208c12108008410110358000802400208108108142012800100010110700a08e0010260810030860011000a142140a00340a00210a0a00080000801040054001805084295010800800800050244000031201000281080004220a002a00100c02c0030810a00a10041861000000081020011031000000024200001a20804001240000a05800840020880040204a90040280000a00000290000034000031a000c40200302110000c1820a80040824014a108810018800000202242000800440100100302010810400002842202040010210102640110400a0204000800201211094000844241054044050280000a00801000004014050804000071801024084204815000a90</t>
  </si>
  <si>
    <t>A35637_1559_0600a08000400040100810240858012800000110e0041a012010608218740800002212140200842102408002642400040002600000f08008110440250110018000852100108200058008010000052e02800200410a5804080004021a44210801844055030800000a80000825040230880a04010041a440800b0004015840034080a000900002210e00100800000802252400400c00e08010442000210700452600040102200010400548040010208852202a10012002100400808148a00012808140800800050600008040100800802040200048810040900000000408a08018850008350108c0081261044200820a60800840800a102100010148908402850040602012700510600200810d0210020230801000010044a95220040810001200204821800800010000200004034020a30014040a400a4a102100118000000010040912408000d10848000708000408210802002410700200002a0090a000002900840408c10610208550402000000000852052010008208052010050400100c40812150000240442010800010010100608c00000e0001010001840280011000090255020</t>
  </si>
  <si>
    <t>A35637_1560_0842c1844014281804000024040000000210840040090000891210030800000090865044204880a000000008810040200a00010018010842440202808150008448000000c0201010880060000851080210230011001805001044081001201804020a800b00a0250020051024050080884254800880020a01080001220200810000000080024801810080201a44240291004810094200005020a008140400002240100800002212000302a1014010010074890000081085000000024080824261001040a000302c00850000810c0090010040054805800000801804ac18048010002c40b0820000074825000064a040402000040800800802a0045220010a00095270a000008d1800044040020a240000a00c02c00c40c4804a512800502000840940200518400c0a20a952242302640900200c1040030004000a200402010900002010010000200a0215080a000000008508a1240080020851001840a000500202800042108800840400040200618610750c4800200a100500208312c52800100042000000208240400440118010c00500c42000002b08140c0094801290200004030201</t>
  </si>
  <si>
    <t>A35637_1561_0c1021200010034021080080801044200821000210000080200240084040801010040080290090201a100042402000800808212100008002010102812208200302408940408a0070240005225040260200a40890001821884000a05040aa1010285000000020801820851024084024000010000050261a10000a15010800000a642040000a02410410000600040108010300e0010001040004830800201031024040000001800050890000000004a200200400e0800200080080034a418042818c00200242400800200210002e02200610000112818150242a12448000118a40002c48018052000a00a00400400008042200812442800802040002b00802048100240210710410008c4000204800014a100008410440808048612800110208510000000610200010c10800508208248510200802042100202450100202000000002900440008102218052202000400c0014a010900448010000808a10a00840540018200108010002100100052100100100000002a00210000600d5084251000804000801050281a000200812440300208800d00100300640000440c02012000050402d0</t>
  </si>
  <si>
    <t>A35637_1562_080880040200a80841210050040004220000200021045040a04020201264830020800a00044800020080000020840014080030800881a640940808800000400048240000b0021025021814824010244824a050000240600002300842010008a18602442848808040010d4041210000201030001030a44880010090240a500000000040d40000042400640048400b00002010000100018c12400108040908742800810800340108808602002410800340502408108810002202200102000002200102200802548000300000040948818410c0000024284020015a40a018a1a000000002800700210048c00810000840100c1010041840020010031060864a048112800000350e00d50218810000250010500540c10c10802018010508810258040400a00300200002808002048000442110842800000800200340000108050502400008010a0004044800210a142042010300808c12e00300000d00000008000240a02052000102840800000a08140410018440c10202000000b00150250010a02040510910002008100142050108010808210c1010804001000810a20294200085a20031</t>
  </si>
  <si>
    <t>A35637_1563_8108000000408000500810c0804001010004201200080024000030a902010400800010d02002808108408048240040300010402500100c58402008200600218248840902200108140a0025000000020a002102110c02002400402848010218812040400040302100708c40e10042402800010b00040002812800000302a08248000540248800540800900802d0030800020a200940408800108150208418000202000600848440910000000d40140048200600112208002400a0030090000801014080200040290005000040000a958000200a4a20001000024020801034824000000804801a410400000c00248000400300b0020810040000210200014080a050800200008100400c40800000240500800a1000a04020811a000010218810042602140642610012052540c0030a050108450200100000308100010550200800b48842250400a00200810508100210208300810840b08200140200400010010308842008100400000400d00902002800000e40902008008400008c00008800102040440200800002802500000040100700408402342200200200002808d0024010000840</t>
  </si>
  <si>
    <t>A35637_1564_0b0084204240030210a100000412110142008118008840048802002b50000200800240942b0004200a418840a0001040010a20020011801a50220000250010005864254220000000000084a448140900940000608940058010440248018c1050a44080250224a002000000a00400a0020815020000200801080805840001800080080000880a048100000448100102142202d10a02e40040200002008108c4000200084020861001001060001020295221010005820044220001040a108240442100008a00102110a0004045250a20a000410012000100008150040808600002800000812258800002008d0000800800a100042008040a40200100700c58418410800012112208c08040100200050540818812040100440100202210840a10400040142000210010a02410200000010218402410112000908002908902c0800000231805821001021050014a010048808000240802000800000500808048800048000142018140a00c00440150108418608402010000050712a0030000000020800041020840004080000820800200080a00a000300112042110008c4200020804020030</t>
  </si>
  <si>
    <t>A35637_1565_0c08008040600100000000810a08400340008418400d0061880094000004801010800805294020200010841004200060831041011000040200000084021040885240085040a80231a00004200011000884a010408448a0001080010211000070801a400140048300600f00842c00140b4000060820005a000200240308c1005000a010142202102800602000400f00308518e10002a40100840910108008c00210012040050240110102808040600302002910458202000c02a02010110840c0200200204a142000040402110b00040000a00002a00400840102440008000c08110002902600510402c00050002008002000012252052008052500a00a08018902108240440600302000002c42102340800208a4044080200004200090200800064031020081004000850244034040040024004811210a808600810100002c00300808510810302200412108008002410800008402040808202600000810000402100400200100210c40440008018100512808c00200100012000142800850302110400208c02802850608058540000010408910000812200c1005005004000a200210a1</t>
  </si>
  <si>
    <t>A35637_1566_8100800110840200118000040010c02008208400108200e52140000000002500250c40c02a00210000000500412d0010a000400100008a48000242040048800400218400242800300208402040d4044200810020081800a040a4821850000020000051034011010210020004204050004010ac1850a018000608000052000408050010200140248000808010040c00002402000008040950800a08200100048012810a0230044020024865000040a010450200c18000940c0881220a20005a24080234201205800840201081040000a108810d02400c00102950048410808200400c42000102100942240840140a08602318d00a00102408808602100500050000502100102108000c48100808802450100002812502000b40200810048048010000800402810912008000400912218800600400002240002500100640202c10e0820041a410402400940800108100a0001060880000000000880020a40004040aa08100000550810000d4024800a20800a200012242012040400208c00012008a0000050091a410040c08050400718a12012010340a40008500808000542042302100e1</t>
  </si>
  <si>
    <t>A35637_1567_0100650040440808010408200212500608010040008400600040040002050900400002800802842318000b02008950400000102008040010902008008750000808008402800812202000040008400242018440400118052052002040202818112812802240110400a10102c50840808810640c08400050000100a08000a0895000085024010041000040201010010a008240000812648800c08000010308300240100900012008108458a4281090820a002218b10802012000008000210340000810240b12440200a0840000080800014ae00208018042000048012000000010800108842600818400240410040100008400842810902800112300000c02400040542200110800402008c42100a4240a200102010000900210748000008842400600200000b0005004810200a05810020000020080200805001010081800040060000000011025200a000202840100610c00e4080290a050000010050008050400000508000a4000a14000020201050040021a050040050000700a10400000108840110a10408a00050140042452510918002112a0000200a80030025004040011015040</t>
  </si>
  <si>
    <t>A35637_1568_034020ad0014091020231810800880060820804200000004084000a012102210410040c40700158118210650400c0200080a200408040050100400000008000900010400008240012a0840201015010095000081040824000054080840271005204281050090220880020080a510240102202000000040102a0000000240084045004000024000a008018e40402208200010210000a08540842340008a1800080010040200005030080000210060a00211a400e10018400a02050200808848618840000110600e0080021000040a04061a108508040502208340110a08208008412000900100910900c02010000a0044240084840804020020000831884021001230004001280050a000d00000048112000210a00102600810040d00600000c4200a14a14010001061000000800a208200040202040c4001000ac00200202100200002050218040800502c00340058000b58008000508100310a08008600c00048102602410c1280200200000860080004a00004000a11014260001000010060880820a81810a242400840202000800612000450808118450d0020280001000a21204800</t>
  </si>
  <si>
    <t>A35637_1569_0008400502542b00000808600002810e02818048410042a42002040000000100610418002000110700018040242442100a00408500008810440c02040500400b02e1080000a148000010100008002500040102a00218802850302800308d0084200851020810261240080200895020011010000005000090000204050840084a808000640000008200008c00800100b02040110d48e00442c02018110410308008010808012000018810012802008900440000802000000008b0005270010200080044a200208808300a08902200a1045000001a840012040040240000100002810a00012042c00600412000142002000510000058012000000000a08412040c10200000000800000610412140010240c0021800880084000200a110040000500602200602000a02808442142102148100800018100842010000408400a52910902010208200810000052c02018200808150a0085000210a310108002208150040102008d08100000140402800410600008810400c0080231091040004040000011860020054004080020284000a100a40040002c0a200000f0830000040010881840001</t>
  </si>
  <si>
    <t>A35637_1570_040080000280a250140200512640900400000050508040208112400210510400000800910800208108000012612c10c0200000210060825200020200850211040040001004014200aa00000c0010084a14050010880080044000a908200000408842002502350202408058400850040002410c00b00610840048900200218008200400800108000008140842040000010058000302002000900852208d10412010d02000900608208408612000c00a40200100002800402508200400808b4204254094890050240840800000034020804800804001a902002200408d1085a20a010402202040f0010000044030014001061850a04014044210040040001020a81080230040a00005040800020a00a01020004205200010a240402010c40442040442852000800140640500608902200100048442400002048002000310000000a4010060000040000a500100940000b1011080804040001a148210a1884004040085011a00005040201080230a000e08010200950e00300310000400200040440100110510a0a408000102a0041a81004805000000221240820091a44041090000074200</t>
  </si>
  <si>
    <t>A35637_1571_0740842540108058210008000202012840040000000002040442000018148a0020a202442400000040200a18440000002802000a00000c40140600218640200012040142a4015000000880020a400a0214021a31880004050280234040821810000001004a80a500118010e0041200800801ab18000a0044004a810000810a08000400908802010208040002952100848100418240410000240848100500002200140000000000410042402802300100110008540a5a00024a302602400502c00000000252000000402050800048210000600208850000002000742800500200112000140200208b08000040700000040018808600800140918212410240858102500a00408310802602000202202510000b08000900400942040800040850012042200000008400a42010002000150110102800000a0030005000080041a500842040212000b08c0280220000a002818040042112808100350000012850010808140000000c40200510202210210408a00000000400240202000000058450148110040000408618400000918500000008c0000240200850060034800815004200004a40</t>
  </si>
  <si>
    <t>A35637_1572_831000041044811a050400c0001080044a05001800000260801080a01000080001204241010084200030021880000210081a100500850048140200242400210442c0000000020840000005a008810200108100810a0200080020000a158010308242500400a08000200308802d40000040108808b00600400408258240408612000040148810000818402000902a0881a100700440840002508040200210642a0a002908040400900410c08412000012040400600c42540400810100c10302000002208240150200202440400948002210408458002050040100108a08218040540440000000500002800c0020a902052418010402000008240410900808412000c0000060801804a000902d0800024091040004a100a00802200a10340600100808002058610f08000000000208040c00112602402008240440800400010100108802200c00040810010600a10300a00a4884800080200240010854080891004224a210008a12410012802110000100802240002040000602410010810c0044000201020810004000200a00000041820000241200000a01021011244a800e0004840091</t>
  </si>
  <si>
    <t>A35637_1573_0900042400048a1811000041800040200021005020021284885090080044010060000a840208200642410c00c10800042012010900042208150048302010408002018010502018402808c40000000040008248100100048002c00018442a00610c40002002240040308152800142108040200108a00400412002008140100f12810800c02a18318200202840110000a0050000050800800224205004290020000045010084a100600010200510108800400608302840942800842012618040200400a4084a200800812000110a40802112000800240800040200200400052852042000008200600000a5a40040030044a010100200000d0021045200000a402150402000248b00400008c0260014a400400800c08000400300158b00800410000408100408e00302040010902240300c0000020240000084000211020841011200a00230260041884800030a008400010800058140200250102200b0001801020000004a500818400802400000408618248000100440910148a00a02000d02a0004020040880020a00064080800a010800008d0000000011010054080814010021a45040</t>
  </si>
  <si>
    <t>A35637_1574_0802c12000a0014811210814004210020204201050040800001200805a00001051001a010d08a4020000021860040034014044a00051021040020020a000000012608d00000010140000942a5a100002202018808110218040200100042800840240100808a1041021080004a00024000810000895220200220094064880084840a00240000864000014080a00230204061240820a050842000100000110910802000040010400a00a00450800608152400000408202540400300200900008240050840008008010400218050000008010008018200110502b1040ab0804020084040000840200041040080010000a010000d0a200100340150140000000200100000840050210902012400800848242400a00000010000240408600102448d02842002052000500a40012100a18400a00e5201000044220010a008050418010b0a100202e0001a002810002000610800008418112142818450d0080200210000010004a01021020000070a002510000058600000008210050018000c00050702018300100150a08800040042500600000c00402002052000e0014860080230001034090</t>
  </si>
  <si>
    <t>A35637_1575_8002012140200110200518012210100148202300018402000002500a50408408c08c0801060820040030000001000044010a01a008a40608150000040050910210808040800808218000100000c0260880000200001244244020081204220050804050020a10a24020820280a00080220811800090280284204004061a90080000281014a20021020060260244080204210010830264080214004a24810041000080040800041001041ac0004014010a04040000824050000011060240821800000260884020850800a002810000110042310200240140248008010a00302012050002008540400a10a48410000140142808a1201000084021200830880245244000810050080010820a012048208110b00c08c50912100002640108408452400400000400008000000000142152208018402010000600140408010000248840100a42100c0040a04010204024065a008118250c1004001804810810000084024a00a108800e40800040000208208110412440810000012112600400008000800250108908100200110900842402000c40418012c0801005060870084084084004000010</t>
  </si>
  <si>
    <t>A35637_1576_0000c08d40600040042900002818040600b42102000a00608040240a02510400140200002802900208600202008c10608058148010200c08c10102000200010008048042c0004250020800a00000290804030020010a04090090094831a80021061811204885a600200640242140840100002510208002c40202008448000808402812100112452b10100200d4004080040020000844815020001220000825085840084220245a108000800050200802002e0840000005000011221051014000a100148202408600000002502c08108052a00100a0214220a802200400000c00000008150000000010452100400348540910108440442142350100010000c00040908108542808702410110800800440008c10210100000218002510802000810f0024004881881221010000a04000820004a000900500210608200d10000902100800148008210218040700008210000010242140108a18012010f40440402a00008102410012008802702042048200300400402a08240350800108002d0000200a240000150a1a800200040218008400e1090030810204001820204a40200880030210</t>
  </si>
  <si>
    <t>A35637_1577_8102850040700042200400050802400c00800442200018008000900800300800a4004850224800020041085a810402e02010240c00050c18400348250500200910000c00202802710010412a42012702802340000100a10000048258400508400e0080084084a148d00202408c40400040008000008200800100040112c0010801000224834010a210a1a00201244001220280041004055080080000800010204804000001820001820860001250234044000001201844244810840081860001804240001a00000884080080240021840010045260080000805021ab08040442800000202000110008808000048008050210040c12002b0014005a800102850010808000300708b08a42012240202208400b42808010308010500418a00a4041000820801ab0001a210800200040402000110000810b00b02100008a4820004080031041840041061894000805200011000a000100000202110000c00802802808802252000502800812a00202210900748040040402148340600b40002010140350400600058c10000008910400200000c40040400240040000102c4004080211014a40</t>
  </si>
  <si>
    <t>A35637_1578_0250c00110c42202000208100240c0084010a400000c5000850000221220000800021240080820040a41874024010294085a01a808448200012200002600208812802000d00148052208000402900200110000400902050000002800340000008802c00600000510200610c00000902308600010008848d10140300700c00000040000402252252510000e1800010010004a500042200140402340000010608610002c02a58110400802c50500248800248000008408400c08110440808610242c5210200004070045044040010a008000a10040208800008210410100800808400148212100800242800410942200000300948018000a40040000810c1041040040800000a51020001a04200001011001080025215020a000200808d00042010a0010800001051a048510200002110410300000042300110240508250002840d02018000b0094860040040285004a700110a40402308002208c00610800002202808058200b0000090200000211011091000204020000030840005860800014000001040080200005200024a44a000000002000c48202100210240010050c4000810220</t>
  </si>
  <si>
    <t>A35637_1579_811000810000224221020870040055080200804810004020241210001000a000000440040340240400a0000801204020200040030000a800040e02040150808142018c10a00110110200e0800a010842902702300a00000800640018640000c02402402040b00000908208c12000408040400700540c0281200020240200804080a000100000000c1001000841030201851a210d00010140600318012800208648040900000000d0044001a04280034804211004000010020a048002210202040102442100100900a4005801220a810108000000c0280080814200a00000800000274005841000084084a04200885045000800a040c1020095814080800044204000a942540200c18410400102240650a10412002810000010008400710040c0000a00045a000040012800c42010000908240200802900840100000900002140400048200218500202102a08008050808c5260a11084000000001860040240000290244231020a40004020030044090010001800000a900012400408808900000008300410440008040000212310608a1a052140448100210010042212100a40b00000c0</t>
  </si>
  <si>
    <t>A35637_1580_0640018800100200302108302642852102802012c0800081000024000040011030a80001040a01a052518940008840a00100200000940008500c0804040861020885000040231a04a400c00218000208010500200010240c10800000040400908a08010400100602408802008940040a00308108800418150142242008208c00040002200818708410810050c02140808608110200210540c42102442800110442442002a12002000040040000f00000100108018440c02100008000e00300200100800942040008040c0841044290220880044201040244805800a50094001080000290831000820840010200001010080800a018810c0020024a20001844010044020010a000512840410900842002208e4820840030000805a508010802142100b0040080005800244020a20040010090200004060820200020065800000020080a108300700002410042002248408002018000140802118a00440402002108110000200400458852200000150110502a10100048800000108b0285004000214244080801824010084000004040004a80880020210050201811041001010280051201</t>
  </si>
  <si>
    <t>A35637_1581_021aa08002002000648800010010540240012018100e02002000c00000010008e50802400608042200400840618010400940610710000c18810900048610400900412412c0020065210085840210020204205081830084a84034810024820821241004030890014011081a618040008b00108c1001a800802800000100408210600140400100200000110000002608108040010040610d4014081800000060001050250801050a018b0004a81214001000a200940a10000200040100100448412000040810210c00c00000002142110008200900800402900100600100800008012600208100a10a08c4800070804230001004861a000202a0211860080000880000014a40a008b0020811090011210880000061044094201220020010884a002e00042040100000e10000100000442000a4840011204801a110900810208100048010400100a4000004200230010081031001080240834001a100508050902248a0240240000804080010080874820001000011020801050a918a10010000c4284a008000012000d40000a5020a000602000000b40240012410100c00c0034010805880</t>
  </si>
  <si>
    <t>A35637_1582_0000402042200902410810800800410808810218100b0040a440800050040418800a08002002040400a00000858100408002400010008802400d0020000050011220a002040200140900a00200050500a02040700c08042100042210000018042800000a00000200500100810000140140718200058240502648108042900b48608100302210210210110c0804200a110040800152802040000242102210800c0090290090020a000200000902042208150000f0000844280820001a500600200810102008058200048000410008010302200900440140408808102a0014ac10900240a0020020801024245060004250010014000885000084200a000000050d10400108208500b00012000248800010400318000002102808012210110a00012e00000600600050200002c0010004241004060a100000802118908040040c42440102000b00d40000010900000002908452010400a4004a20000830001001000080a60281000004881084010065800081844010030004034081084084200010220000040090220040014800070a80004060800230280844030870084080020824840090</t>
  </si>
  <si>
    <t>A35637_1583_0300412840c0200a200508608040000402010002a00140240110e0a00210051094061090010000841820024821a002348040200f00000a0a540040210000108c00018410000a5800a91014081a800340052010700e02800140040000348000452208000b4291210000804200000280800a05080011001a81080210a04020040064890010a940000918a4045000000021041040081880050020800a00000081004001280a05814010000800001290810020221061001804090a34020820804ac0804010805041060080a64004050025010000044005200050211045000000020a000400000400100552000050042000202c10008010012000242710908a02010102502808400208450040100008802000300050a0044040000a500008200002c4204814021a608252008110600a00200010208408400000018000800600000040500110100800310e00900000910140000402812100600158600018400c0204020aa40152510c0820811010aa0060010010021010010280000a010042000c1204084a01a910912600400808110402300700408100340102048108c4800014230005060000</t>
  </si>
  <si>
    <t>A35637_1584_804020244220a80010a400012c00000600118000c10000802852440100040c0080280880040220010ac0891081045084000804240000004280204000200a610c0245005004804004800040a810010300000308008c08000410702118202000148400c0004a00005841814a040042100100400b18010000002000002000800208a5044000080a05a010000040152240000118500900840000242110110408d0220a000540250000900800200840800150600300840208012100242700200400812c0000800004220040004210290800041251800040051084230045a700012040140400100300a0804840884244081a548810a1820000220a910012008208042940500200150000102800850800010208100010800850042108110600002608000c08002200508000000110c0a018000600002000000240008602008042240400000850152000c18002040108218048100400040812900b1060060000004041004810a00200040005044240085861001074060804010280a000100b50040902e08018200108600208500900108112800240040040508a40200408840000010040000008b1</t>
  </si>
  <si>
    <t>A35637_1585_001065000024010a10001000a00a540000000412010110000042a40200240208102018040a0091040080030221a000008b5a100a00410000040848000140e0040824804024090820010010004201204210800000810220880014825010801004a41040280021001281050021080064820240a200510202000c00800100000e1200050070885014021011060800020800061810020840011010080040080011040085014a000010400800018840000802500800000c02050300002000a08848012910c40012010400400e10000608100258b08002002050442302000c1814a050000a0205a11200814085090000830001a100000248400440010400810100440400102848242000440c4004260000020250881081041060211001820060000050084aa0000820001080001290000010090045224080000a218012018c00a08040540100040600a18000002502142400418008010000802042008b08408002d00e40202112010102400050a4090020211084000881020200a04a00041001844280aa0000290000001080230a208000500012000000002908140010150e0000040020001880</t>
  </si>
  <si>
    <t>A35637_1586_024081810200004225a00004020040020034815a10880200050210204071040060a640800208010148d00000010102448100742810c00400100c40040202c0800020a400300842000000148440000900300708100250202c00200a08058200210040040442000510018408010502200800040200d0000ac50a4805030a018400c0810024010801821040a012d42440100418100048e0a800802000448800008412810008840002818808002112408000440500400848000102302648010440800440800a0804880890a25004000220041a20000a050402840050708c08010810110842210400c0021804250280000800a000740c00c5040000000011880004210204090201aa08800600010a00250640b1000204210000000061081004021a402200008000000100a0204004a118000618200c00c1030005000820011244204030224014031080040014044220260841044a000000000a1a00020001000015204010015040081061084000011004a61801801014000200000000854a440000400240708218810c00c10c40002042000c4000241044801a200210040c0040204085000a01</t>
  </si>
  <si>
    <t>A35637_1587_0100c1a85010800010030004a408810200a42002700c02000c40000008400a0004005800200080250800000225001004200254200005000ac00300110302c10c0804000010004020200830000a100700210408208118200102848802058808110012450202800300200000002140848140010600050800512202000000600a0801000244a000112d0011800044010a10005000044225a000902110210008e0285084044830050080805080814040000210a80860260a050042100018110808202000a4004860801004040091244020840001800004a052040000052410000000002048102042010010810002802858448418802402000242150048010212800000200a1001001854205011010001035010025001880080a040402800602e00800000150200808c00210802100002400000108c42040402a10200810042050400300300010208010a18112e02842000408e10008d42002202002400808002100008218602000100458840400840058010d1080080090021250020840aa08410802802040108a02040d02848340450000300408400008010008910200618402840150102b0</t>
  </si>
  <si>
    <t>A35637_1588_040081095000a008110c1000245241240080064800084200010030004200080801804041030210200001800a810810502040000c00300008c0240821000241000a800002148000058010658048000700000558200000200400000240602110900008840740802002008a40040400840800700000800c08142100a52102410c02e00000440048402a00048400100802108400100110802d00240142400108a0a000000000a00648700208040400208908500510100858100c42342612c0841004010244001200880800aa0841020010224080021000a400c02140050210a0221005000200220a30824ac08000040018250908040212812400800150000a4a240542d42000300000e0880080220811001020034a048c42800b40040118a10442000500a1a408800012c0814204a240100008008a0a000740908700200848010412c0004200a00805200005020000200250000064004200a100200000148e0004000205a412810148400400808040112200800202140440000250000000e0081200001205861054844a000d02200200200108200812400210002800808000c4000aa1001240</t>
  </si>
  <si>
    <t>A35637_1589_040a210450040908008400a50800100402140708410640012400002a00210000840050c0000200000a200408250000042008218400942652010440a0001220010880a000800050100200018002000900800248000042002110108000148d0001004001240210000000010245080080814a618410442c02810202100158000a1a00284024a10814000000240a450040002000008218408000100800202600602042040002002448408108a0011244030a000200840250402308010102d0020840a500040b00200000608040002802010100110a12040002302000448100610c40402108010110610100802c02242808110d0800084244280001a40280044060201094224805020000004001004080050030030024295220800840a200400412100a00800140908608408100a02002240e00008a4080224000a400000840410900202800000518100c1804220211a01290000864800080880054800805060080010000800010894080295200005a152018440c02100400310008210a48400800c00812202600140000000200218342400908042100208a4200030811000011000000804200</t>
  </si>
  <si>
    <t>A35637_1590_864880a940000802000100c0201044020204060210010a052040540000508200a10010000002a02118000110240150942808608400108810140200212150000c02a02d00600a10100200040000800502840118010000802000208008010600002240000100108010b00408818000008100010408f48042040a00900012008000c0050040011010a010a5000001044801054a110010210000c08200300c00048000010f02a02000c08600010c0040821050280881020ad0020081000821041840080240211211291090004280020080230a008d48200002208100008a00c0225251080091a04020040024240004230004a20000280084010831840200011220281230010001000020005800230010814000050800085290080065000080020851024804045a81014020210030224a010008002400400c02000402108008000102608a10612110100010100900040000108410a5010210200061070021080a80004800a050108b00400400400010140c08002018440500000108800212c10002300000000808540042410040018340000b1020005204800000210890080a81030000004000</t>
  </si>
  <si>
    <t>A35637_1591_8a08012450802802718010c4020a000e0001a400800010000000708208002010118050100c0a81064270024040010000221840000860844045050800004a008008600840200100008110410c18900408202650a08100000440140108400600c1080a040e02258200900012808100840200010110600200c00548040500d10008010040200052048810000440410008808000010408048042800800102210040640c50148042402008208402000e00200202008300e08000108a00008900c12a40400000848010208202642812c00010000f0005205080004231210810024020800010210001840081000001004a250318508840000002808008300200118010902400a02408a00548048102042000000d10c08440050a0080800011011200a152100b50100e00000040040000010550410a08800d40c00312002208040000040000208048800000240150400010010510640c08440800008100900200002110800140518c1010a248042000050500900900402412200248248008000008400002800242800400a00002008300002408300800142408850402a0005025044004090005000</t>
  </si>
  <si>
    <t>A35637_1592_091a240400b02340002000410600102302100310400000208102208200008000200012100000010112b18050442852400042410400400040000800802100a08802c0040000014a540218a40410010008148310300340408800808218608700200010912800858242600102000c10440012100a00700c10900c0800070220801041000050010a210408508a0a050000200102000702018100842802012000a1a20880240800041060010084280044820010280000a802002700808302000c48002400408912002100b40a00110048048000010200418040000000202000040208c0224a118058c00e00240500000b0034080040860204014001820000005a002942208040500400210210000640208018000812042502802100012018302600100800002002c08800042000500300442310110412400b0014004001020800081080a00004021074800a00010801004080085001800000894204011010840000054085210041041a000800100200410000450042c0020030070050060020290044010a240010a0040205200080010880044284204020020a40830000a040c1214010a41800</t>
  </si>
  <si>
    <t>A35637_1593_0610000100d40000752408808c4205000200064070041840a800e00100000b0001ac0005200a840000000100400400400140000408212848500000108248200000208542800118240c00400e10410102148152d0820224895204a800000808000818100440008042a0804884290040090025281080284000000210820070041020a010102042008018a40040010002000608d10348040012540000002010100640000c0085011000844a400400f0080a208200840000c10000110202410910c00410c00942100008200202840008200102800808002010100000100800002810c00840102040a00302a00000208842600110c40802140108040410018012c42000800300040510048000802000110402200102650840108348040000002010500f00100048008200a1810000a000442010300000000502000012200200048400808840208a08640000010800200208000c00a02800500200418900000a0a40040005040000020820084230205240040081200885240094800220034000a85004020011ae0041284044020a042110408002a1804040230821040821004011040001030001</t>
  </si>
  <si>
    <t>A35637_1594_0910800100c02212010c10208612002500002400010348c0001010084840a30840a04001000004a000a00810c10000800000240908400008102100200040200440010402b00040100008040848400208800540f00718c00100008000602208210010912040100440400c00000410240048240800050210900240a02310400048000500908940102400b08010002a0081a412e1045061200290010050a80040a240140008010510010b00400040802110000008c4200000240aa10100e08000c18842100010002400810e0000050804025020025001894200020040010000020090000820a00051800000200040081010810021a202000100202710c08100202010800a00502000508450010500040118100800648400600002400118008842000b0014a058010400010042200248200600a4804080074214a11251000200080220081a240000000812002142908248800100a00840800048102808112010800040b40040208400000000048900400910000810042002002200600002840010140002002808c48040410600800210a0804024040220831221801890200a00220280024040</t>
  </si>
  <si>
    <t>A35637_1595_0208008400440950408100c00a10442c0a80a100418110640000800810210800012050900802002108010240600c40000000258c00c00210400d00100202c00802010040940208112618910410810000208308000140858010200110250010808e00450202242008000400000400900100408210800600852308012010810000250840108902412a08140848800800200100100848200d00600208008518040002540040102010d00010240100402210000008148c10910008212000000012002002f4000014030090041001024a808410908200a0811220881804051010a04090030004014820800000a04054200014801000801004090014801880814061050024001a400000358052940200002010400000800d0024000a148818408640910400a02112010142400940000008100008500a12012008200440210600040040440148500000e00600c10200208218108c42842500000100002000308010800440058100200018000100c00100408000448040400200002340f00008048500400040402c18950008010248000008d1020220891004800200030000060a042640a1001a21</t>
  </si>
  <si>
    <t>A35637_1596_815804200020000054a200c5004811200200011280064000a10284a040000108842c00450408300040800000000000242340100a00012808902100040340008108042000600118200c00200000002040002450000810208000048800008400c02050040100000312010e0024004000800860011081040250030820220a81040800040294085844221845000040080084220220084000240040804010a800100a40402200140058210a0800000004090244040020a81a040a02008000c0875a012442a00008050010000600100200808102810c00440100800200602808000810000840a42100000900040c02400a08600a00108010050c0200a400800000002042808012048500348000c0010091800000025801005010205000851060800814274001024060810240250084001001810804020285000200810001091000a400040058310000850008110048202500300002c40012540058300208840c0081200030011821884200001010014860010085004090000080861000045a00040230005840201810204244000a00a400800108c1010080010040a81040281051000020011800</t>
  </si>
  <si>
    <t>A35637_1597_061080a042a0a000010c10140a1000004890a00020000000814044ab02002200308a10800040010300100108610000100000410000102610000308812202200c1080000014821020871840081001020000800a00880024200064210011a000c08608000708250202010200a1840230021824820821004040040234001a10811040280080221230041080040a51000000020a208002010000800202108000000c0210010800000820004840840240015004000010000284230884a000000800c5200050810020aa00348840800448842000100200640540002b02000008140040002240000010000d10200d1000a050400508912a10100e4021000810825804a502548002412000800200800c00800058000c00202102a0004201010865200240004280004000010040845010294241820070000004080a10860200000000041024000800050010065880040804020801001000201040010005080884880015044224004010811000ac10a00010100410602000040008312018000048010802400208058310440450000140b42010110040042440b00008042300c00a48902a0210021200</t>
  </si>
  <si>
    <t>A35637_1598_8850002510800840300000208010052000a48102c10910c00000c40100100400102002002040a08700300200818500000000108c00a10412000642000048800e18212040800902508100900202800040818000a00540210c1000804041a00800001000004880005080814820044000800205011015044041280a010400410008248010000000100c00c1040010000284a008200342c40100002000008d00200a18402c4001854a000402812000108102002910008000900108210200108040840002b02a02500900c00000000848b02452208412802102800108200000008400400000a1021800891884091050a000602f0014820a80200220000081071201054010081210a01800000a800100000010a00302808000202102000000c02010100802800058010002418412508250600000b00058840008000110008012800900500208202300948c10040a00002000810a1000a50010000041041804200a002a02240400c18002050000240802442000010400540940208202200040000040800012150008500800452000008140100052000100000118350018802450010808142200d1</t>
  </si>
  <si>
    <t>A35637_1599_080a24000040020200200054a200802340040348b00508012410100018010400808e02840000940440010512050052700a00340818210400040000100412110002000140c0231800a200210200100402b00000008050802100e00100000008500800800040108048200c0045080090080040001004a80090040a04a000008010800400608808608818240050400c40902000a00050008010000158448008050412910202040340518102400040300a00400c0000001810260a10204001064a200410242000600308800210010c00140308400c0021091044801000290085a010002002b00010318008642000c08050410100842240002808840740000518a00400148118210410a50000c00a40812208008002842142500810642300810402c0020000055280010804084080a35004281801820005204000010020080281290200a04045000844000800040804000200004200a84040034000801000000881004004a040400112010800048308048210000018442300000000b08600800040b0804025000850800280020a10020a108840008010040002440400402218400102a4014201</t>
  </si>
  <si>
    <t>A35637_1600_0010002850400100018e08e12a50c0004001a602810602010000108340200000400448900140910100500808a4a00054004051201081a802102a00102008200200408040002842302800040602002242008442210408808800c0080810031080a812012502a08042100808000002042008208400200018000800912458400402252540000110402800642a12810800248300408e08400850808800010800408052010048212040010002400810a00042040200600812010400140110d00018000040240a0241a000950040902500358140900808810402008910040400018040002502000050a1800080254020000240050094000050204805220050085020801020a110010108400000000508202218400c02800000402018648c00802800002900240550108a18418050048102000000050840100000900600008a0a000400a0034014a01881280845210080201021041220080014000a010400042808802602a00010400000058102c0a350010008242410c0010204000a000a02442400102000008818642202000000800200000042042012140a00008810a0801201000214014270</t>
  </si>
  <si>
    <t>A35637_1601_824800000014aa02000008110448c50000800102000a52040002008b42000000c0aa1000020080a010800150808c00600100210400410008400040308610810800602050800802240a10640000c00002300410810400410012002012342108018800d00b00140008110450800002002108600400300848942008000250400248400050200000000000910c4044020a312000c10a10000d02208b0000841870000881214000061800080804204024200054a508550818400800000008608200250400048810108400840442000148202258000410800d00c40800000900100c4200260080a542000c0040090084010800a300300840900a0810024801000805801054810800201000a210802c0a008000200150010912242a02000e00100210002000212140400300018040148800012308050600050402a40408800440212800402a10008c08048200002600000012000a08c0040004801205001861804254024234004a210a10c0000210000810240810280205070200205040040224080204881044861840840000040000220820020000080244a00851a100402008c50a0081031030</t>
  </si>
  <si>
    <t>A35637_1602_021a45010200080200240084844a05020000260a200818040110c0010010200811084014010001000041075860800030000000010880801884080090004810024060800020030045880081205004040821805240000000a800c4290824000040001280240020031080850021850050800224010040800a01004204021a00880084a102202a12440400808000510640900340008a12418010240000242408240042110100140200418c00010502000008008a0024a24040000a10a500800b00848100c4a002400000510e1a04060010215810080a01054220000a010100500e0800030004201070044004a912408040400e00640418802500808040100108000810808000000000400802502000918012400808448000200100000118a10808842102040100b10040a0a040600002008a00000850d4020080811080040240001090030041040001a200542800310240000140c12c00802040100800810202502002012400200048802940202008050208100c10000040040058018408002040008112340100408602000348110000400410018002a0000020220021a04884000800804230</t>
  </si>
  <si>
    <t>A35637_1603_0000010840100300652200000002010702002208100808242002002100000000e12610910542910052100202202112002000208a00340c0a140148a00102108402410010508042010110018208400740852100610000400500042a0200000024a400102800040000210802002042000110148100000848000140040400800302012c10700010400608e0081800080231001011000001000044284800070800001005280005200001884040091090a210408d00110a40002000a02650008000802000248800050100000202500102a10442618040c00012800140008100a00858002408908048100000c00002100a10418c10050c00000240000450108b4a842040000102400c00c10810c40400040140608008012100800800002410c40448010040808250300152000c02040800708010042000400000002442400310002c10b00010440000040c5204000aa58000a08002002040400048500000910a40900102102200a00502018c10002110408208f48042840400058318800100c1044090a00000040824801880210a140412800d0081a152000242502108440450012200002412a1</t>
  </si>
  <si>
    <t>A35637_1604_061220000020a800440c00440800412040a1000200020a01004060000854040801001004024000801060070020810044a00a042a00408040410800810210400000808140800000100c00202802c00242202100010c0040a002802b10700800700e00000c00010400400500842102108a0001210010a010542448808442118100000000200000002108a50410440a0a040008118040002810142000012200212040402a08110002000040402000402a0001800004020214280011210a018000000510d08000000118410002802902002008118002000000608a40140918008452002c00000502a00910000000140000040800000c08c10842308452008410018502400948202300800c10000740b12000110002808440400a02002200112010110100102700208002248000002140250108210a0250020001221841021020a000402040010000c02802010200042710208c0820001204804a04a20054060200040a002110500800408450940212000200e08808c0050814030850080020040230080250210001a010940108042448408058040050400100108e0004220004024800015080</t>
  </si>
  <si>
    <t>A35637_1605_0000200100842300018e0800a24844014025020011810281810080801a008808008850c00000340142200442e0001040000a210008e4044010224000020a600010c10812a08800300000800a1000200084800040080a800000008000212808652a02152840b08100800808210552240018600400c00002000902b0000821000a000500d00100002400040a02110502a00100010802440000148142500900a00210110c02100440400500248102108158008100100440840a00040540600a00000850408852000100002008100240902240018140602042900818700a0004201200280004011800004080010020800200080880001040004081010200094204a00250aa5064001041020210014880014280004a250100200042000800808000552200040210110150050502b0a108000c0001040240030000000210081041040200224821000014a04a440b40800318700842050010a0200001040000080281080200225a400200400c5010231010a408000010812908012640008100040100348102148900300008012d08812002a0021880814000030805a30890001004200030040220</t>
  </si>
  <si>
    <t>A35637_1606_0b0201080240001014a010302640000802300012008140608400102200140a0810000200240a040448000340002100b08840200800852010912402342500008e00400012100800040000402010002100300208808200842502800108252700408000440040010040010408c08040208840008c0080021a00024010a00a010000a0800010004271a200510440810102202010808018800c10408200000c0871040004000a80a048208048200040402010010710802640100802840012118040210800000148250008040208510c0084011210020880801030a000242008900000400a00010402700002c52802048a48008e10212c00040000800048e10000c1010020020a740d0000800291060200a700c00810010810008900048c0000001005284090061020010005084044a05051a20890ac0081050000810811014884a402c0881011031000040a802000a4a400508300012000008040600d0091a210052242210010700008e50000800808300c00700218c40040108000400f4001811204a01200000801000a140100008240010840240000d00a4021a00800200011080200005a11</t>
  </si>
  <si>
    <t>A35637_1607_000ac40810440000440a0805080810010014a000000000c00542900a40200518c00400010200800342000102a1a81200201845820010820004004830030281041000004020200035090041220044220a05a410008402000c50200148202700040000940c0081260060804200011010880a000e08c48210c0040000200a000542040042102148000010140248112040900608410508800000008b00042200008042000202a0200021081240884020000a000a00340640900440008640200000208100040042208800302008c40b0810800000020240014000aa10412200100c0810200804204890854200281004010241a80820a450010000048202010510002410b40100218418018000040100800040c1011241801250a012400a0010040044020024a410200018602100802818040400c08042802800010208000350808100002300040010448002910040042400f00208402010402200118808152200102200800500918500848010400800700910040008042240042008010842810000000b0824841800225a012442800010210d00018100342000200c10040040150402310250c0</t>
  </si>
  <si>
    <t>A35637_1608_0310000400000300442000412012410300002010400002200050000002010308b02a48810002008100700402040010408000058000400410402002040300900848042c00a02840012100e18808110000240200400a0080005274001244080020064840080a000008808052208112240008000408d40000010008140340000012402c40f42010012218050000400c00102410210a48240900008002448300d50a00400000000052210340202400e00100000000900840d1004010801211044000a050000148048800218042c0000a14a400010800040000000948048400612008000502a00000000818a4005004020804891010000010094294821001820024000280a20210a900200002150142a00002d00510000000b08002000000402612010608852000408248442500a0005200840041000201040200864000800085085200830800871011a40040040001005240050204004000090a40050020881010020810070a00080080a90004205010081041804001014884001001010a200042000800300c18050410110c48108442000a0a400440108002202c08208a4250204081200010</t>
  </si>
  <si>
    <t>A35637_1609_0f00842040500800440208200048400200150012000c12000002e00052000a1020825a040400212510300910a02c00000010002000800008840a0801820060080841200040024000000800804284030824270a41840004050020010a010b00042002040a00002000000008408510800052010400812448410000808040008000208842200000040800602000440800208342000318002142440100010500902010402402208010400600c10d1080010230000080a00004004814010000040240001220084220041010284050060024800211071001805200805020021880024211080a008000600540000802100818300018a5020040000234041210000a008800800808412008000408942402002040100318000110000010110008d42808000c0a058240010000410110442a00218b00008200002800040558e0054801000020824810280081084a00084011821200010084800010080060020004a800050008a4004290020aa1044044280005201040005040004004050ac00518010102242200200d08100008400200000212510000a0804050201a108918a1200204000884020010</t>
  </si>
  <si>
    <t>A35637_1610_0a02200940a02008100000812000012c4000000080020004840000a818210800b0860a000842108640100c4840281080a30014240020004000030090250a110400050942442240008800202a0200040080844080010a00a050002202110800200010000640340008c18a18000c02c4880020041804000a84000a210018218448800410500002200200200248040308000342400c40008102a00010400200240c1044010a008408700818402402040058110100012c1000220081811001801801a000640900540200000042010e00002000800202602410242102018000402200040440052408e00308210010b00252542010802a1281040090020000015841044020084005210000040014280000041a108d50040010100000008310100400010000112158010008c4800080021840a400010008c00040110040908140848540840250102808510812040400010000218600000040000000012508040000000a4080a050210018a00000a00802502a00240010400e00802002518140200800040208048400450800540802808008200200a4284000800210261080a44040044080824080</t>
  </si>
  <si>
    <t>A35637_1611_8442640810200000208600400a1a00080000814000040200281094234005a80004060085000014000091000a20081030000a008008442000002548000048318a52c02100c02000040310140040440a40a4020040884040804250080820201830064841250080a40081000004040044834000a00860ac00042c0001011060020804291000a14200a800b40418c1000000810010000a44a002142000018010c00a0001000a210600e00102000500800b00110000c10002010440850100800100402802100100402108008400010000208508900810818440240218408410202410040a42b08210400048000142402100250008448242900c48140008100210a10110000248208718c4000040010004011ae08342442110008a42008c0810ac42000908a00350100652a00010000000010100158002000102008000510200450100208a1054011031000800200015014a000c0004800000000210a000510a02c02c42a1a60000814000044044824040810014281840020a000010108000000002440940500008440200040600808400110010802810b0080820080094005240024881804030</t>
  </si>
  <si>
    <t>A35637_1612_0808602510008a4061000000881241020800050220010021044020200840030060040080200000240000025000a840d00800158100a50002050040008018008110002540f0000a118808010210900040a00000010040050810008018010610000440800b48100450818800802050a0a002240000c1040210014805200821855000081080284050090000804200240a24200a100818810002000050240408012002102942010140000210200002400100040010812408010800802010a0001220200040ab00108018000810150502800018000800000500d08b00000800010c4240004011a440d00200000802200b0801020880a000d50c0200040a41834020801200281a100a10102808900000902008a08640e00000800208200200118218440002100058100c02010440042a0a300700018402440508010100408e40c5210094221060a00000880010004014000a110908802152042010100018510200800040110012100110400400402800648008000250000508a4840a810000000000b08858702010602400100802812010508000002000a40152500d08e40012800500a5201ac0</t>
  </si>
  <si>
    <t>A35637_1613_084040044004800061800894860084004800a010910000610c10040140408a08a00010000c0a050210c10000c4a400208000040208012842002800050600c10100618c1000a10a040400108440800c00802440400000850400040a00008008250202912a0221804050010240ad00b40010208118050410400040000300100a0020895240000024030001820240060800021880861064a000148010010800108000900000340208000e0a01200010084004a318a42000040140140142200500248000000200102600442408d00100008410c00148a50800800108010410200200840908050100800c5025001200aa00710200002800800408040000300c00212100000a0005000020085010000010a042500a40400840908200050408b0200094290000020021010aa08c02100a00002710c12048000442212602400640c40110140002110800000002410a0220041240010240040004080000801884841200080090000831014040a10070000000090005061040220800261a100408402010902848042b00c40e02400a02002010218002002000102240242010140408000240100500b0</t>
  </si>
  <si>
    <t>A35637_1614_0010200000300000140400718200050440218100400040010100608042250510010210100d0a840008c0800004a80204080000821000804081084a012512008040002902640a0840a810708802402242000100000d00400002900248408400b02040140400848048a08212002010040018100b0000800000090280011080050800840264001014830041080001020000a20290050040205004804a240600200008052442900410800440650100200a0045880001821201020030a000a00040250042d0290a250008800a00110002010450210100c4254040224014a100058c40c00400800442000400048000100812340410000810802840018140108200840152c0a00260050004200800020021001240080a040d5200831200290080060080210020840090001a000000100a00702200000042110200008100900c00200040102048210010008448050a00018040018810c00000148200018000010050c00608800400000008012840200812050408548042102402012052100000018000200040200310408412112100002000000102410800a4025840020004241011000810050200</t>
  </si>
  <si>
    <t>A35637_1615_0a10200400248048000500800008040048800602108010400400008a40000d00040000410200000000400212400402c02b0271ac00000452802840b0004030800000090200010200a00004200000030a010302400800048950508010008418a0020000240a850000210d00012412000248700210050000000108040000000208e4211210804260200021804051020820004080800080005250031005a80080881000080210024021001001a900e4220050080041020850044030840010094000244004a80a002208050240100948842108810200000040000008510500410a02000540140200808000040100a4200a00041010000045004a11a000400b42018410102108740e00a48410400300308000810408008140140058040800040808940a0020040890021221000000800050281044000801000090031820085060000004a20060a00020a042902208012010510418810000900800108000110450500100842442010800040500002118200408840418100e0080000061890241085200001211a310a00c08000a40000400000008610d4090000801000880000290000000840200</t>
  </si>
  <si>
    <t>A35637_1616_0350000100e40010100a0004a00044080000051211014884080040000210ac0800260080210810000a800000052102140800200910410048040108000050200810050000c0001030850820004081000000800a300000440c00800108000808140240140c02100610000a40a0ac00600150500400a1280880084035020260860020201010884010050850201004220824005881004a800100248240510008000a0050060000a102000a0004804200214a00801024a000002400010000c00350200400008040402300508800c40302058200008302c00152500808140000912008412808008010008400808040108052042910042002000400110412d00100408900242a12042610518002500048348202118408010140808040210100600042010048a0204210001a00841090280000800001040000210225010a400210008802440902052400200a4a800100800450000012a1084080201004200821000a040e0810005080065040800040890010841080000a01280005a102010000610000648200612200d10c4011004000820291000060000000821004000864a44084000a31070200</t>
  </si>
  <si>
    <t>A35637_1617_0842c42050508002012800408210000000842200008508040c0004221030000000204a140442200412100400018800c0004001001000a202c00c00042400110700040000842000100810100c02100400008008a10b48242010140102052310000808842140000650000200402050302200402010100408850000010408f10710c00100000802010000208000410d42000018000000a50440e40008508018000600c4040035830090820000000040a010202018608a1200080001014a80884a00091040800a000108600c02010c40010042c00d00000802040a40200500040050510102950700c0021a01a410208000042000008010000000200200e10510c10d42740800008a0810004080000811040a80820000a040140b0801211004001a440140002200608e08440902a0a802048d00110850102000000212808040440040202052442200900040910000042040018110400110a08840000210100200012400002000b0020840810040830a41a000452800002000200240d00300842512000008210900600a0000014820820230020205290094005030041080aa48040208a4024211</t>
  </si>
  <si>
    <t>A35637_1618_0800210000600a0060a010850000142702840050508a0880891294081045a100008c0014040204000220834801040060a24014a000618440000a0090800800001284280284291070000804880000004835000a000500408040000250258b0840a048050842200400510000040012400002600200c0800280250000214080004001044004094840040094084284084000800a010800040000008918700118202458802042802040310300800040040110040010048402410102212600408d40840042842000000100112208010400012208110240010050400250502200802818842e4004030090810a440d10848000402000612212002200040040b08808c0000010031200a200400c02010a0a00800001005200004024000a108c0031805000240800260041004a648950000100640900050240000042002400018552810000500a42000400a4040a002008850000100800010002e00002140400842a42800100b08540100518610042102018102508440240000900308040010408002c00000210008400208c08802200242540210018800500900000412408040202052400a18418e0</t>
  </si>
  <si>
    <t>A35637_1619_000a018010a0a01841a008b0000251000a118202600410412c42140800000910400a02110902808610400018000400108102040018040240000000002410c08340a4080200090005a000008400c5240814000800085240a802148800140600800800402100002108008508000042e00802100000200042000848048302800110800140042140018010648600042408142002100000008800540202200a00040842c0200080855200820005004000280a20001060020000224080200a000000818400408048300010002212440008900040110908000802948058010008508052412000100110000b0220290000804800000034241014020a81000a41824805001054a04020000080884004000004011220805824080084020005081020a818010040000600510140c0240020000240201805084041200805844800025240000030004811820001001010000011024000010280a110102008308b00000210400002308210c00b4040201020080800080800a442110000050702400208808810a0080020000045a442400240040008200502a00402000858400408b1000081290211044040</t>
  </si>
  <si>
    <t>A35637_1620_010041004010211004081824880284000030a100000500800802c02018110208400a00900a42010110a0035080a010808242408118c00a02100900008000000e52202040040200000400800008010808052010300012000100200048500008042408140400900200b1840040204080220a048600010842c00a00900108c10a48410010100200100010000000c02e42202448018110c0a040a4091000080030a802802a00200000110942208050500000350108400240500402350008800000000000040810218800c4260240040024001010864a00800020010040081080000a00210011000230081041a000400040400c08800400050102902008700008a4040000020221000841000814020210810040004001000200010840081000000014000a300100300212042800100000400410540002000108002100408100440010208842008900142200002c0000a110c00450c0284220221024000040280810210a308440a00310848002000240408810402000000048a40042818240000000842a0800040810204280200204000241001200041010800004880000800010080001200210</t>
  </si>
  <si>
    <t>A35637_1621_030004294044801000811000200090080004a448200600a00010600100110008940402d00002348000210448008802000a00000010050002052140048140b00a00258400808048312410212010802140002340108002008002c4005044001820040841030020210251800801811200000031220010000090040085001080890aa00500248200240910000012000a4000011200820000090020204020a60024204000070a800008500b0020040220204240001010000804004815050280020800a000800018110300640a02c4000010215001021041a85040814810a000400002052800802310a10000e00010900040202108908000900300000100008712010502102908010808010248010848008008000340c00000008b48402a00b02002000100a0004220010aa0094264211a20000840000010024230004000034a040840442200040010c02c1000004a01000a608e00018000900340200c00408c00040100a00600518940810002100800012a0880a40040010000004000880820a010042340002008b0004010070880040240004800084224231000a10021081084080201254820</t>
  </si>
  <si>
    <t>A35637_1622_0000a4241000001244000801820201040811a000018012412110e4830020060804021005000a25040000040841a00200005015a100808a00900108040250108d0041050200885a14200854804080000a05025241004080000040890050000891a04204060000840821080041050010281200001004264a000200802040008508002502048002110910000800000100a5821001801004014280a900202400c40010000208012048b10000600500108102002a00840a1a040002158612000008c0010084a208600100800040140500a00240808118c10810100110010400018040000440800148400002018942100012010a08100040502848200308c1090060a400f00008018708400618000040002110108600052140700800048200400400102800800000210242458002c08808000808b40240110000808248410242800400400010440c08010c40412040802412400400240400400308402000400040012a00100048700a02240000448308008818500800440c00042302200808050440948102100400002010842202812402908540212802000240100000110e0004230804245220</t>
  </si>
  <si>
    <t>A35637_1623_0640800940800902218100700412000c08200048100008a00400000212102800200000800108000008a08410212002000010000708612210c5040001800251094200001004001221040041800040004210050221890000210204204020060080a24081220080a50801010ac4a452202818200000748000c4000005000a000412042042208040548100010402000108900118210000e00c00c08308110800008010110442a08300100648808010242208002008640a00d4090a800000508400412040100250200008340000000800800240808040010010408a0044230011021050004000801000805020004220810844a410250808110500100200a1004840244010011011220030001050040080831220060000a400c40110110a00802a40812240008240c08800800410140040010c0001000040240801041a10010a840802100000250808112a02400108102040200202040000940002242000440c4000000004a00a300810010d4020234020a00801224840010010040a100310a00400c08a00040e10400000d4084000000080010804201200a20220801884240280004284a00a41</t>
  </si>
  <si>
    <t>A35637_1624_8600200500040812010b08a00402040440000508a10002810000008200342100400442140048008212000c0824891230010000010030805a90020000024841000244201030080a048b0081804040010000a200000352008000702210040800b1801010080a000602800000810100200100018a10040240052100000300110302808000400050118410010440010a08802440008608002000400008240000048a0200280000040a300852800040802000002018118800850400340440b10a10408100940210148c0820a81044000000a400400040010942a00308700c1084020810010014821a810000002140100202008218208208100508a00440210c1844010070000020020044020044080a808002f00010000800840118408108000c4811200a00000060004201205200a300100000312200540000040202008210402400000300000108c1080201040020210200061000a550840048300010050010100942310010800508240000700040242810810202812b00102002100148410000448048400b00b00200010a00a1a040000f18408002000100102000300c1200004820000000</t>
  </si>
  <si>
    <t>A35637_1625_0700408c4080205050800054201a852002010048b08240810800802008050410c00810010100202002000440408850000800400a18002600000c0000a102408918850402200040200000812240000900040650408000840500040000400500000410402200248002300a10840c0030224040011040000044280004a20001801040241224081241840080001080000a00010010001001000044210000a70081a600040800000000c08a08208100200010402018808c5000264020011220001244214054004034040854004a442902b0a00201064201090000230024200884a050800500810402800008040500848048012000658c40000302a10640100c42042800000110108d1801201200040800014000820820801210881031831020080000200800010a100c00202000940802000218018000440740848100210810000112002040642508c40010000c0a108042000848210402000110400e10800000d00442258408408000218010940300450a0001021884284011204090020200040060080a040500a1060a002c08800308000a00458002000042008d10402010c00040b0810091</t>
  </si>
  <si>
    <t>A35637_1626_060040840224a110700208900802012a0005024040800004241000004820021894081000004205000a00001225010060a04a518810040000100440000500000008000052200000202810100002400000b0a208208018040000c4a102408000848600010100050000508000400800148140148808200400400c0010050010000084a51094211a008600008810812800000100e0080800280200231a040500918e40040600b00048e00000012000b0080001080041220810080800021a100010800c10400100000600000250c4010021060081810880a142148218012a00000a40c02900040502300c18c02000600810510108e08408110140018200318000840002c00000508110a0200284204290814050060a21084080801000a00030204a900842002400e00c0285815264021834800085000804010201235850041840a00000820040241080284004204004021240854a04001004814a208910050802000408100002110148240000802050408010042402c02300040100408202002842008100008e10110018002048040300210142218010800808450200000000802a0831000800</t>
  </si>
  <si>
    <t>A35637_1627_8040218010b0010030050080044800200014000080010004091000800241a010012202500000908010208800842000b42050210c00418000002102300008100850442410000018400d0025020a040600940152110002810000008000008200400200540000002200300100a0210040220225050070041a000042a08040700e40008002002210118008848002010a40812542d10908000000040a48702000a0004810050005041011024800844010820001201880a00001260030850081810240044200830805040011040040000080800a610410a12000a42000040000842800d5000a04810a410600a00c00242158042a0040004011200210070060864044884200a810052000000800000c4810001aa00600050012208840000208008240540108010200500808c0a04230080040830800261800010014041ac00100208802440040300010140410050a42002008c00b1001214000010004800010080804000810801800025241245250020200a20004a400010800842100400002000800c0010030080074085004010a002640a0010040881010030860200890040a01000294800091</t>
  </si>
  <si>
    <t>A35637_1628_8002e40002200802100810200058040d08240140418410a50140042902310800c0004084060000a61200010240081044224031811000045010000a81000841020800000020aa00048208900012402808a4040030001040a11000201000060894000a000048302040108c4a00014000004854200005a002412640310442d00118418c00800048200200310440c00400312240100148802810a08002212100e40810000e40102002010008010810800100010010000000840300012500808018200400500800400110210008140400052000208058000510102a0004a40000800284040011020a010012400000248248140000c00a4000050010000220000021200080200800800880804200204800840080011000a90000890004060040a402112400240410018000810010e0280251010010a002900840002002808002048100608008012900808a0884004010221040054084010000834800800010a840000208008140000c00008c4200200020000070001000060220a200800b4200814080001210ad00042010c0040025801000040020001010020000010880004080024821034241</t>
  </si>
  <si>
    <t>A35637_1629_0d1ac0001004804061080821000001080a040440800010048140a4080a202010110050050808a1810a008a0064240000800200a300008810400000010142000048000512302002450300a5a002010c00100248000100200810000058008408002008100c02110012400008802000848010202200040210110000300340000002a0a450000100100308f4080091204080060010064240040070a00060ac0805080244014021a102000e1000800210001004001020805081234280024050075020894080214040800801020011040204011851844004205080210001011080000081060004220020080000200284024a00a010a10018412942040100408e00200150200202250500010400502100048440a00a40000040548042010210008e00000308800112000408010410240100008008000210400a00112040900852c02010940b00008c08600008840108140002300040210042200000242510108442402048808340000e00002000200100200010200000810840a48640000d4040205040a208000800850850050302200002b00a10e40102540900108c0020800880000281240030</t>
  </si>
  <si>
    <t>A35637_1630_0818000440802040300100500018510200112010000042040542802152208d08140240850808002018818410810502100100440010402010110902848150700540800800102050040100202440000c00848000e00b0a010002540040048100710000c02142100158000252840940040010210000102a50100400010540100e02008010002200000e08050648500048a4000080080281800050201a01801000a200902340a42010800000208410e02800200118008c00400100840410210540012452800000102000102048410042912000200c00010000600202058610608402540d00118110100810a00850000040050800450c02000b00100000d1040a01000000004200820094a400050640250040400c00e02000400140048100148000002240808600000000240112942842452100010818100502000248018140040442008800010800900000d0220a25000260874000085204000a300600810218012200050318010140010440400002050000200002012800100400e00200e40040848000550800c0201081034820010000850084800040200240001044004011080024025000</t>
  </si>
  <si>
    <t>A35637_1631_0400840002502a5800000810000000000a842400400110a5000040211821081021021094070020801000010200014080800801040044260a000040942008210840240500008000108a00600842100c00008208e00012402400c00340142000608040000b00802140600000008002300308400418912802042202040440100a4a45841020080a400000800800d4210085050000804220080060030030000001a01054084011004a010100008440208a0001810001a000450002042310000002a02010940000040100440a40910600a0024880820804010090084221200080800840000200005000880004800000a000340300b1880a41260814a100c00200018100048202210810040050040800802450d00d0204880044030070840021020850000020000ad0084a408800942100602110000052800800000000000052a02812108048148108808240010340010142c0880084880004a81000831844081084210004004840010a802000400050000100a0000884080aa40712200602840000600212208f00c4200080040811224201820001214080220814000044020210040000040840</t>
  </si>
  <si>
    <t>A35637_1632_044a21805204a248040108000e10100900a02010000000000542940902040900608002012800200050308810002400400110200f10900010c1044a200110d10408208000000a00118800200c10440800008400608000002100040010210008510410c50100b0800a800810008000d42812008008000a4000040a040700408002042802100040010a08c0a000042040112000400110000c42a4881000a108110000040200100400210158600c1020201000a40061a000100200110002c00500008102002002010100440a00042000158002000e00200000408048040900000202000840102010c0830000a15244004000081095844280020020215021024241204094080014090040004080020020a200210f08408110c00b08040010910000002140902050810410000840000310042000408012010502800058008450a08000200042010c08402002800640248248810400010c00c0200000211030a00800094004010a008040840c0014080a400000818c18452148040002408a40440100302340418400218c0205090830000a000010018012400158410400a1240004290000a74000</t>
  </si>
  <si>
    <t>A35637_1633_8010002810200012008800210818100040008140918242210540600000050408a00648d50408842102000542a00100440050040408140840402000000410200e10008042008000250800000608002300842000510718c12402200818208500102c50840700000418100602018100302200450810000202512c02808400000440000410008040418000212e02800a4000001a610040440800c4031240a210048a1280080000a31840001840241210890011220854201a102c0010221081000800a94290a800418000848000c40200150108000812c00452242042012110102000c00040800000800000808012d00900500400610010150848108350500802808100440818002818012000000108110200808102208042148200600008158a12800000000000010f1820200010085840041085884a40200a84021a108100050d00e0080040080810220080210025810890080860844000221050020014a84090030210040020840024011000021a200500240c0210010085234000800a01244000824220800840000a952a0220821821001a410010840a00140118040e4040200a11a00200</t>
  </si>
  <si>
    <t>A35637_1634_8040a02800948912408308000000d0050205064a20001000285054800201a41000004080040a000250010048040402000200500400112012c40248018100108450802010200a1821000000040081200004050ab0864a04095080000000ac0000a40050000084810020015a00241000284801280090800041000081200240000ac0800200090020a008000648c0040221a140800108a00000008a0061821041804ac42000110058000002208802c0000a31050010280800084090a042b00800210012002240012008202012102048048300c00400010c0004890004220830a042010640810050800840040110100108200108440840140e00040708e10200248c00000100108c10112c0850020000801281801820810000020005090005800001240020010a418010002d0004881204a210c0200000080214000031090a008000d4a200500210002000800400000008300802242100000102400308600c0041010880224201850a400010108100008a0024a84801020020841801080a210100440200018000018208000602108008408202012d00c0020220281841000014090a10000000</t>
  </si>
  <si>
    <t>A35637_1635_041041044080205000841030000091004a002000310050040800000842008000840408500902842200010040408c1010210021200000840040200201830260081a018040048148102c00800810940208010140418002008000d0030061080880020080084011000800045261841000aa1010011804240a002802112218108100408800700800052200800042500700002000010218e00100b0a04030051035020091284294200040044004040040a000400410300a0a400748000000500412210d40048958402818108602d00300910000100802810840000012450400000002450a0224200060841004a00080001260021094200000200000225a80814840200004000020021830084a000b4a948140900d00c40400300000400400008002c00a0090034090835204a000002058010000a02600902400858002000442412000402200008800910a1a04200005020040000040a110000212200800842000840c00200208708c00408110702a00110618100a4001284000a108210b0000014244080a502400a4020805200091045230024001014260200004091024201000200800a04021</t>
  </si>
  <si>
    <t>A35637_1636_0500c40100948108308400440250100000200348000608002c1040220200a900c12010c40008240008900408000850808000010410208210100008810240808940410802408000048000050802510600800012c00150200500a00200618400400418d00808200200808a08210840302902040d00518e1800014000201220820244001030000004020844200011000814810a400240200100a0000a208208a08000000908942012510c02210000c4200800020054020290224014801220040241811030001a402c0040044290004080244200084800854000aa40000d00050010000102348100010418000000402040208c00300048440500b08010408418800c0004801804a80090220040000005005231040860a800408150310900f00a40002042812548010008840402840208000000c10a10052a02100012408108a42002240012450300612800140100240000010212818050648a00042c00808000040240a02402000102040442a0010a210c00440200d40440058610c0001000840080880800030804061004200810010000024a84280030884050000090a64280000894020a90</t>
  </si>
  <si>
    <t>A35637_1637_8400010100200858000408340400050140a1a00811010201a000508250600708a10600c02100100040310c0004084020830a44a010418c0204090201240000080020015000020001a010002200110400912108a00048000c5040000241840800081a05050220a408108100000102040002000000a0081000220881200010884800250084a04a000010310852400200050440900040000012002a00048600202210c02700010202600008410840902808010108002858100048040000c0025001084000010010a008408048000442b40412010048208010142010000608818000010e48840102110310a0204024000800090041020004210835244221010280000000005830a21020080880024205a052000002400800a08b00140008708000450000a12240400048200c12800110048008240610100808008300e18e0a010d42000040100200100c40040c00040418e10058000000800108000a0040221a052002818610e00400208102008a40000000942040002008800200c08048012c0000000844001041a20000200000004261051280a112540002200000a5020a11060021050010</t>
  </si>
  <si>
    <t>A35637_1638_0e00a0210050a84014880060060080240004061200840001201010284031000880804201014020800aa1081a04201080210054011044804a40024a00800060000800094000020000021091a01800224201800a90090844010050820a408200100408840102000540108202042100c0a250442100050a0014010000a21200860224000280025000091000025a940500218300000100600402a4000001000880a850002000902200410c18c02000000812000308d10052000f02300102110800848000440048542210810810100c0011800021820000081200080264080811001804260a100242100500400d00a08002018810042010440900002100208c00200850e08000300100010c12800a00a0010000804040804040001a64201000880201090a00045010800a008440108058040710000600002040212040100808008042d40b00118200042040410800002048008008018840200250108c18d40400500802810300000002402940100000418200140e00800240000408018c12e00900000000100010800800402300800152700d0020251204280060041090a05291090800000050</t>
  </si>
  <si>
    <t>A35637_1639_014801880014804004220001004844084814810001001081000234000a50800024a800002208100040d08050c02000000b40002108850050000440010000000842010100440808340808902202802a40000000008648450000048850012910010242840a00240640018300c4a00050800030241805061041220a840010600002400402800202100010010400042100200208600302040440800208300808002410c0000090030a010008010050048812200b00202a50110902040610a10518810410f40000712a08c5821800044a15241090034800ac10202918400400600802840500a40500000008010c5000204001040010080080000200020000040080a102400110000708200a18902008100040410140a00c10808348100600240208400008a40200910000242040200a1050a118402000010040800240200408608550900048210318040008400840b00202600250010c10808010002400808800040148912408000708010400400250010000018210d00402a00018300c0aa48102e0810000081010241241040085004080060204000040804211000030200001004204000a00</t>
  </si>
  <si>
    <t>A35637_1640_0108e1201200090830000881024254014004000220050800211210a110000100442000440202300042400850210040400800110c00410000140802a00050800142a0040224080a650908008008440e00100000908b5041011040a042108400052400050000000218a00642208002000010000618c02c40000900300400200300200000902158142100810c40d0020280840010000a00805210020060240800084005010800001210021a800400000140200010018010010402818018000000200900202240000000a5080090010280201070001000210204224240a308e08810040000a5061830001260011234804804010011200001084800804040800000285204000800220094a01000220a10820080030801a00024011814070030224044010005a000c08102018840640102048800e0004810060a002602908802010840002810000018608400c00808300300018340a0891214200a208c08000a0010000800804880094a200400100800100010300240400100910250600b4200801220010050030004224a410008b1840aa10118c08000200048500200210800112140812140d0</t>
  </si>
  <si>
    <t>A35637_1641_0010040402400100440108002810150802250210208a0a010000840000508600548002000242008002a00018200500a08100240010102602040408112400c00300002900942258018008042402542a00208208010008400000202018000a10b00c10800400350148e0030221880204080a00840050a010802442008050508200010840042250200008410010d12400110602610000010002c0080044000045001001084820021811041284054064004040040060024845094010000a008052018150800a0000820004000a00040a000112800400600802008200642200742602040100008100508000000500c40002448408202a1000080205a200010008002002908200400700302812802008840050d00018c50000408a00202a00c02018040000112002118010000040342900000000942000140102210102000940048402000a00010900a0000894024a002048000500a00002540010400a00010050812008002518510000200050440048140008a00002800802a1001080000040a00204204230010040000041044000850a00040064054210a94061290080080800030024064841</t>
  </si>
  <si>
    <t>A35637_1642_8018442040000100308008002a0000000000214880010001000000000060080000a418800000018458c08050800d5040a202052110310802100000800008800a4865000080820020060810040a112d00842210400802040812800a0014010084004800004081000011001040844020200800a408e0a000100000010000108a12200c1010090a000610010400000940b42000000210648400600902500800c00048000802142018000440600c40342140210808008000d1000021020a308040212040100212400b08508050000a00848200110a08208102048142142000140648100200202648200800002000808010240100300e0204040201044040061a200000800802040c0000020004014011024010840881805064821021080840081000000020204890084a202112100800000c0804001085210080050241000a810d1090030045000800045000244880200011050004081210000861000810000000010a14820a000100408c1264020a04800040a010402c40142500000208a00800f0001000030005200891000020a612100b00400150140840000500e4a01011204001000011</t>
  </si>
  <si>
    <t>A35637_1643_0202440040442a00518318852800102400200602018900018402842058600000018202110208000210608440040002300a08002208a52042002400052042210808000040300912308000200002402000102340108502248040448018708110a5000040024a00015080000220001094011200021080040085070020050880051000000060030221821000200004000a042152010c00000140002252210000c50048400600240408d10810400c00202000048110600410140808208400008152402902002a02008008642a0a100a0014820850080001040024020a010100042240112440310010c1014840280224021014010800881010030020a642b0001801a040000008440408400002042202210002210408840400a0090040001010200241030004840821001005044260001800a00011a850c0054000200020860801040200a000100908850802110008008000000e0a040152000000202300e00c5091240220200000804020000080890001a110008802400508100600600950a0a802a4810a040210108008142200218008200b40848000602002400100818c40000908100402c1</t>
  </si>
  <si>
    <t>A35637_1644_0000008800040118400a0015200080204210801ac00a00208800040008200010200450d40140140402800742c50910002040502008c00400400d40108050100100008010200810210d18048a02840102348002000910000050000110600208248000810102b12002010608000500240a0010a800510850000442300000600442a50000a48300600100810008440100b42202200808258040900000418c10800008850b0880800020054040250070800050881024a000050000000100118850048802100000040208210408d02c0820030820004a81201000810a140400402400840e0001061040071285001200221a410800500052010200050448100602802000002340052808052602100440040500408500208852200240002818008600812a00042142808a00412040000000440110200400100208a1001820040084004010804064000800020200200280801a400000c40c00008150500400500000c00040202240300410002002c40148000800112c0894084a10200030081040a140000202208300b00c08100a08040150e00800600010c0030804a00801800200050000a11000</t>
  </si>
  <si>
    <t>A35637_1645_814040080204801000010000a058802600110600010040218000102a0004a00021a45010020081a048010052440000340008008808112018500000208600018b00010c10040110048100c40002002042000308208c00440010848018600000110242400040002040118442000040900802052c00800202140800802200108100018040f00000408800b10210040000100540c10110018000a4880a01201850825a500c00000158a0800a800c0000820215001094040200040a15a00010021001840000a90011080094080815000a200012000c1a810000240040618000012c40452000100240010908048100340308040000000400000600210000000a50202000502100008010c00210100f02852008018002200000800000000000342800950000208008d00450818c00902208002210a00002000d00000108600100202840800012140210050812100a00040000108f0220a05050a002100a0060080a050902048048100c0805240220a110140c08000e42c02200b12000910300040900008012142400040e08110000000000000000a40102442112210808410010c0090800004040</t>
  </si>
  <si>
    <t>A35637_1646_8240040012100312002400640212000202808100808440a12500708000200008140002050c0a94800031000024001004014840030800040801280010804a100012000000700240108c00c18400002008310102200400c0080204011a10830010804084040200000040001281a11080004a24a91844a048840502002100a10200410002a00200000500902210000048102208a0805040844054091241210094084210000a85200000044004000090004010040020041801244000204001080280000080004804a810110808400040200100b00000a4a012200002002d00500a0800000004a14a10820001800280014041091080001215044280821a200840002810240102608a10608048450a40008200800208002040008110008008210008142000a08440008148010c10100042100100002600400f00112200400752008000c40000008208c08018c02042240400510a1001201020a118242d0084840a042048040102410702c18000400a1014a908142000010508300108010008c00000848802200410c00800140000a0041860001a44041000020040a910000c10402200008442d0</t>
  </si>
  <si>
    <t>A35637_1647_0210800502640802410200200052100002200258000e18800440a00110252100802400010a0831a008010c08402000000050610000002c00052042208250108402450c0290880220020010000010040090200000854880011000001021800821a41014080a100040100012202c0020225800820040a20010200020021a01020804ad40c00b10208008100a0204044221a502008352e02c10b00012008200000208800508102112300a42812002040800458810800010510000000002000050200412000000100000b40400c0010200a002410c00000810000048108e00910c10042240010102000002008400d02800550a00400042800c02a00010000e0004004004024874010001000840000281820060000020200200881001a100000802002400048050418402402002240140018308602800012848940000800840e42000800012600700112c00402200008000808012200002008000010710602818d0000011014ac18000440842d4010270020021204241000a00045281095280a85010085210200840201000094005040001880024080220000a000210058810002f0024055830</t>
  </si>
  <si>
    <t>A35637_1648_8608200412508000212108050248010040108040208800400810002240208600b40000c50040a1811240020a000040040110642008208810512a02000010500c1a810912640000040c00c00c08000d4084031840800000a400100902112810d0800a000000202518a00840600500a40300012810240c4014204000061200030044044020a80804a21000a04080010a010100108a48802000008010118000500200000240148100010002c4081014001040040030a012452000018240808312000100800350240d00202010802400100602808900000010500810008100848c0010060880851a010840800400202810110410a1024000020a04224a108008010402608210608208140800400100050008010710000802300a0a400200400802042500002140208200840010a0014204010004260000040000200010021041a802108000608a0840220094014224a040408800600012640000140800500408000400800400200210a0800000214a600508512048012100a5040a40801a410010000218408100800050002842100208000008050d0204091854010880824000200824011200</t>
  </si>
  <si>
    <t>A35637_1649_0040000440a00002108f0004040a100c0000050001880284205084a00a402100908000000f00340208000802808102002008012e00a0000290010000020001064a00805020a300500800a08218050008100048e1000021044004005211a410200010d40000002018108108a1a40040800220000804020000080000800010064005284080a85040860010220011230a810200818d42052d00800808100908000010000000000300500208802c10840140042408510000800008800000100010652050448208008b10e10008100e42a00500600010608450140b0004040841020a150e0001a30880004000880000010004200084a010512848002408d00200c00102040000410000400e0241000020a01821011000005244811231001005000a00024000801851070001a052902048000800002a00002402210108a0000001890224290804241010a840140440012248400048010840040050502010600800100640a42318000c00240002100a40002418908208000300000518100002650812a48102010808300048002740100450808848a00c00a00a0001a500000c0a500b0204024820</t>
  </si>
  <si>
    <t>A35637_1650_001004a000008300448400800e50140908810018600540600010240000048400b0884015000024200000010021a44020084a148c00248008052008940302e0024800200050800271030084084091040094041281064a040002000010100918808808402902800442410500c12800b0a110400010210800452100248542000018000100c00010108818242208500400010448600800a0000040810021a800010c02410c0000830ac00a5000200004020210210820a60800044001000050010880201000800210001060060a40044200005020040000a000100240200000550050852408008040100010c0280020a000410810408a00842108000000800100440000200210250100b58800400c40010000418242218000440948018300042010412408002200d1004a810800d42000402600410812400208048012800a00e40040308800100508c50c08810a4015064801080ac02140000a0004a60814285280220080811020080000094224000831280031060040210000a20080024000054000801a108800902212c00002240208010c5a20a942140840000d0024020000000200260000</t>
  </si>
  <si>
    <t>A35637_1651_0000e40012800302050100102800002202140640c0090020080000814000200050805a04040004810001800084a800048952008a1040000000004030a200a00400040540202800100008b02258d00e0820a050800350800840c4010001a400208602042042042108900040852100c0204800a110002440010048800000000410210100000040240000b08802050900000202400a18000450608100602008902200440042250000410100810802508b50600410040002102800210048208a1004850000210044200005200000080214820200841045010000810020000010200201034081000a60804884050000814814080820001050000000a40030011040081200a90a048018000842800000808008118200200002500800010410010408400e0034844a40060005a002202212300b0000a25a500040000508d00a0000004004221204821880824004080a000700a08908a0210020000a008600542010010200800650000012a4a040002110000a00550200540000002000118a00040402408800002400258240842400910040000c02008000e0220020000034000001054280840000</t>
  </si>
  <si>
    <t>A35637_1652_020000a04060020000a00800021800000204000090021a440902148910408318040400010142810048218002800000500208210918c0200040224010a010200040400042342008402010042c0011080a018008010108242c00042152050100c0820000000000254021004284a41060290001040800004210244805011840834041045010aa08208000452402000800240000900e0005a000002010000000812600010000840342208118040010202812442a1801020a040148000600418c02010050502108008e1810a40004000090210090001a008000440b10012200240012802000202008100442210042400012208100352802500148000048a00402240c10c02312200000008040042948000308210c02000c02840040000800408c1800000001800010810000880200024a200200d42808850200850042c00200000010008040010400010210c0080020030800060a200000d0000031040094281284200820220810020060200010004800820801060205280aa4050021840060811084805825a40044201010020020255080810080010004884a05240004800004020200001800</t>
  </si>
  <si>
    <t>A35637_1653_0018c1a140808100202900800202c40548240002c10010400002300a10248800000a00000d0000060000004800a010802358000008210008810900350240c00800040500402802402c0864084090000281a04000091a202502500048248200c08440410800800100008000200800800b10408000808402410108840402200b4001885004000014260000a040442b00308400a00008a02100300102248b0085004010220220000200841261a040a0a00801081081800a400142810018410000000000842048442c08902000102a40a0241a000050240440802018000310708240002900250240000000400040402010002a00810400000600040008210d02a5080280a042240410102200c00000300000500400000810000002640c1001280241024000010041000040010094a842308200200450000508202010118942000500000848100800452208410e0210850041881080081080a200440000350042800e08110500800002c40000000040008300100c4894020210a05021010280a802442302100a0890880250044805221000001001a00040805005200804020010004010030060</t>
  </si>
  <si>
    <t>A35637_1654_8408c10000500002002f10042010102048b02002000200008400200800002408c08008510840a10608008048000400000a10000c00b4840a050102008008000210a40442c08248050000002640d12c0000044800000a00000000201025001095000a01004224811040000a000002842802012000242018800900018440900048402010200002400010910408142408142400200c18400000a00900408010212c12000400940500208002a50002000a00010000a00408140540040258008300a10400440308018408048208400c00000000010402800110008002140610a00048400840852002a10000210102200210400610040610000400108000010542608002200000140b00c40000540902100210308200050540008900308208810050000442000158900a12400400a0a00a108000448a50c0090200041020001001081040211044080010040a850b08200240400000252402500042012318a48e1084000820810810014060081010014800a30090000200200a810040400240000d4000824800000011000280210225044080831021001010a012100000900640440548a10002c1</t>
  </si>
  <si>
    <t>A35637_1655_801204200044281001080000280a040a00300408110450a0040040281021040021244010044804020a010a0a040000a00a0000000000004240020000a440a10908012000800058300010118600540008000008000840c0a810200200408000000602c00100a00050e00800c18002108200340000008448112300108400000210000112040300000110e0081290044030000a51001000001040a042402818142048040200210600e00950010002800202408108112848152a4001800200050804840284000045000060201005240020814860030040a00204800200061020040010200280a65880044041a85000001210800040000a000002050052008100202940300012040b00c10040800100800708a00000c4a000000a10710400040840000808808002200040858400440848212c0030060000020015225811811a802c4290020800050014081200020884240010010a800900402002502010150240110200800218400140048102200048440000202802800440300300a0001800a010440200212600000400050248000450518d00000412400b00202200e4200210224804200211</t>
  </si>
  <si>
    <t>A35637_1656_880860a10000004024a000000818402002008002a0080805805240831004050011a050040508800000400008000000002b1010000040a800040600040400000100402c1000a81021a100842640000802940008108800042110408012108800402210c12600348042108408002002200040010510510800150248918400510008800010e0010010a210048202440100a0a44051000204010000234200000050a00050024000a300400842018012a4800000240014080080010811a008008e10010442002840300000000808012f02000048400050e02000200200300108f0a24a00004801045020091800040010210020000870004081090005010281080000a04050005010820010804090220830000a000010040000942002408408100042000802240510010440608c40408012018800042240140000000210008040810142902a5a00a100808802012800a0050000030a642500848100102d10110840400000012040010042008810008350102400200018800542310010100410000040a00108550e1020200000000090864040840084a110c00200752008c4240044060a00820000</t>
  </si>
  <si>
    <t>A35637_1657_0400010940840850010c00600240040c0804060a108910050000c4800040220015000a400508000502010a08a4000080805241810820080880020a910140100200e00000608902008900402008000002048652410018400000000300200800150208400040010142410912600040008852100418800042940d00200308a0020201a11000280000a00800a010910600a4011020804040801210001a00080080084a91000000000800060000094030210040200005881280040200a010000a1000000200084805800015205051080200020800840080211044a11004a410040412400808010002b00a00202510048202010600002442900048010648300840c1080014084020a000800842000c0814010080004024210004220000a400518450810302108040008a00c18010040118012400210800042c0810a41001011ac40800000000640200600840c12800112140100610002110c42a4a108400608040110102800000410348812040b0801801880090a40010010800830021030081a000500152440410c40802812048a0020000841804a45020a00800a000100040000400000402a0</t>
  </si>
  <si>
    <t>A35637_1658_0c12040440c48308500008200000100140b00408a00048812402042100118100252002c5080001224a100048040800102802318110100440110e00218058000c00000100d4080254810001a418052d0004811050004024200080020240260030a000140108900600800a02448802000200448200202800100040940140418540208142800000500400048018502e0a250000800202018c00108008200a10600008002102012102010400a12012402240000008408000800308808018808a00802402402102400a1000044085280010844000024000805080001820020030804001224080810040000821000000000a642c08400c1094280220014810805825041044010a248100040012000a0094010081045020894210a15000ad00900c10040408010440000000212000400000008800f1041010290284830201800000841010a04001a40864085000220800034001820004a412148850000000400c00c42142040000a00248c0010010000a400508c0880891004020060a000200000100242000250110808410100402802508b1054021a01210081800a808042400000c4804211200</t>
  </si>
  <si>
    <t>A35637_1659_0300408052c0800a000000000248100108b50410000640c00040000000100308840000040140018058400312200000002a48218a00100810c00142908110400c02808400a48000102008950200c00008140052918612200040008302600000600848102b00852012c10042800410548000542a0090080a540240012202408808400810000018408418012448402400008048908040410042240000542a00008800802802050018000102402850f42008040600800008c00402348218110800000940002000018e1025040801080805000220044045015200001021000041005080250894024a90844a010002c08140000400050e0a040000840000618c18810410402210102200108250000400200042910800440500500000200800410a40840c40900140b08110242040008248050118042400100002000200d10a10002902808b4261880050044090200020810081091000000080004040000800821814004a000200608008840010140218040200100410012d00810240d0004241844020aa48012a00c02200000902200502000058000c40300b0200840004220005284200005800</t>
  </si>
  <si>
    <t>A35637_1660_0600800500a0200011011040041281280005000a21010a008012400008340000100c00002800802110a10d02212002048102400d00040a02c00900158212200850400000000248000708210000c50100940000000802008100c02910052e0000284a100302002310a00002208040000308400010310210c0020030004000885a048040002010618300208208002c0a040102110002002812000008212308642400450600108202000900800c0000820a000110240c1000290024020010000240040074210041040041081090030215004020841820214214000a400908102008800e40102018c0824220a000600200040400c18012450000912210210808000102500a02050d00010000110848a02400800008e1010020a108040310448600d5000021a04260090844051200a118240000912a50c1024821a008000002608400100012142000640400042000010450308040040842000000000118002010100108102040118c1000280280011040221000020a11040200011830001001050290034a40200824044841024004210240080004a802a08110000408018008d00a0011804020</t>
  </si>
  <si>
    <t>A35637_1661_8a4a40204020080215820020200850080804210a018210210002800218048200942010002800048300410b40200840c40040300c00000452c4010a000300900100a1800050020860001004ac0201290894021001060801000090a002102400410848112000810200010c1a410450500000000910208240002040300418010100a00500148940110810500042040702002148000608000010040000118800240802000642218100400200600102108010702e00248802800800040150808102402010808000252010a0804810200890060020064000001290210044a210402440100208308200a18002200400640212402a00500018002048808310400310c00000d02102010000408800042c4221805080090001001050021a24000824a002900940100302010000408000840208148500142602012408840650200218810000600010400500410442400002812002100400050802700040440010a52008800000102102100002c1044084000000000805880a852000a08200c0084005801220a000118810100212500302002048200240058800102200000200a00410002c0804815230</t>
  </si>
  <si>
    <t>A35637_1662_0d58a0200040000a000a0015245a000800900740d08700008000842950200500048410c02008008000000802c0081220a20a050110f18c08400548a0834861020a402002100000040700202a1a400242008208c0004020004010081020000020221010204a340000500000200842900802448500400210c0020000045890080040204030800021040015860215080880a20211060044280220a040108200000e4001040811255a610108008800a00150000808002002050800908440808200202c0020804010081870080a050002010352208a48000500040040010008d00040052100808218400108400100c40b40000008a00018500840100000008110040800002300042010950c4200210080000020035004a00200080200a500e00a08100048a00410408602810450c00000040a0001a80000000814804840845201041080080a212a00e02440410000810200910c0a400800242002058200008800010300240442908540200400300812200c10108600042302108010000b08c10812100200608800110410c02042052012310518a4044080a01004a01020240804084001010020</t>
  </si>
  <si>
    <t>A35637_1663_0a02800c0200a002050c10140018110d00108300300c48200040002010002800640012002042002110010018402c10148940440818002408012c0215011200005000a04010880000220000004200200210040a200810000c0200285805880020201044004210a20080001024804050281001010011a842000c00012500000600c0a05020a01a010208450040002002012610c08000c4810010020844070001a200010a4814031010001a40000000005041211001020000224081040a700a5080a040408a00442518a4001a000000248000010502040802900810008818008048902000112110d0001000801204210a002c1024041280080004000281000a442802000802012000802a4885224084000a018c00800400000108540010e0224050204284a300a00100408802008250058200410800000b0a208602f1000821000044080014810020000800014004024820825044014020020000800050200290004004001a010c50410800100202040100202210112100810000508308400100400048002210002a42500008040452118c02400000800002210b00000408c0020291000840</t>
  </si>
  <si>
    <t>A35637_1664_8802c00010402000102b00058010000240300512600908a08800148042202810308000000600012300408400058100000042240000850208450900000300d00400242802000102402800d08010000040042412000108240100548908602810400050400100118010010a40800c40a08210018300c18008000102050000818040840000642252400b10108a48102400a08000a1030040a010202008508500100040042008348012c00a0041884014005200051024040200050080210011024220a010c0000a25800044801081210090810201880a008040b48040140800010e0084230201000000004004080040204014801034000084040004a05241010a20004014894801a408410200010600908440500108042402008242100000c42200000008240118200600602510842000200400a08050110040048708800408812100c00000702900c12a0250004a008040908040a0a152800000000200a40000c02d00000008400000408412208202402300208248c4020001215001004081050200000275820004004091024a108242c00000600800a00b0235001084201a14004025240081</t>
  </si>
  <si>
    <t>A35637_1665_0302212810b0a200400300c4884011200004201010031864050214880864091840084210020001005000040244010090000810241000a200000440202508000512000040a0290200a410018808140c0001860030044001a002000108152100640400d40108002310710812000052002040208e08900012010002800700410902410512800a0a052000602c02012000010500008000c4840030804060000830280a102400158500918050c12800708b10010000000408440808100000a10000040100c00810500c08d50250500200102042108200800000040a0804a40000040a44004a00010000890005090000220040830841024240004880200a208050452400e0200a000200500842000102850402100218402840408300002108842418c4000020010250000000080200000040201801840a01044231000050021880000000004820010040280014024001200201040040800040004020811800a418042908a1820001001064080080000000201000200014000004a242208840e0001004800a210208012010100000200008018948a1004010200850041011ac0040020214070800</t>
  </si>
  <si>
    <t>A35637_1666_0208a42000242802140000408812042208050002000410c12950000852010a0061820040044024021810004000295080200a600a1081205090040024a20210880a208100248918000200418840002300000042300142002100600000002400a02000012500908048210002a18000048200450810000008010400812410800b1a012002400250408908e00010c10142000052508400202150440242000410208c40000908000050618400440010600a40000200850240000842010402410900040102100202002410b00448502308a18008500118002842400200108210c0aa1090210080800001024044204230210235890011020880044000a408910a00202c00140910210600442002c00000050000200508c00910a00840710110100440000000100200200312802040508800200808a0000a110100008408008d12040042002108200200048200c42008800100010010c00d42400900048010300642500902200040300208800c10a0021060000854040001024201021840861020001004031240010000a240000c00000052000c4081081240000010290030085855210210051080</t>
  </si>
  <si>
    <t>A35637_1667_8208002050040010208500848050010008840000008042c4a010040002118c1011080090260011261800004a600100c42202540000200a48412602300600000010c0a100440040018200410010102402000400108848a02000640800008000850600402208040300200000202000100000252000000a0240284001000a00805880054030280000020010000040030800804020041880090284814040800005860a010900a0064000000a008100000148500408100600810442a0210041001025240080a91000060040080284090a00800801841a640012808a4211a210800000440f40800000100540400c00200040240108c0a000842402200042a00010200800108210002600808800400240318002410202250100100000000300b4a000000440100102000800818100040842148100000218000400802000008b00258840002852012808052040000200000012810448018502140112152010148840042a0280221200010044240080280820820001264201000080a40051010804014014a24025880020001a040440100518a00018002412802100110808402000c4040024004091</t>
  </si>
  <si>
    <t>A35637_1668_0048000110100840112800840008010108840052310802a00002f00848302000248610000a0a00000040091000250014000220000004000010030824854881035001241000a01a00a100d10040102800002152808100848d00a00a0a208700600202800040100450100100400010240148142900a00218902002010100000608c42902148042600a0040204090084804030080840221800064014020211041080a10030220a41040800a01001010000020000010044004004890a000100108008400000800440008148802500e0021811040080a20ac0200001034201045280a90044000014000080005ad10002000302000800c08010e00010008900440050000048a08550000908000002248008140600208800110002202208400210008400a00040208300002210052402802402810708608540000842102800240800c40902212210008200840140800000118000902210050300848200200400648000002140002508800a1000004aa0a440f00d02010810040008208800c00010000a4004021280840844a80204a15801220031040840070801000a20000a00001014014004050</t>
  </si>
  <si>
    <t>A35637_1669_0a00210500602248202408010258010900100400000c00048512008158008000042a0a840200000048e10240000900108a00500210800442000002000200410858202000240802110008000208000042052140a0820800214004890001200080a80004000200864050020a850810002a52150400c0a840000100808640e08400010102700000600508400a1254004004004ac0814000810004005820040001040040204091270890000004000204221004a000508400000e00202508800c1040040200201a05060085800080024091820000880000a50000001000020090800880244004000201050841884020010811800070240045084210244090080a042050200000100818a02018100c08200000208800410010000002310b1804801a81020021801201880005080240000a040000a1a00811240a90021281001824284010021a00010850a412d0030020000201804ae48800200040040800000840000802008408c18308600450d02000418200010010452042110408108240a00400000a40202400e0200045014085020a41080a01201040800021200800824200020030200030</t>
  </si>
  <si>
    <t>A35637_1670_0142a50142942000000600100008100000100058408802000c0240a000440018008a50000002300510a1010045000020825004041005080a002140008108700510818902408210040400900200010042202102100a10010002402010302600440c18102042002142f10000212512200940600010548042100700040100208810002440000200000018008800040900050702800a0061000220014014201000a00880044080a20000064044ac40000018500200002210410002002500000000008800708050040010810400d02048100018a0040040a00290020010890004a000c0020010014280034021a000042002510208118440940148240448400910010042002000008818042840040008140112300508040800600910500210240008c1010211a140808210a02400042000202418100418900a4091a012100042402100000810200410242a0004280081810a40090084000084010a050000648610400c42910402200c10c0844004a10001220010204ad40002000700000018e00012000200042a00418418940400150000200400050000802102250a0005280081000004a40800</t>
  </si>
  <si>
    <t>A35637_1671_0850000c4050084a018410050402110c08810200000100250000500a50540018812650d02900000008200358048440100100342100640440002a0001201000800205081240224050081020200a04200835000a000600000802340b48150008108400010240000448800048002802c42200000800610202410008100058718802208c00040012210808102200000248812510900000a1000040810000810004041a042800910102808e18042042802040200000d50800800000140040300a42442000448102040d00202a0080200a04050a600308418410a00010108108b0804a802a0004a24241080040000000884230820045204015250004210061820020804070880050040080000091010034860001081000850020010800210080004810220081221201014000810220001000811000284000050a058400200d02800800c4001010a200040012400c00002000200040200c10008008202000f4041a00090a340102008618408102140040012208400842052308000208810d5804200080020020000884284000040290200010810020215024291800a208000008410c0220840211</t>
  </si>
  <si>
    <t>A35637_1672_8142208042040212408a10210600102548300410810000400412700218118108140008002402102110400700410010240300108e0064844000000000000801090820001010001860ac0011a210102108242200200102042500448050240010000000000200102010310200448040000040102b00108a00840702350010e1090a600802c0820a00041000a250c0000080044010005881080200820205000081001091080220004221884024a102040800000200700a1810024280005001840220000204880a408110a40800040440108302108b00c40050100040040400300050802608800200410000000800140000000410202c0040040800044840011880840210020020000044a000802a0000214000825220201030081001210000800800090880040aa0000841081020281200a000950040410d00802100900450048500002018300000a40c4200080014005000040a810450d00210000b08a10a18400008000010a0040260000010004800a200412840010140202648400208210150c0214801210880280244084090a200010800200402848200010800340e0081080a01a40091</t>
  </si>
  <si>
    <t>A35637_1673_844824240024020a040010502c4051020000001221041000001034a00225840020200a41200880010010880260000040200201040020021804014800044060041aa02c00a00210240c0800a04244040000070050021000080080ab40110808a48002440508142500400000848010442800712600c0045051084004a048100018600152200910402e1045840840084214000a118a0000011210080864800001200000260811a012810000200502200800548800000602840400008548e0070020884080a00061080051061a45000a042350a08002240040000202300400940840902042a00108c00000a40100140002408908400800010102900200c00340200c0200005061240080a80240060230040251030884004010001a000000610640002e02842500018042c02000240108000100040240512400302700010800808010100850040000a10418c4010820010210000021a942008012042100812010010000102400000202010100008050000800810808000202a4004221810a00884230011040020005204044000080015040030200010080030820220840805000220200040080</t>
  </si>
  <si>
    <t>A35637_1674_0442810000c0001214a00871080a140000048000200a12212102002042400900800010002402a0020201005000201004004040020010040200030a14041021021864845000034a240218212402100100900602510040850440108200502000002000440202908208400058400852900000318400800a58c0004a018000800610a0a04080200a110910840202112102010000000542a00000c00048202318000e0210080800a500000102600100440818052600710000810a00040240008640448100900a1050040020804a802040940402000e1005000000a042200400400a12100940808208108942200812240010000018400000500040840100808a02602840100802200800008010042500008400000d48200100e00208700200100040102048108002210200a4a01080000004860010000a840800840000010000802c4204030841000040801004080880a650a00000810112400010100b00a18040042008100218800000012400608200112508c4024054090001060240024a208002902810300018048810812808002640818000018040548800100210b4020281000000240010</t>
  </si>
  <si>
    <t>A35637_1675_0450402d02300810208108800e0880020204a04831030000004250a348348000402010c12442110200a0090021a80220810020010070280a150048300002010202042100d02000410010000a08000a4284800080010024041090014070200041821810204a050600800008400112248a00610100200800002b02148048100010052400008200550500000608900400012200210040a1080040220850000004881041004005031a100a00000040408100150100452000102800200212000202000010240208148808058c00102c40200642810018208400402808710900800208450800808412208e00010110102018708800010402c12440210440a10400400900a00240000000602242000200018400108210240050402102100408100010400600142208008c02440050100042002000142608042100200018208042400010a08040410318c08000100200110100810808000040b48812202500c0204a440400008002a1001080001020010200aa1020061804024200230081011084a802500100050200110040d0004010204a000000a0040020080800000020800a45000001000861</t>
  </si>
  <si>
    <t>A35637_1676_0402000800042810610818d00052100440100010810102200000e02000440100058600000908b4040020061041084040011000a618008410012408810152d00210000000902800100410000850100500012008e00002200000c08348208000350802000808200008a10210052440c0821051000804ac0090260000865220000240040050090801810011040a410a40042240e10800400512002a1a200710110802800102048000408040640000248148400000f1044800050010224080815a40814234200231000004020201080a00845281880200004000090010a40841a248040408052212908240642040248000018010010850000648900408100252840112a08050000200300808940008052248410010040410002200000008002e0285204200a400100d10c0000200000051840060a408542a0280044000831200880000010a74a408712000850808b00200c10002642440800002000000542008800040002002000010440800240302100810008a0201010081a000418248840400800a08000018410c0084010081070a00080a200c4220810004271080060010200090011840</t>
  </si>
  <si>
    <t>A35637_1677_0000012002800a18058300200000000808000110500710010440a00a18000708608018040000010102408940800052902010142c00800442000a40102218a10002008042242840700608b0800044034804201010094040a402a0a100042d0004001080024010814a010800600c40008000040010208c0a14010001010830010001010280820801000050040801000a018002800448002800800140300d00140040802002000440000112410902608042100910a0280810200a010250000808a4001080210240a010800048400c00808000210300208040040a0a40840000281000000800a45061004000084000001244080861800001020004010210810080280080a10801000084244a01044a000010310600000950040010000000c0a402010008208118808100812540200858002000800648412048058400310008018842a0000000220080a008000142902100c00c02048842442100208418202410012100b00140008340000100242210448410040c18000742012108900012010c0200080060a210300400010b0801a30220040220001000834040880060804a44084884231251</t>
  </si>
  <si>
    <t>A35637_1678_0048c0000204001064a000848012500a02a4010010890820284040001240800040044094020810041041000024a10080020a600208100810000a4204a008808100410110a42248240410050048c00000200412708400642002000200042a0000020000010000025a008d0ac40110f0a80200210880080240080211845000860040040010220014021010aa02012340200440800000c40402300812002000400842c12540000548600600000040a0000201841885060201010080024080080200ac0044024000a21064a00814080001821a11080025080220080024280824880000040200215200880004210010021800020000200804220280834001020041ac00202000540400b08218040800210310c00012c00400100010248400110802d42048200250010110000040600910240400a4040080054210210051004885205000a04804880095000211094000240a010d1064800070000010291030060814224800004200000000a04000084014881020a41005200a800100000810248800200108150810052a0a100a42810500000442202000c02212400000c1020200074824800030</t>
  </si>
  <si>
    <t>A35637_1679_8040418000108310000b1050a812810408212600400550400010000a40640208c0a018440102148000a0845880214080020221040004a458400200308602008242258402408800008b00400208400842240048808508040100102018010308c02000c1060200a042000700208900a08008040500400210410440b0271a800848008000000200210608048200400808000442a00600a0205200881240040070804801020a10204200000884a51060a008308800008208040102008000210200048800600840152408000e40100c00210040208000040942002202000810440202810c0200020001024800a942c00150000200c00418102c02a42318100008802802040042008a10440208400508050000708240200000240200000508800000000408800040008000010840400242008010a00000440102100102a10008250012442102108800850050010008048008c00b0000a10040010000a210600040d00540000500308842040050208a00610100108000800808942202800250610100842842600208040440950148008018400008800810d00000000100000a4200224a21801210</t>
  </si>
  <si>
    <t>A35637_1680_0708c00800400040108600042008110000a10108000e08a42000a42002010000010008100240350002400650200840d4804200801800a000812400008002008048840900908a00500310200452540a00010450400818800010200808008400d0200a800000110100008a0821041214aa4800a000110000040100110008600600010450000008050000102218012040140140000740400110600a02208000010040000c0880011a11844a800840240800600200408210d10200302652108000042400c4811a200610110a0000014000a000000c40000800e0a218002408840802410440000018010002e10500040a02210400042c0a000002908418300210002842402110150800c42018900042100300a10002048800008010002c10e0a04a81204084230080080a410010300200308100010208000102842010c0031804800014004805000001240004040000004800814820084060200a000000802240000400808410000048008000340000200308012252510008118400000800818440c02a00002010440008000802100010008602002040340008000a00408800102740042040b0</t>
  </si>
  <si>
    <t>A35637_1681_005004210024280060020081044050020020a412100502800910000040000c0820021000024a11201a810202e5800080201a410008140002400902908000808512840042200000642500c00800000140010140d00800400810002240608010002802810808840240010100410800140000108008040200000900050000200810008050208108602300050010050008800000008000a40400000a4a040100118040902e00a0000081001a010c4080001204080030084a91240800a618910040600000408a0210230084001004200080210031080024214040805035040051080090240810210801804281a00200a842310e00000000c52002010212100708c0201280a040640808000800840148242448110910800802602850012810240210040440008418008c0880850004004020080060000044040285030a400a0801a010440000010100440000940a0004a502200910a40900208240252108040a0040064211a34010811080ac12000a0201810814204204200011020040001ac12010000040540c0080021000020a05004020020020000004011a64020805001094000834004041</t>
  </si>
  <si>
    <t>A35637_1682_044081040040090800001000025004000000220a008e0220890200020000090005ac12100608202250008000252500048808000000f1084010280084200041895200880000001030a61800081000000080000820020081010014000a448c0060000a010d40100608900042800d1000230a402810a00410000300042348508c4801a01204210010280040080a01010884065051810000051020024000a018002648010a48100150010918e0804234220a00030870880204060a31010010020a040000000802458200100000c0054a800202000100450900000800218900c48058140408100200010b4001000084001014a40000020ac00800200402a00808e02000340000100100c00c12900400042400000a02a00040400908110808c10800912800150010418312040000308140000810012648400408b08010400108450d00000840150000402410010300200118200010000810c0014000281804021240000220004881800a440010c00200100200042a00802c40000052608c0ac10410000940240800210842002100010240010340442940000310440008210418000c0830030a10</t>
  </si>
  <si>
    <t>A35637_1683_8040800412000808002200408050042640808410810310c12402000200400d00500a4800000000210000024260251060205200800885000085214800010081800040001044080850021044040000210004801a310b02200040300018110000a08402810000a1a440208418408000400b18400d0020080200000a04001000080000804000a04021a000458050902200808000600112000140202202010508952600040a0030025021804000840090811001a800102040042402000308000158640002a00048318008800800000242800550f00a48448810808058410000248402000a00210408100808042000000208402000500610d4244021064020040284a05090280040000040a01004080000a212018002218440402850000800c1a400100002a52008d0030a840000900810602210010440000400100510800000010100102012450118508202400342040010010402008800008148048510b0040240240a30251001000200800200001834080000061000284021a410200f00800410048210102900302002100140a42200c08200200540042200000710942010940e0080a00880</t>
  </si>
  <si>
    <t>A35637_1684_0042240100a0820a042100a18e00112102100050410400840440202050042210310852010e0a200000300018400440408810000c0060265800200205a000000348002050c42108008000108010040648158602400a5041014014804201200800860000250880020800840845000004804020000001a202100148100000018910012000900840000a08050000412240b0840a00010804a90240080804800004060040040024a118800018800900c0204004200804204880284280220060011005880020001a01040004080001010030234281021a000010902300110000500000900000840040108400800c00200b00000808808c1015010a00210030085000001000010a05000040a840900002050302810112048402342000102000002000102a0891045a408208018c00102000400a0004020040200a002418018800802000808140040500c00000400c0020040801080a218110c00002010910800402000e4000860010805044251000010061040021000200004890000051040281081010031004000880800040040220a14a010100250842302050700808000450c0060211840000</t>
  </si>
  <si>
    <t>A35637_1685_8008002042408008602900500a10440600950002a00000400800008802308010302042002102048212008050200010608900200310908858440408000242100800e0040030820001a20034085ac42908110100810008848002540008000310c18000800d00040110408008802040100800050c00d4a20040004200040ac0025220890010800a158408800402010d4a300200810408400902a0a008112110800200010708a0240000820004804210000a002c08640c40100008800200400402410002100048002100240012450148000000000002258940a40248100210518800800200910540300000012802840302042018010008000200242212a00450018100400100118608000008102448848340400008402500800900202208000c40540c0a048010108210400940a08802410300100000542102110040c08842208400000112400600002848800808818558800042a00000802310048500250842012800250000010e02200050108a1000020000840881000a21001a008802400040a0004a000900502040000540040100000d1264000020805014211034800280094081004830</t>
  </si>
  <si>
    <t>A35637_1686_8410040402c0a840500000a0020081200005851820030040800040081a118a1004020000240000201000800880850084200021080090040881000810021ab0004a040140000000600800502410800408240340610d1881081244000245020004200801004a108140008140848c0010030201021044005001000290800040835000001020a918040400400440140902000042800402010442100000450008c4000090000a00014001801200850020204000000040040805000225201200050200084284204005230890004201234004000010041040800040081804001814000810090800201a60021845811000010830811004a20280000005040a000800210100000140002410102650052100000258b00040a42800402248400018512010040a0201a140400000608052008040000c08a0200800204001804011840204010200020800280034821a400100000100400500400400102a0024030881285800030081064200021001800004a000502000c00c4810070024800000050284880020080220800025a218d52a00118408400802c02510300108202118218448c4000020201800</t>
  </si>
  <si>
    <t>A35637_1687_0042a02040800002100200140202c0034000805801820041010244210a100000040848042000210050410412810040200308640000100218840000040500c00418000c42408040000a18312000040040910210908a52848100240008000108900a0a40010010011ac00052240450c08902108408308400042400802600f08010800000940100110000508840140008810302518e08a0ac0004084004811820201041020000024091800000285200220044260080820080000201024a40040000041000210a10000060284811024800070210045000010090024025000000240a04080a202600d08008200010400012018800c40000c1210004a410910a0a010000d42102240410550e08102b4285800011000000011020884000a508952200002000902108210300248000c40a02700210442c5054010200205060004200840040000031080020081a80024210004020000000a402100b40400f0080201000204220264000041221050010084214091004280a040f40000410210018200540202810640118040400402500010200108100e4a04010890a00280000000014040805a04060</t>
  </si>
  <si>
    <t>A35637_1688_820800004000201a010100400200402e00312010808d00002940c4211021840004a21001000a040208a0084a00004030804a402800010c40402000242002800840808042a40100440c1880000805080820000240844000280280020820840010005000054000814200011204840080a010648a10010450400000008500908a0a80211000200861a008e00800500500802110b00402200d0040285040000030880204090281044010015860000290800005800001020054010210a40000001804084014090800041044040a900c00200440200810808010408000108110410210d02040000400e08740018102f40202018000000a18c4040021a40a408400008000200b5800a300052012402400040100300a00008910002808240008410050102600208040000300200042008900600000840000000a40308658400800000410002a40002008012402000040250508900210800000000842100218208008000500a0051090000001084064004240240010040084050210201001881204204040091001871020005800260000040020044024200200000000a20001060841270800010071</t>
  </si>
  <si>
    <t>A35637_1689_0010448112848002408508a00802842908b0004040080a410852200148102a00800008000048b00210e0020020a002000302600100010040900842000410508040c1004044a00820a010002040052c00002310008400410100c4280041080000ac02c00a0800800210024001810080004a050000118c00402002a4221a400a50002050608000000110a02002c0004094041810070040080210001044a800158808c10d0021000020044084005000020000200860021240004820800ab08058002012808810300810400812000900000400308002042110600908000210e02018442600902500d0000804041004a910450308000402500b0820800080020005040240201a000000010c48c42842840110410140e18810200210500108440018042802200202800c00600040200100042108000412d0000000000240810225a00004000804a208800800110f00800442218c02202100b0804824280854820240210220a618218942000840800b0000810010a64a00000001a048000208000940140950442000358c10100802200008400000048950008008010d00610000900800100100e1</t>
  </si>
  <si>
    <t>A35637_1690_8840402000002140502a1020a410000c02200558800008c10102108100000108200000012500008342910000408052800240008100a00458010502300200b1880081045244021a018000202000402140918000408050c08112a40002600c0841801200000a050000808440002000a0084800040081000045040085000000084004800044800a500808402000500140202018000218400052408008142100408242142808210450600b00018c0020800004a000848048040302102452000000408000f00840248000040010042b4091a10860030000001280a002642100842408000908808042800610200400500b0200881000060215290a05814a10804a840000008008140008710402110800142210208200000812040a0840820050080a402502018008d08240008000040840040a00318240800200800308800412002100402002410300008058050200200308800c10202810002310200c1001a210052042100000100200052940a0000864a208108a12400400100112008102440450000040200108000a40802b0804220000845201080040011040840080200001004a01005810</t>
  </si>
  <si>
    <t>A35637_1691_0218000040048300150c08002048402102a1015050820000a100200052048000600818910400312102c1040001a000040000208008000a00012900008002210c4860040064034274881000a41210014081845240024004a40200824001001060840000200a000440210b0220884204005801a10010000800004804a20020010ac42410400110000300408a00800e08318200000050012000802910040900000010802148002200200140810110140a0004060845041241064884800a908c5024044000010041021024000800020834001040000004294000210020a018048450040002258018000000600842700202540610308008c1040080204840021020040000005820801030080a000042a0231800064060a840440200000800848040112248008512800408600010208048448010818008040308002100a18400a4005010010a010010002002812400800600408a02040852008958140900900a58000700212002010410802d02e00008008900a18a00000c00208008000610a00000d08042140d0081000800080081010011830040000044000071ac00400802c0000020000280</t>
  </si>
  <si>
    <t>A35637_1692_0400600442848842000b18c00008d10300202042600212048010a0024010840800040004020000a10250041824800034205810ac1060001080010200a248400208042040840300450810400000000402108050b0841260200240220021220840020000050081200800080205010060080864820804a850000802048000100900400842008000602300410800d0000224000021020aa1a05050884a10880070840810060281201aa0800064001084000051080881080004044011061081020020041010094a302908202010802140b02212418008000040a4800004200080840081280800210a01044244014094a042302400810e02900000910018110108000400408008508010200000000208010010400902c4004084080a402008208010400340008040000100042040e0800011210024000a100e02900048000c00212c10100850312000e40010000102840448110918c0200264000201811011041210034080045080804000001010800a05200805840215220015020a110100c02800408b40100000200210142800010608a00440818010000000010b0020a04810004021045280</t>
  </si>
  <si>
    <t>A35637_1693_8310002540500900208008c1204a81084a81020001800a208000100808040500118250102000200510808c1800000240810020080011084085000800001800824041240070280004230830080240060280010210060a80804250a81000020040004a510600002200608840a1805000020004a410050002050708150018600018200912840002100110a00c02010500a02040408c10410002200000252000008e50040908900000200d4004004080204801a210112400440508b10040908148210810340a12040110410040840c0a10004020031ac40100800012200008102240010002040040900642602c00402010100008a42008002908840108600202610810308000108500852210002340a42300118000042100008842002610840c0a910000850012018010440000900240448208000002400400252400400018010000b02300250008100600102040802008e00000000140200152510918400010000200250148400a12000c0004814001a100942000800440840240410000000c0040030a200210348818040500008312608548040110008a00452410c0a800002008800048d1</t>
  </si>
  <si>
    <t>A35637_1694_0042800802002010550500800210400002200242010508842d40c0201040880880020010044800210050805001041014a312012810448648540840250010000200600042402202140400000000100e0000825a008d1020a10040880005020040860054080004a210300d40410800602140608208008c1a41010880814000000000040000801800000805801a840b00810610508c50802110800102302000500010100102010200818800050c0040a300012800240018140508210200008000840100140800008800752000400400008500000b0000214000004820241031200a010200858540810900800840400840052200a12000040002000302208000048050800002300c00000202c42400000102410210810800140802002400408000150008340310208000840100602252010810502210012d00008610018108c0841090280004031050804200004a200000100818c5080020000840050004084000200a010058c1000060040024a100310600102840900042b0044030081a010810242300040008950018000002000300000400412800400850102808c08800900200000158a0</t>
  </si>
  <si>
    <t>A35637_1695_8c1a800410b40008412008818002400600102202c00258008810040812012010800c0081000010000051030080a000100342450010812050402008012640008458200950002100008e08502200810202142000500902202810140900248800a0041081204025001890080060004200800a200000900e12c02000100042000400418000002852700600208240050300942002618848040400100018100c10150018000040012402800100440900900210000a0801801ac00200b0241000020084004240000a618410200208910042000302500a12002100000002218f08c0061005040a018700810400600810300148410800010800040b02000010410000242c40300a00002108040000012c02010200c00000418400400008452310508010140302008000000612000502802a18148500050848400a02002442400310008500f40210140808400000042808a40202200700a0a800640000008008000e00812200900610810200c12010d00950450210008402802a48100400100112408102000018302010108040c4030880204200090280000044835055020001884000014200800030</t>
  </si>
  <si>
    <t>A35637_1696_050201a050840040408800342000c1070224801011024a24201014201241850840004010010004200a008908802810500800140000402640100c0801004211020004a012800040448118142000810d0a140400510a08010040640008108600110c08400900810540410500c4a000540a1004000004a000000a4001011a010042418040208a0024231804000894240210200801004040014000081a208418908050d0080000840000061041200060880810080084884080220080005060011040281060a15800080001001001200aa0014880000a008500448348400010100210c10c00200100508000200000208108500408600c12500108002048a0000000a10090a150200410440002040402800708618400800502e00900018000212240050000018340018a10208100840800600008010840000908240142300052440442200202008500400c0044280000a252a0830200a010240112200000c02212010040050040800040c00800042208318100600648040000000112b0080025a000000040402600100000100548800048800000000040648108202110c1080040000020021800</t>
  </si>
  <si>
    <t>A35637_1697_000a01090020231000051001a200050108302040200100a1000280220001a018102a02902802210400508008008852248000208110010208800640b1800801020200205084820011a400000400000c0020000880055041090094800a252908300440500440018102e08b00048102002002200210058040050a08348500208000240452100058002800202040800902a40518400048e00412200200400d00350200d0000011011000051001004040884000a410a48000000d40040308100900a00900008a00300100008410010040840402000012810452102148402800210a00940100140200310812012110200008000108248852840640302008010a08200100042a02408810508010002042118010c08208240000600000252810010600440008010000210400440800c0aa5210000854a240840a0800841011801080090080800a01220054284050020200a000a00240a00000040040050000450402c0200a010148500810818010000250002f0040000040200815a00a010208400000140802500008c00048000a0014a110100440a08410d40002018218000608800940a00012c0</t>
  </si>
  <si>
    <t>A35637_1698_0200c0011200200044ac0841064010060000a01a80051a002012800040500010400000000900010000200b02c10500a00b10408918008808402008b50050a1020200800250201855040830280084090000211060030024840064830020080810280284094004204201084a01200004204000241884001a010f40a52200c1844000000210020870a000900a5201044a000002200500200800a0201000a008e18002400408a0804800024800081044211011a100010448500202a4060840000a202410000200540000048000000002000050408c00410c40102250202808e1840801000020000000080a000142008240000000052440400608200200b1885a010000d00848400008d40008d1000880a002408000052010900b1024200814061884250031810211060201040000a202508200402a4a042100000048c08800808110e02042100800702400040108010000800658008002000000602208408c10010240008510f00908400812140a0024000005a44200080800231010041000205090080220a70080000200010200810880830021800020295200810011001844230800024001</t>
  </si>
  <si>
    <t>A35637_1699_044040a00060000045080010801091280004015000081040804000a002052100210040000440302208110500212840000808700600100a00012b0804014a80000a00841210a802242000a00c40010108a08000610802000052802240448508200600400540b4a50000000880014060000a20200010801054060210000800800a040550a4210804a900340212000948810040100008600900400040302000408042800242052010000440410002208308048008140000400d00040512810000408800000308402100450808102108348000200800000010200200008d10602008140e02a0020240804221a50090010045060084004200004000000a018110000010c0a00a200008200000c10500300002900400040002f0825810020045061201080004844021000200001234080a102010640042910202000040300b0001800280001010210010861084004810840080040245084084215811021840040085000001800070024200000220814000000040240814004280205050001000890000035260081040040015004025a01891885220200040820060000011820010260015005230</t>
  </si>
  <si>
    <t>A35637_1700_094004040020085820a510048c0a000000840200c00200410400008110010c00502048100108808100c0004a000402d40108040808310840c12208048210000e12010400208000202110c0800281000210020040800860801074004045001880800080244020841000880001014210200010011825004284200220001011031084a100c0024850210021ac1040000221044060000040010204200024000054000210080290021800890a048400848110200400450002800340048100108a0001a100800002410b00902e5801040001240021010a04280240820045200060081a000c40042200b00100002842000802202210900048100202010040410012448c0200200240ac10300a10d00200200002010310040500602002400000550a4a042642000318000110a10c10008110050410c0a45201010a140208500040208800000040650200000000c00108000200910018048002200040640010a08008010b00910202308400042010100040448a1000005a450700042008400210450140602040018c10050400c0050000a008200010010440002110110800100c1290030020810820</t>
  </si>
  <si>
    <t>A35637_1701_8400440c12048112000300500218100800002058b18002040500408302050810402002450a08000502000108800c4000a84060021850204a412200008100018800002802000050400900212a40000242140000408000a50110a4211201000011020040080021800000010000000020a01200ac00000008140000050000300640442100002250700608800640402008042008100040008012840110640118008208040942040458400140c10842d0000814010894220a01204831001080001240804224804240a00060205085000001005080800224200040834010880804080041004031801000005040040010080000000004024885204820a00000854801000020010a008008b52440100408842310100410840c0280a108240210100010800008840240f0000a210800000012100a00c08008000b42010402c0044000805200080a100400800a4814000800a40050020000014050000210230001204804040830001260090225281020000a50060041a21040210880005011820ac48500a0010005041000840884004895004800011080280200284014830010840001020811014041</t>
  </si>
  <si>
    <t>A35637_1702_0500658100000b08410c00000000542400010240000408210040202240000d00950002400800850000408200000910508042000a0054205004030001050a518c10a1001034880021811054221a01080004a402200100008110300012400000002c02042800210400008210802400142048000800008000500000a1020041015044080204000a20000840024200004214a440418000a1a140808b0005081081860a010c0010050010004a412000008a00042c00402a1280250000a60090821084010204a800040b00c0020014000000220000880000a50020005010040814a210810208902008900910a08c0200020a40a000258a02042602808018200442010910002000008008000c00410b08908000610802600402400040108310048c00040400a0210ac10548002000e08008600200810c00112002052502000b00240000000042040600110058942500000208818000442040302048000e00510810000900102410e08440240100042000208c00a1880840224800060a51014020244094a200040008452202040c0280001a110e0004081080000004241004004001204010800080</t>
  </si>
  <si>
    <t>A35637_1703_0200c00050048050000800250e0880084010000a40864a402d02200200000010a08200800000a40002900002c1000004090021220845a01a050c40000648100102202000800150200810b40018010c4a20a148000800650012108100018100140000042308a40040010110602012100040012008008402040c40102210a0090080000200a00840830010a000410002908002100818a18402400300440700a00610102002312010600200240542040a10040800408048040002210212500c40018510340000042200008000140000842002a08200210012602040008808952412500048800202110500000100208800110100a0000240000081060820044800a040e08000002a10802248800042010010000102008100000202008400058010042902108300400d50200000008110640400102000150300140208e1040244011050884030880060200810080a00844011004220250080010240020825804000244001010001034000041290081000200040004000010034800aa10200a4001200080a010400802400102540802218a00010458100042b00400f00302008002c0011071050</t>
  </si>
  <si>
    <t>A35637_1704_0802e1041000a01821890004024041004a05050000040a810800140800640a10d42442002808940050310242e48010d0080200210051820a000040b5801220004a008040600010600100a58200800102200002000418a4804010a10840a20021a04200210220020000050a80a000808112000910300618500840a02218500a00210900d08a0050001050080a000448210648300008000800900840042000a0a41800030000a040100c4800014204a910058410018008010100000008c0800801240010201000880010804840200005210a800052258500e0200040800860001080260011a400100050200040d0a00a100008c0000880004a140010810240a02802840012140000002000400000000040300310608410400100640200000040000a4a202240000008c10112408840308100140c02850540802110410a0a240440840100040c10050818900040018010c08950040110048040450108202610c5040a810008d00000210040000110002308802c5094000820054a01010000001004004214a800400c48000000108750010200400c1200a048642110000012852800008648a0</t>
  </si>
  <si>
    <t>A35637_1705_020a04005020084841270040040040020011010a018300000100402a10400300802800110e0a102040010c00818800800010302200040000440002050102818800e4880040821a01220801800000020820204091844820200030004851010081004041084014a012400810412000e00000640300202010040048802040100602200400108000008e0800824005010210830000880280801040021224041010000a01080220200081080244a01080004240000014000015060085041860014a010802900248102100110c00040a4081840011014800800210a200418100c58040000602040100200200400400400808118000c10048100800040110400440e0a140400302110000400002800040148452400902000950b0ab4a01051081201041000081050a010c4200804000001020091080841000040824875021050000040094090060200850840014080a30a000100100848050800118040200010842000442a10412800b0004000000a24824a208458a02c0000210a040c00212850802002008200010102a00c1040830010051080020044090000050050054825a01020005060080</t>
  </si>
  <si>
    <t>A35637_1706_0002002010000800408200818008010c0001014030005080200000000a008200900040d12e0200030800011840881240220004211090285010080a10a05021804820250014020241000040004240020000a502118100a0000000000a01000004204a00000205250081000825010210280a300400040010c0020000800220000804254200010010041830880210000830000a610508418800100000208800a00008410500a4840ad1000800814080080870a000302610442902110058400042200800208118008008200802440302208018110a40000c5080804021070880264084040800001a000c10452010a0890241021084840011000a100242200910802800040000000200000410910802200100e08318c18412008850540d0080a040040100140240c0001065001000210a048400018200142200042112008042210940000108110008200410c00802a0000200040880a00024200a148a08d08842500800240308110840202100400050000018d1000a010808140648100a00800402800008002f0020200840000a100442000c12240d0000230821081041084281034000224000</t>
  </si>
  <si>
    <t>A35637_1707_860804201044000030a400400c02010002002108318818008950400340200810200240802200008440400040c0000250880204090020080800200880000200805840090280001824a408a02840942108858040310052448000202800010700100018d0250810a00241040841000280000860020025204010000a352400010c00602000440358308d0800a008112100a0021280800081210084020001261011a20200240000a01880040000001210a040150900000a42c00008202000400000408d40600040400018840202800500018540200510e08842900040000e08112640812c40000010208e02248050002002400810800210000108108000500a18410042048050300408a02452902300840000208140852010448042408318200a00550408042200c08d00800c00200202002410708000402400810600408000c02040202910048d10010c0880004200050a000108240552002800018300a02042900200108148800200002c0004a000240c18008612812100a10000300042608810702200610000500c0080200024a442010a00c1014240800200080851004081010090065220</t>
  </si>
  <si>
    <t>A35637_1708_000001210030a04004211080204084024220000061021021880000805000040824a008142802200200900040050400048048000010750402c0080000205010000024011040081231040800260010004280a600318800402410008140108200852618002000000000600100000c10b02002012418100848000100210742e0090a800000008100110010012410000140102158000452048440000000200800e48008010408100600800210218800240912200600650402c0284000001200010865000200821061a01015080280264804200820050004a10060000a100808108a08050000800010510102000002c0201840a80000a202802140a10402100000c00540040148308c10000818010040300040e0000224010000000a342c00402810140042000202000448000410840102102008a08410010d40012008908400e5090200000000821060a842002e00000402008808800112802018000000242000c12000000400908900800410008008108900d08a0840040010000260021004a80280230200020021000094240804044800885000000000205000850885021a14040a80050800</t>
  </si>
  <si>
    <t>A35637_1709_0048000800500042500408800400000200308208808a48452002300000412a0044040880000001840031050a010400300018240300108008000300112042a00410010402840158000808040e08852842212400c00658800400a0235004010045021200000000a042208010200900500a40400000100000000400812000908008602400240248100000050000110302150212800418048010a08a00000008a10c0040040a00060080025020204200a010000010d0044000200004204060020020810040280211000081080001084a042110d0094201a01040020000000001001000210804010820860004000090021a142a10400c10110048008000808400448012400900210a0861004200000a248400208c48058140100300400608b00440402440840008910a00a00c02108810202800008212840140b1014000011824210280200205801035000281014010004a008200208510008000218c0004060280000a002002300c1a802000008300000808040208500802010100a08100042c4224000800000080801a85000a10040051081000005024214015ae1010800800064010040801</t>
  </si>
  <si>
    <t>A35637_1710_0002600042000000050008800800c0000000240001010020a04010234801030064241004080000241050020040890270881021ac10840010810040900200100900c42402d00140050010648408000000200400200148010842100208300b0030840200204000a000410412000840b0810200801040064a500800100210500050210d00202148310410002000440200a42110400810008500402810400000140202800300008042008942000800a00000200008318402040a0800014281800004801284010824010820a04a04080094810050020020081040a110150a0010800094004200a00280820004045230010000080054204200220000035a410612400100802900200000c40200010100b50000010208040040008812402d0801280000050010000000051840250200810a100010610202412802a10208008912002040b00008000000040200400002800010210202200002040818000000000a00440f0001071000011a218c0080a04024010811081010050890010000801a000840400012102808c08c4010080a20a35a600000810100000248210a1851205014040800a20250</t>
  </si>
  <si>
    <t>A35637_1711_0018400800340a10052018740810500302800042a00840000012100800002200a00e0854094201030001050024090040000044000024a002800000202400d10c5001800064201805040080041080010a80070031010821801064000000021010044001000804221a200000410040c00100110208c00000c40342040200000800040c4210080000000000a002c02008008000a00500448102408000500008608000c00002a10018200410040040840002108910200210c00a0811835050000004200040095001030010000000084001830800804084011284000a300010200c18100008108140010c0000014014020240200800241811040020840281090200204004224010a000512210100408000252c00200212152940110048900500008c0084a058400810002000500308800102010040040c1000805020070820200a80060824a100400808e02800400240152000812400410002040252000d00040012b0a908000010800400002500010402108000040000040800440210202250400800108600c08000818450400810300000002050000602000040800802a0054010020001030</t>
  </si>
  <si>
    <t>A35637_1712_000041080084284200a818200012002202048440008012000d12800808110100100248012202848500e08208a40000842148018000c10c0001000000804280005060200020020215031000284040020090a200000610018002842000410508850800440048208400000040010950a0000000a000012408102002300210510340a10800408002048808400010000d40302440110200012000000842000000240400542200802052300402040d00008a08300400242000042042a0200090010a81000080800041200845a04a050a4010221020030080210000805a70000084040001060030004800801a04050004800061020090a008912600000700408408210c0200090211201804020801244211a41000805080800020a91000821000281090010080000a100800a4a40234a000012500000058800402100410400042052050540000208100d40010000600000300000000208150b00140012100810040502008202000810200000100440250200810000c0200040000014aa10100208412002110000210d08640000a42000040100348018c00300008440a10018000042102a0014020</t>
  </si>
  <si>
    <t>A35637_1713_0000010c02500012440018300602452500010200800c4081000204830801040810280014000000004aa00600610452540100008100e4820880000280810041091804010210024000a008400052140540840100b00008002110a02242618510000010512200200408a18018008050240b02508000002218002440a00048c1024044004060230a108008012040000600010002400d40008040042018202f0824000a000802140010810e00e48802c4a210400000158802812100000000008008052402a0a01014091010020a10200001a200100002c40140400a10400300802842000000240150000000000102600048508008310448812200002140800b58a02810c0030a602010210000040f00840118000010240412402042110008300e4885000000005ab08042c10c02a00340040000b0285810284090020031080000a84000a10000030000240a042a08800040518108610c0004800800a60051001014200004020a00001205a400600208250a08000840c4000021020080800040010050000a118000240040c00040102602810400002800802800018100442e0210000000830000</t>
  </si>
  <si>
    <t>A35637_1714_8940248400948110200400110240400a4004260820070840a402008000308010110200000442018018000102c0044000020064020020220001020010260090000801a00200a042008c0001001004004000020000041004011000090201800020a400150242012450800002002100400900010908040200402800800100018600602010802040252018758008802402148000000800848c10408102050900400050002108840210000650200002840208008708112a08800002000642c18c02800000100a18000e00e48000002948000002b00400a1200000084250000841000080004010000820801800044000011a01090031840850000280060200000000ac40408a1000a00011060041230005201200050080880090200000220051004a912000208010808c42808442800348158100642008040c00208300a0800000280010010050000820260000214000a008610150c0090050810004000000281004010010800010884080a402000040210008400050002000008302500118008000640000402810100048500448808012018218000410d00a0820070060880280000010015090</t>
  </si>
  <si>
    <t>A35637_1715_8a0200a80000210000881824004204080231201040020020a000b0000021a60000860201084014a212200808458100400810042008000c02000a00110618200210c00040302140700000040208000102a4a00a000310200102002802642010018e00000600a18248000000050040840000452100040410110400a10052518e00200c02142810102200d00042000400248218a00100212d1000080a408110f0200a402400040310800400800542102008440100002008100000048048210810050000208110452400a0820800000084a74081804a008040a4010201820041804001040a308210010010e00440848102200300200208800008b02400800042200150d0200840860011020000014000024000804000000224a000140d18e0060214080a000412410800c12400a0034000060800000000004a14054250020825800220824a10880860080000284220014020021080805040010a342c10c00002c00140000002410002050000002000418000000000142408202000500400240d00040840000a08800212100600000212408d08040442348042218100100c4010040084010861</t>
  </si>
  <si>
    <t>A35637_1716_0142812010002318410010002618800108210602000108800c00200a12000c00410050412040118200900c50408000708040148208450200400808a0210a01004085a01240080040a810818050100408208212808052c1a500102918002508050e0ac0084801204800004a800400402010140300158402050302000048a0031060880084a000408400400200012140808518900200800040040000500000f10808850000a08140200802000500440000000110140400000808242402210050202000008a42408100c42a50102000012600218640200850b08900208000148040040000810002000008402002440010402800e12a40802200040540618100608100b40000018008e1020050064800a100408842c02840040258008810000018000d02100410000048850900248200112200800200000000002002200b00410100a00900402410000c40450100108000008018012800800810508808848400042500208118910200050400200000242000008840802c40912500908a4a21080000820840a008440200910d40808302010002450000c42210008010808c08102840a4044ac0</t>
  </si>
  <si>
    <t>A35637_1717_0150000400000140200b08d40000100100000400d00500c0005014084240841804280a802f00000502410258802010640a40000010108000002140b00112c00302000440840300408000102002000200002018c1004001010054a00a010a08000010450808a52508200c00242910a0080804870000065000280020a440110440848140100000000000000a08410102118650200010c10500302008100800910008002000058008000c0880000000291061821020281a000842000400600818200112840252400008a00000c10a00100012010840400142900000202018248a1a840040800440000018412c02408040010010358448040002900242100010040500200010200110700010140002318040200010802802440018000a0090a60850200220060000010200880050001000000021a042000800240500808200608400442340248800c08052000140000000c10900000042a0080064800000880200060080261800065024a002348042142800a00e02000208012408500c42048c1080090800041001044a000640142140500200e08d0000014010081001840a00220000001000</t>
  </si>
  <si>
    <t>A35637_1718_8808202100a40200100010a0240055010010200200004045000044a010200000002018140148042002108c1201010240010201000045800000020800801200880064095090ab1044220041840050010031800081895004080200820214a010a1804080080094020000014005210004080254810800025040240004014a800000012010100008208208002008840000040502a00108002800140210200a1084801201280014254211824041211030890a602408440040410802800018000910000402a00110608018840042000308300010400708c00540700348012800142450040402002058100212040400408108100018512e00000402150310d00200400040140840210000302200800202010000800900010802008040110000000c0000034000074200094000880020000200041080880001010200020880014004a810002800008e00008200900d00050100000002218800000b18000100108808040240042400100c00002540202810040400c4a002440000010308408700050010608052050c00d02a52d00908140000000418800010c40140250a0061040a40200081200050</t>
  </si>
  <si>
    <t>A35637_1719_0502048112000b0050a808012450002600002040310a1005004084a20804200804a242140400008218000a40200810000010002100242018040d0a900200208258008102908242008008142400012800a12440410100240812648000012b00010810412602150200710000c00840100008640700202000450002208208900a4844885010080801000060a008c0024800a348610402840042400200110200058058000a00300018c08100012000300340002800a00040800100042108d00202e0800040280244011011800200284014a000810950a1054240800014021001020810000004020021830001040040011824080010005001210aa08402200c00400c00140200442608648040010300a1054010801a010412600310008800a00800810248040140e00458008440040100100100000002000a02040700810948040400e0030014a01821204200070281841210014060210230024001001841080000240220000020020004201200001005a200512e40402008148408c0804045004040080204050094080200284804000800845060811020025210250001a01844000000040080</t>
  </si>
  <si>
    <t>A35637_1720_0000042102002212000d08450250410040148040008402208040a4000a20021060000010080080804200000805010080810860000020040840024020244090000044000030a808550400400a40840242000008c00602212010208002218000840000010842300150a00440608c00c0000061000064a21810210020820000000245001234000200820010880200000200035250040000204004024064251084281010050220070800005000080064290200a800200800042c00002002210340a1800090080254030030000080280820040840041000244014011a212200000010c02448000400c10b00002802402008500000502a10400a00100440a08c0085801000210014001000860a412008008048008d0a01804080830060080001284040020810051091001000080214001a310a00048200d40142800200900802a12040c00010240500040c08d00302210040100410010000c0a240000608848a4a84080000204000884020011240084021020010260200294200015201000880a00200000041a408202402000200350300b08000818800008140148100210418800c0ab1220260</t>
  </si>
  <si>
    <t>A35637_1721_000a000400240800050400840010c1000231001800030000851010821a24a018800010402142a10010c00408802802400042400a0054081080200800000a00040804011064090200260815020281280030a040118200840840d02808402500218218400200040452100002018440002b58002a0820085801250081030040845280810200820205041881260a040800a00200600852012050400810400610108008002002a0000000001004210024080000801000064240280a000000318400240040108200052008202848100c00010240810840452400240000100400508210042008a1814240011061a00244010874010091080810020800a000110c0280044000811004280081204084014204060241000004200010a00251a20041aa40000400802202810e40440100442040310010000e08140800108040408110042140008310500210800a12c4050204a01011011800014270014a240e00400608400440a10108a00140818000042052008910240808c40940040110008802002502108042000818408200900008818248208448050010300000140808a12010000d4080061240</t>
  </si>
  <si>
    <t>A35637_1722_0000208c50300318202010842410902600318308c00102040042008000002500110008000048840040810210a00440f00812548408010240000800042202010610c00400842000010110208000540000110302200642600002402018100008800040900908a02210018910018410008000402c00c1004a11204200245030080000a010b0010814a210010800002042240408210800000500b00808410c0814001a842900218210100110200140c42052040000600000100600a10000500408402812842942000418400200000a0880860000840a44080044080231a010418a00450442040000308d10048100800848000200c12c00400008840000000118002000600240100900218608100840a00400000052808000500102408000240210812000118740100150600040800810210100008000800000252402a08008a00002800802218118000400002408948040900000650000808948500408140a0204014804000010000000004200a358008000308012410300140050500700800940008000400008008452002340202500208842a1810000800a000c10c0000251020000800040</t>
  </si>
  <si>
    <t>A35637_1723_0040440002540012012810240000142940000412d10410402800a40000002200100400410d0200025211840044a00020290020a000d12010012002908008318042048000008050150800008e0000240a11044220005a048400300000600000008802050400208000018800802800002952010108418058100000300010010900042140600018010000400250802800240610010308000110b08002200d00400a00000008108002210040c1041200085060000020260a80010285814ab10300000500000a02048410640010102040210508300210808442002240502000800000140800802050a0040a250810008100200208e0000201054001020a20040084001004094a60210805001a552042012610a00000408000b0a310000008908002040c02300008a0030844000220014a018200812410842708050148008100e02042402000240100802240d00840300418018100802800c08202240d1001000045080a20031a000d40a10000a40000500610010c02000340008100808800010152202112002218010008110840040642018108002400000200000010a0221040020004001a90</t>
  </si>
  <si>
    <t>A35637_1724_020a640800502010208000400010040000902100000108a4290040825840001001020204040000a000408c02258002800942210a0080024010200a050210000940412012640100200808218200042142800300400210200c02308300408200d4881811080821020ad10058c58040540040110000500a00900502012408200050048050a00008300500000008c00440108212500010000440008a4015081824004005200a00260061054040a910a0000004040040244081000000a05880000a81205000a018000000518800c0020a040058500000002402000050200808910600050500208000800800040100248a0221200020221015004030210810090020a100000200010018002400000a00352210808008200812008002400100440018000c02250502a18502240502008248512000a00c00402c00018040a0861080880280000821001030240881200024020a30090001804020a200100d0050a84800020090011280000204210034000a10800000a000110800340142100012012400242042048b10000048002000000202008e0265000004a84815040880021041010880040811</t>
  </si>
  <si>
    <t>A35637_1725_0400a02040a08000100800610000800200a10608610442800c12708050048c00000200c12408300100010900450040008202400000040c00802340208008100d40808102008358400008202000110000252002410008450102040102608900002200000c00002348a10008a4000014000010280880a000100008010440c10108000800802302602208110412442200b40508a08212602410400848000400d10000100008002312000110a08000202a08200700b0a01044084004800a80024040a400d4000814220040a040d10002000002000108000040008010042400050c52000b0020201a000c00e0010000010051020044824a050a00310012000240400852200248248110b12000c00000808008700110240040e02a0210001010841014010000a45020000220000000004201000000280290044880214890084a00085090080010001070840200210a048100c0850280001004020000010001020840040000044051844040094004081224a00804085a100202948042300000040802142040012210800018442900150048000110440050c0200a000000000a12000e4a04811000</t>
  </si>
  <si>
    <t>A35637_1726_0240c00440100008240000240200412900100312b18040842002040002418400948000810c08802050800012418000a48050100508a00a0040080820265000811a402000208810140000100012810040802418e0040a850400102302300000502010902400910500a0061004005204000000201080260201080020000a418010610000500100008118008400002102840040418d0020011044004024800850084001000a808200d00000040402900040402110010400000408148408600848208000002200040600200400d0010024810860840005801000200000050085080241000a10060081004020a000640140210008000200912d40110100000048a10152c00018040410008a00800a00108440210940a00040400040400500400408c4010294804030860041010000881824041090880a042008000410600e00808402002250002000002810800000310140000910000502000002008c10142802110148040010218610600410100840400218402200040340000610810940040c00100008100010910002452200000200000000c02c4014005a01200854004214070204040021</t>
  </si>
  <si>
    <t>A35637_1727_080080a81200a108052b00400e40000442200058818200412410000208040900250a1a002400258600100240a0000014081a040108600452100040240008400242008002a00800040108c4244010000020030290054a80001014200a002e00240248002142010600508800840412100900008910310c00440440018442000802a1014000220010020000a840d40c00000050008642058810408108250010040200910940002100d00e4240280000001030260020085a010100250012000c00840102000000208208002018040b02112010018400008100808042218208402000452600848000208010040442242000010100810800d00448200410208040450002042900140a00050002010a00000140000540008140240010202418210000900040812518608d0a048002948800200b00c4a802002900140110108248002400000008002900210040952008008600100118402802a0011030801884a200010100008402010508200c0010010031221001a448040a0201865050000a040840c0800060080030060000040a002002100c10010c1250801240201860084200254280201040</t>
  </si>
  <si>
    <t>A35637_1728_014020090040000050021064825240040081000001010080240024004044a100310800010808000300110000050402040a48048800d0a040840e0011231000000a000040602a00510808008012902a4010810ac08540608510a0280205241024205ac00000800602e1850820200050800000280090a00201000000021020800a442010248800040300050842c0080080040071004040a102002008102000a42c08840508010040000518040802a00152150010502c08100340300008108642808102e08340018d10a1001804034a242008800050240010000000008c08002058840940a52100c08040002410948800240010018c12400500110102a10b0800011000820a64001084040811080201000000000260800200280a10071060a410000440000058400412800800202000700100400258902a00008210410400610810408042100210250400800002202018100a4000800014224200a710408242000c4020a200000a5800810200000834040000000000280200241840000004010210a000040100058a00040500002418210200600c40842800048c1051240201000011840000</t>
  </si>
  <si>
    <t>A35637_1729_004080a100400340412000842408000c40108340a0065200001080a800000710b0a240002200018142000800002000b00100048a1841081011014880a402a0090820040084084a200400252410000502040600000200208042000110400b00100410042648118008a08210410c00800a02000008052202000048000102010842210810c40352048708240200002508a1040060054021800010a24050000880041010000030a00001861080a000508002600000c4000a04004024004210820084801020214820210804021a040200910118800a02200800048100008418040e0014020020025800030824884044201240010005000080060000821060801a002802100842202900c40c1201000084024840010881051050020861a200a02200000e48018200400310200100002100440000002050c1010891070a21091280000024a150100810008a10040940800502218000a48400642010118808c08000500600210212500012800000500012010c00000452902008840508008c00000810a00002010100002242012a0094204000014204800000015040000090044240014081244801</t>
  </si>
  <si>
    <t>A35637_1730_010800805020821804010804064800210a008540c00010c10042140a50400008112800810000100400400000002500c02102308110810012400502008202008600000d00040a00600108200a4090050880004000004800000250084040a810a12c4001080000810030000824081034001000a508a00000400802200300a00000c08452408b0041ad1050a418c4044821805080040a850050240802000200600a08d00040258048418b10412100400a40050b10842210500108240400100500210810000a5a01000000020011014030010a100040800142002100042408600c40000102308042010d02400100002018248610108e0801200080005200070201040204800a640a10408000402902808008600202812000440018058100000602000240900100818200002010040950508010242c1200240080200a01084224010000000031020010881a100100012300000500000100a02212242000912440800d02800408110000200440008850000800602040042400a02710010008600802140012000108842810500002140448000500e12c00c00010110c10000608802c4021000010</t>
  </si>
  <si>
    <t>A35637_1731_0b0885880000020265260000aa4000220014000211821881a100802010402900410048410042802408000150800910f00348200a0000021084014201000a810b12018002542200048a00400202c40640810000200c00800c50200008702410842200850a00150100200000048400008b1001080800044200014a00a250000148210800808108150200648010102148808002900b0080015200881820060800a400142408a1024a808a1004a00040830010a000518800802002810102a0054024090074011000010804004a05040800820000800000004090020010881005260200040000270010000a80805074004801a110010002800a00900040908d00052042008018510010448000002002118040108400802800208100000400100e02c1024024a040300000040900140200000a08410612010200802140500918040850800100002408a0021085020824004811804a000140102102010410048000040c40850118100910800400208000310300a42a00010500100240208000c0a000240a10200400a40840440500a18040400000400852308200402200e0041840234001270060</t>
  </si>
  <si>
    <t>A35637_1732_8318040402100b0800800034800810000021000041000000211004810801aa10002200500000012502c10002000812642000308010900402510e40100418810140840400000152402000808a4280000a200248200c0004000000280020a800100a02010202002048800a02018000002040408000708e08400700010010b00540210000040042142c08100800400248040308c0000001a042148840100300002a4a010108040152518800000410c00a00100018112000000a42000400818a1840a04204800024010025084a00090080004890090a040410208048000410410808002202050308018400010c10800100600d00400200002002248242000250c0204000805800850080020085210a20220210020080204024000800890881085080000880035000000265a100800000250618000008002242802000608008008012208218508500140c4840060a30a002010208048d0220020055a010010210c52002a00010108310000440040000140000e4001050040000014080004204241084200211881020000801004001870220011060240210030804090800200005034080014010</t>
  </si>
  <si>
    <t>A35637_1733_011080001000aa00000400818002010d0090840860084220004000035a01821001004094054a21020200004a810400c00318400500058200002a40242100008d4080004000824014a40080024a440c48002002310340c0810040880250000040820210004000a100810c4aa02002000150450c0001800080084000a21230021000800000080040040004041a810002010048900408448000f0800a110418510008550800002218a00412210802000042000400100002800b0200a210c1020044014004284010280814804011220001001a00881820280000810025811084245040020801051030884084001004885000a100310000042908108000700a08208440100000002000d00400940000200440010140c00140c00010618700000208100600300208c10002012010e0024000860060820040244011011080020041204080800a61a408000010900440240110000202600110200808010008148848552900018050000012c4a400e0091050020004200a840100158442700810418802240140008c00110a0200200020004010060224a000000000708400b02c1090020804204250</t>
  </si>
  <si>
    <t>A35637_1734_0410040010102100102008100002000842a02208c0085000091200000241810000044a50004081005060804840054090020044031005200200080020044a418342240010400000000600a0281090020880015000034880a10040000021080011080a44220004831a000410818d5000a000210310602412400100902300a0854a400040c0881000220000a00040064000200a00805884011004280a002010c4040000090090041201011045851210821000021011824a402008210400000918210140200018700200000442840200900000000000a4001020014a508400202a02800100902242010240400042c40000610808a08002050800810100c00112a02002300008000100b48c48040448002510c1001060a010848040400210800000000000040000000040648842108310112100300800800048008442800340e00c0204200a010108c40810010808000040000d00c0a040c0a81825a01004004011000284000011814004080010005054a110048000410100000002000502012100300000002c08208240002000810208200802000002d02b0004a81080800844020804211880</t>
  </si>
  <si>
    <t>A35637_1735_000a058540002a00002000050048040102800350800008a0044040020220040810080000094a21000a300008600800100200710418300808040802010010f08002a00010008300410100848c50042400100200a00c10e0001000004021a408600800400208050042200802410c10208202042d0000a040040142100302408600602400a4200810800081000881064001001201830060005024884014a400002002140000810000800108840002c0080041800044860001080080840a200212200010900050100600c4004040080820000801060ac0084050085000ab00100400c10500340148600508240400a00350610010200442900140000400c08a00008002008250050410852802140c0090231010001025050000090001200814060811080200050ac1801021090280800800831064884054050080841020044004000220a000008200812008100200848002c10a0001ac10642a10540000a0a40814210a242440a10000000012642000748000208800c4024215221000050020201044820200001040a00a81080000221210084200200060080064040005a800c0280030050080</t>
  </si>
  <si>
    <t>A35637_1736_880045000280a05014250810800055000a01200a018100012042300100100008a00412000302800148000a00c48100200102108200212a50c00840818408c00300848540000042110000250808000000340112c00800440002000100010718e0001280004024020200800844280030000040200041000a510c02008000500050840540200812002008f0801000030000014880820a00001040211201a110000208400540148008000200202c0020020201020025800201040210210240064240001024284821090800840215040294000211084880280084000804a200c4ac10910348002000908312210152100810040208a48002000002040008108840012000800200040008140a0844000091211861061241044000005235000004205094204280a040700610010840200108440000400002510a0800a002300242048100040010110808c0241000000a250240000400052002c08908108100510a0244020814000060850040000094220a250108008008040000a0040a500052c00000500110018000810c10440408008242200410002400a02810408c0000a24084280035200811</t>
  </si>
  <si>
    <t>A35637_1737_8350202000102000008908000210800500052000b10642200102a0800000a010810800902240800208200000410412c40000210910040200c42002a0001a700140000012808010402808208002050002102500810008258c4000021010000811000090214081000000060225801000000001000840200a040900200108000810400500040102400d0024a240000002a12242008010c40c00000848410300c08a0040230881031000024024205014000200010860000011200a810000218042200c40048300002c1081220800080800801040860a00005200001801080821085204044830054ac1031240810080030210070080004805004204030890000a85884000225a010c0000060000024820244001015084a04280a110600000040002842100018402000c48c10800c02a00642500240248000208802000700912a50500c08050140018508202400900000500000512000c1040220004890040280a000a40118000800a0021200244800220801800081a812508002400200858002000c00300240018048208112642040402410900000802a0204a60040000000211000010040840</t>
  </si>
  <si>
    <t>A35637_1738_0250c10000000048410800002200100508200718010210040000502902218800000a1051260015201881020021840040a800010d00a12012800502040410c00100c0015004a04000000890804200070014204a900002418002200000112218200a4010014214001a610408812012600000502e10908000412400810400810800248100108210000000740800540040202450000850810800000240102400a10c08500008800202100040212512802300000500840040142900000300000800610400e0014800280070aa1200080000821020080884810220830020861820000081280010014240005225001014000a008300c0205800060020a60061815a040410800818000c0001000800024a018048100040408c0054200001211045a05200010020040010894000200030a000312c18112000400800002540800908200450908000040a1025820200024221040a40014205201010a04000200081244a84004080200810071081080010081054800040801014000030a240a08d0a012010842200700800050000500808942010000248402000008102400b10100218900400a0804020</t>
  </si>
  <si>
    <t>A35637_1739_0d42000500500a0000000020020010210000a100518600a00002242000050518948400802000b00002c00000002000100000000000500808000000840010808002640010200a1a00840000880200080011000a908000c0045064010804a00801800280254014030801020204810080a81810290000000080034000025000000024254030814040000090060084080084020020044a802812b00158000308250240800402100400400900c1804200080a54000051a400050002010018a00a50040442848108002d00202210100100b1030020841a048110900b02108008008240050100008100000140840010c4084810801090001044030a00800001890840ac1030080a000410040012902102a0000001804204285060a040050410608200000a4000a110600300000c12040002218300d02000150c0200220801081241084080820010a008400250452040a00000a00600c08042000000700518050050800140300240000840c10000200048240d10048a00400240000010418208008400c0a208748418a08c1000034830201840050024010040010810a00014844045050201800040</t>
  </si>
  <si>
    <t>A35637_1740_8142200010a00110012000010002900a00840040000648212800002912400c00a08010010240048618800542210002240008310010508818000040100140408600000140a40100400410202018400002240208000108202000342058110000018410c40002a00652400000c5201294000a000900650840042000000410800500a0040030005824200021240204040800020000090200810204aa1200800840004041284884240a200a10a12040608040600008000000552102148002710000c0a44050024030a400808c1800214080254280000000804010890801a018112240942802800000200d42010100a00008102508002200850008002012200400000100048a10502108500612050c0880010041000a440410208002100810a5004800044011221020000004094000231000a400048410010b00358100c00310210040100100052400012208500608042000200400010942800a00648b08210008500a0020010041051220800000010a00ac0001044884284800040090004000a010400008200c08050050100c0034a04810890024011040800201000025040811284810001000</t>
  </si>
  <si>
    <t>A35637_1741_0000800c00800150408c00900200802000912412800818400400540048310608008a08c40002b0860040850000005240010204a100f00008000008040212a10010440140d0880220080054a000000040000400000412010810400840018000850800002108002002b08000a00040248008000110f00412002e02248140610a0a200c42140108000100012000102400258048208248040140540000200000902202c0204a210740000740010910048008142c18408058440108100202c08102408140a4085045a218802c50100900802300200408000010300142000400408200852108800208108848058850302818440010308440402102000048100b10640442400800210000108642800400012300400002202000808052240510400810000408a52112600000002000108000402a00840400852b08040002900808200800500342648a10942c02150502042012a0820020800084000a60231014804a040000150102010002040800100018500000110018842942008218810400440800e02a02100800000002c0060a200442400d1040880084811204010021044081040021221040</t>
  </si>
  <si>
    <t>A35637_1742_0402a42140002800258000900a1240214010820010800005210030a80064240880800004004014000a300008842040c0280010071085220201004a800042010c00008002540050202800210008450900a1015040810805045224210041a50821040a100a02a0a10030001220294200881010a300b40002040402048218608000a4040260000874091810221001000a100140c00108a00002000050012400940040042900800100f00108050c02108942008a00b0240010084031000800005061800044080050000051821a902400010608410840008500042800202c0080021040004001020830860040800000004001820000880011080024a418000210408012840840002000200000d1004290221840060000001200a20030a900858800800342050402200800c1804090a308600000410810402100008008200140000040400150058110040400040208a4035240085220081010081200200000221004064024825a800902450400908208212008000048042c08058140000018442c10800012000408e00002102000948200800110240400400808118100a0085840210010801281</t>
  </si>
  <si>
    <t>A35637_1743_0402000840400000008200602200c42800042300100102000910108800002a0044801a14040020020020084801010020a008100808840000400200140310a00402050140908102412910100c00012a4090264821010001200030010004201090a012040400000102200102648902200110048a10200a4001084080805000010a80804284801800210010080041094a010200800210042c1004a302000008e0800a01220000040011800245280090000054880064a04005034000000010040080090010010001260801800081200814064240084061044000a002010200600208100108110102800640002c00100008310200000a00d1200004011200004081851020200230061840824841290011061240064881004040a208050300800a00112200a00412100400842110408108100008218400042200b00612110640012400c02a0060281800004a000040108002200600050002048a0a10200804045040040080240000800024014020824004200004200000090001a112408848040000008840308010442252000000a00208110100000010040100042210402018000b4801825200</t>
  </si>
  <si>
    <t>A35637_1744_0100c0a400040202402000818850140508308240010210412000002202140600000040100508142548a0810001844054021a600c00102210012240342218010b02808800000318002610010058000008952400800008202000a0025260201090000050244880001210050000a010240002140c10a0040000200021801030021a40840010010804260085041284000a84804280011801890060020050800004040014024280205830004000010040000814a400c1281285030091000000840200844040a200210000202c4a040600012002410418a1080014030000a10020041040000200a450100b58c02010802142008400c00018002c00010240408240600802400100100510900200402348018148a00100842040042800210a0020025a902008302102008900800800408a02252810042000500440042002808940040052a40000000a00c00400c12c00a02410800058042040102010400610000c02100a02008402008b10850c00302018648000000208800048848010010300c00c02a08048650218102608850840208058000002000400008310208000202402140b4005215240</t>
  </si>
  <si>
    <t>A35637_1745_080a242402540140400300800840000e0204204260001084001054824000001001820205204000030021845000004280a800052100858008052a0880020061004081a04200025a45091080045084000800000a61075004281220010800010084000080200800801001040040051090001821041020a018012100050008000002850002042000100000412c4080000824a500000b1a04205000810044010821080044010204a040218140040c52400958100000248008c0040280800a01030225090200800004801820021a102102012408008a4080015000801051040000060240000a000052100012640012c00000018100002010912000840500c0005040001004010071a108900640000800010042000210a0044200000204060854ac0000000010014a00020260000054220a15230011a84040090221a118c18100408800000100640408808048002402000002408510410c40440200040210e10210402c00840310000a0884080220005824200004041201020020240001050a200410900000600700600008442342010000600652058102902008440408108a00042008b4044011</t>
  </si>
  <si>
    <t>A35637_1746_0008000000340002210600018808000340300100300440012c40e0001000200050201804080280010891020a000000008300012000500408140840048002308408c0001010004810000850820840000000010030805040280004a152258408600048400100810248c1080ac0040274214014240020a600100208210240010310050000000a00400c08902050850202000048d0020060840024004220801000200041054215040ae0050060090020821a510008858002010140808008100108842102800840102010948640d1220200040040020200804000a840200318000000000208250100c10008c00140008242300810050e0040240010065090021200a04200204000001810000004054080824090800845004000001220041860a400110b0200011a800100a0000284080000a010812250400840050040418a4804000010001240810021880a10020a00040011011260085020881a40230040820000014011005220001060a000a02b1a01040004084ad00c0204a300400810008810200308008400248040042108040202e18808c4085000024800a410908442802f40040600a1</t>
  </si>
  <si>
    <t>A35637_1747_0000e10400008008500900000002002a0084241021090a408002000008140400000008802148908440410010800000140a52000000100c50000e00010640500600042000640042002c0814020050024800a300810040008010900212018800b02c00000502010000800042842512940100140200c1a410450240000042008240042802a00a0065810004044a440800300400a00800240c10140100510010008240c00502008008c0010820040240200204820014020214240a212050010140000040808202010200600408000400002010400a0045800264081020000000080040010010814081004000a04010010011270805084a10034010200031080a800c10700908400108100012052048a10010210e10010040008108400000108848402040908300800810000152200052502018800002100248008242508218242400042902000a00042410010a0a812002118842c42000908000302a1041200a102e4880a00000044040040000001225070005841000020035020020095a052002100210002e0010244880060090064041814a800812a4000200000800800040004820065a00</t>
  </si>
  <si>
    <t>A35637_1748_0942810100d00200202000242000010100002308018040048140b00802010910400050100a48200100910410c42510100000400200058408900000800200410900808510002048000008800048400040008010d10c02a00442108040210e0030a012010040100000e00002050c02200142000800510000950402012018100040040010c00240410408008a1205204080a618008840010012200102410010002e0001060210025081850060204080014804030005240080020004050031021a040040400040040000b10e40000000010508c08300e08050540310508c00100002002200008008c08a0240014080290020200881000a14054814010241044a410900000200242b0045040050030010a412108040200410702002602c0060800041290004004a00001240015010881000881000020804050004a040000608240140402800402600218440500142112240008c00000002002218240400b4081884000215000000000841800000000040290054000010290a042200c18110600110240040008800010400010000900040d0000040200030800200220081001840080280000800</t>
  </si>
  <si>
    <t>A35637_1749_025a000c4020800a150800800018042202a18602600608450942300112400200b0a040140200010008410a12000800a0211814a00000041001244280220020010280a800108200210710c1000000084000060a108b00400452202102400918400400010000850202000f1281010080a310248408a50812000608a00418b00118048440700042400208400458010100200408908010810800e42302050410110c0050050081214081020a002140800202000008142048000c00002240c00900202102040900240200542c1800200800a01080000000800000800001200041205800080081840280081864a010000108108a0010a84000090210244201061041210010280044820001a850040000348000008310000410a0010000210804804280080820020200050040200004085000000094884081000820a200210c0084a41014a008300808d00200502200012050708802040040000040440400a5a20081004030040840010000004094084a10001000a00a110200010448800100818802240000000010e4001a000800000048408018258100140012202200c40008802a0200a240c1</t>
  </si>
  <si>
    <t>A35637_1750_8108000400608008610a08050210000100858400000308240400000200650110202000052008810002c18312808000000b10000000400c10000440802302800640208812600108348900a0000204024a00070000000241a040400212142100252400040808a10000000800200000402240240500110000110000148402008000048040040008050c10110000800800000050200300c4000000010040881010840040040000010a000410c00142140902008c1000021001080011a300408d4824091000210a20080090080801044235805000084820080010a210000400b0220880224000844850841a00000064000214091804000a410240808040300908800502a0200240221830200000020a04810a900242c00800240210408d00010c10400902918400010000840002e0020830820040000854000000004800040000251080801824821000021a01004820241860000880201214a24014a008940c00012048300750010200000400400812002008050008100000b0060040061ac40500302840248908108000c4270000a010000002018840008908300000048440c0004230000060</t>
  </si>
  <si>
    <t>A35637_1751_8040018102e0010a00a008a00a0044050200201211000020a040840150102000202442100048850408500008002000900802402a00900802000a4010010240040804200020801845201021805211010015040040014084a80000804211060000201804080204240021004204a000240202500800052210052402042050108100810000c48808240e00248208502400210010108b0224004210a002102508000840c02208900118108540248000200100110018a0000080090081000a400810c10010000250000100012048c10202a48402000302a0054000880a30000800800090264031040040081801050080000a00000010000000044080000a21025000084004090041a100042c4a84050000844a000008002002908000140808808410402108000500200450002800a0015825210095244010080200010010014080001254010204a600112810040008000200408102442102300800200000a12008000408000448100542008110102342000e08c0020040084a00201070004004800060204010000011800041030824224011000800010240210260040024000a40004824000a01</t>
  </si>
  <si>
    <t>A35637_1752_8158002000c00008400010110642810302140048400100448800602202108810300800c10002008008800908210840048010740008440a10050000152040e00a1000004000084050a000c0800091004820040890844081001004080014800800aa12000f02148510000b00600010200050642410200810100500008400600050810040040258010110200c0010070000a100400542c40800140000240400c40818400802210010408002808c10140000148200010618400000110308d00a02010100102010442108008852c0050810804000890204005294a010010200008242040a48a4021011000284ac40302100002e00240010000002a5850a500a02040800542102052800218800902100200048000c40800502600200052018700400000c0004224010001001000004a00200821044021015204000251ad00910412c02308108000200800800010000108550800208c02540300858008400802800840208300202200210050440442200400c10c00a00540000808202010108400810c4231a410000100a5000020820244a100110000000d0a840040b0040024001050080220020</t>
  </si>
  <si>
    <t>A35637_1753_024a20801284804a200a00902040500000148010a0020200011000880811210081080084024030064010800004a81230081060210801200001250005204a000300400002d0a24041020000200801040010000880044a802502800212100c18a50610800500012202008802402100840000000b1874841080284201205a00010000001080880a212018000c4840074005a10201800080000204015a04800850085a90050020060011010801804000a258442100912a40802008110552a00500a00000240102400d08c08050810642000200010602000040042b40100110c00002100402012000010248008850a08a00208800810e10512408002008000510a0a40200005001220024820000000000821821000280040000214800a30094044a00000230041090090045040080091255801040080a012000008450200240842100248008200410300008040008a0800030880a41085200800061020020801a040008a00342610848800900440102618000802000502348858600500b00800012000010202100100040540400108102000018410010102010000000a1a20804020204820020</t>
  </si>
  <si>
    <t>A35637_1754_0500048102a02a02400100c00042810400308418800040400010800100148200410010c02102240400c10002850042700a42040d18542002800040000002200258e18150042008150108000048940940000618608200010402d0201830a000052e48800440200000d10008a00440502202002008702c12850900218208000e0a208000040048200010c0281090084284231090000000014054825061040014280000240a200040600000012900a08002542908400012400040040702a00040040010048352002600010008450508b08108000008a08040300200400400a10008102102000418c18000408000c0001800070021084000204a100550010902410000c00258008208008040100802142002018002640800a40008418400100402802c0804820291004020800000a010040300308808400100010000400a1804294070001020800820a008802002050000000a08200100040240100c00040248110140202700000508048052400250000910110402d00e0801004260000000a000c00350402b0064080280010004020021015880000040080800801820200040064000250090</t>
  </si>
  <si>
    <t>A35637_1755_0c00400412000010048210842808040d0001840800800204a840042002400100c0a400940200102000a1051204a052002202410500a10a50000008002300508d42200440100000210c1844a24001040aa02010410040400800c4200004040050081240280800214a000e52040012a02048002418a4004010000000a000018e4205000220a018040b08848240c10000050502400408200c00000140240c00102052012002100640008908002010040202100100a00c18040802810340008640202010100040200208908208000402a00200800800010800040040410000250240010008002210c10110008040002002400208748c0050240880844000030044080224080a002810002c50800408240400018148408912802810000400600a00800c00018740d08c00c08010000250110000c0005214210820000200080080801000004021051000060000050020a65a80800200000034000001241011020095080010861800094000a40010081000230020080044054000a10820021065000210a80a118200012c08000502110118d0810001ac00800002000410002202140440100000c0</t>
  </si>
  <si>
    <t>A35637_1756_040a21804040200040090824841085010804000010050021200264880040210081204a102000010342d18040248440900300442300550008540c0084020841024005041210220a440000a12840102840a10602400218a08100002008000100008000010c0000800010895000a010042800040310202258410842840210e0890821214010204041240010820200280030000aa08c18808010840010600710010202c12000040200210040c48800008040000908218010040408a0000251051280010220000821040040a040142100108118008a00212000c4a000412000050a12000402140048808840002042500840210508c0020281090081a018e0840040200080020200800004041010244001a500810018002852a08008050000518000102208a0810071001a00a410040840040510308c50800000050302010608212100000808000100508000d02400048110010442008440202052002110010008000842800410800208640802540808008000052800400b08040200100050c02100800850010308500c0251280a340018200200818040002140040a10210a1001044821041a90</t>
  </si>
  <si>
    <t>A35637_1757_061201000000a118540010200202100440208140c00a02002042440142000c18000800000f0804801021800021010080230000220080800081224081224a018102042010008002248010118a00400142908100018508240940008240240310150042042302058142310200000002008000008800c0a40844054021040000040a602400d42210008400708800d02040048100010212602810000102048800648002810c00a4200840040000015004820a400600c02010900000848100000912000000a08142440800010e0004204230a24a110140002d00808008402018210600442000202408110000840942a0a108052018340e00010402100200008300842102c02110000000000a0084030a110148c0801800a41090010051000040821001044004864ad0001080010074020045000041840204084084020250040020004230080041a000808400900a0235000a00014801805254000240210000885840040000a00020004024244030280000010801a200502400040202400612a00900240108118408a0000811200a100100b0004040000024221001040001040010234014a40010</t>
  </si>
  <si>
    <t>A35637_1758_8c0004205004810044001800884294004810020011044204000040aa08640100010800812202000502c1001844800280084024240030040850010080a01850030820000060800005880031081000060004000a60020a64000080000031211080200081000a000400b00840e40000400000208200000000450100000002000408c08c50100358410400208002100500210408010000c40000242142400300800008040a08000000400000208c1000091a110600e0801801020204a102008010400c40008b10040018400402042140912000008002c52000200a02050208002200810000100012100340040400440152050210f0084054000010a00840091a800400a00050102408100818410200852040200f08a48102348a50140818210410040200802200a0025000a400802248402110400a0ac0064000000a600240008100042b02302008002802010308000602000448410500000000500a00c1204244200000000041800060010004010000800080080881220080050891804061001000001040001021221804060010004000000004215284020010040060280805200034820281</t>
  </si>
  <si>
    <t>A35637_1759_050000000080011234010801204250040090000841084aa0201294001030081801a000d10500200000808a00400512500010410a18400200c00040040450208808002802008010142608012002000500118040900800848800400a4241020020800080000000011010021021804004200025ac00400402440800010212c10008400100000000400200800802002c40000010500040e00400b00100110b08800858140002900412a0821024814230000a40a00801280000000a01000210805801880204085000210000000040020aa02440218118000050540800308200c5004240220a058500018f0281010090214010ac00210000440500000202808448210112100248040008802050012608000402900a0844200260281020091040804005090200041040000005a010800008208008a00050000402200500100900210540108002050e1004880044240210a05010081004291200024004010864000850024a048002108e1000200000880221801084824800004821011220094040040014010014210840020a440848902100010408c08112000210000408b4004215280814004241</t>
  </si>
  <si>
    <t>A35637_1760_8040008440008140048c00402a08002600a0241a80000a418400000808108000012200140a02210610100200000100a48012008000600400040000250418200102202150c08018200a0050065210280000a608200402002040408140200500800600010108000202308042408512000040042a00918c42802000908100900318400102c0001010800805224a400040a0214040804a040002800202402800210608100800248010910200618112008000002d08400200940f40018440018802010410000a0001021000a00204200084210010804064200084290200001000841a540000040502500b4881a800500308000a00200240c4000a800002818110202042400212600900458002810200112210110802a00100100200140200802000000002212410608008040852508202108d08010000100a40208048300410400000d02100100218810200510800018002000210040152202000002200900418400400300108c10200448040040a50008200000000040e00210040b00800850800042002412100812418910400008040200a1041010010004000201800025a10010000230280</t>
  </si>
  <si>
    <t>A35637_1761_0810002500300040008008402210100348018040c10008800440302808000000600042000502100100a00040e40c1020a20040200031a400400e0014830000025200210200010000800010025a80080a010202000c0000845090005020210881865014080280071011000040010060800054a900402440102a00a00110208a5201a040000802002310010040010100802400210110010c00608a18102c10948c50400000802412300308018c00a00242042a08600040942202000208000400a0811040200010841031080040020a80010020040a248902402a0000080050000000000a000440c08042210c00808b08000800200848140208050002310b18808100a42010050008402842040502900140200050a40000502040008c00000040000f0a350040c10118048802400108618400008008000e0005000a01801280040040000200030081020244040800000a210d40048910002840108110002c10000100002012010108000400008008702a0000040a050b00042240008208840002000200602a08a4a000812040b5200850020845800060884a01000844024091274280000000</t>
  </si>
  <si>
    <t>A35637_1762_8010000000408100000500012002010d0a910252010650242140000100000a10840e10150200848400200840200c12c4010a040008500602402208900010200c40402910102242208600918c0805080a200640100008600012240208012500708000040040058640018000010100340000140400200a00140802300502118112800500c4290221000860800040210081060010090280a14204800820a200158450000240248402800b12440100500040050100e18a4000230a808218410e10010112c00000200410102252000040052508a10808000042a00000502000700400040000a02010a00400a08500400000140000642400000a00250008408000408440900a40408410c0a00000060221a20221014000001004094834011804000011024000a010800008008002000942058208112000400300240008108042040c50000810152d10110218100400810050c08002810112440112040500642000800a0221000080055280004080200004250080204a800000200100c0004884000050aa42200110850002100200008408010800000000000010102c1040804880030084005801</t>
  </si>
  <si>
    <t>A35637_1763_0252c0810040000820270000001244050034004210040a20050040a00200260004000844010000020020014220051004a300010000200a10040500000000800842000800842100018408300010040800a4200280010a81210004020850280810040000000080020021804044200030200a040410042000042902a0000201834200840000a840042410200240500200200248610300048102a4281800880050020001200800a55000800020a510d40840148218c0040000244005051050000204080040200041a800048000400840000010200412200100008910150510400a42800040102040200000852100300000400008008610050002008000110110018042402002100008248610000c0010005880000084004060030a00800820061004004885204a010240040c42902800412008340c08012448042218800800200802840a0a440a0844800000244005220021090000a002802348002008c00042800000210200108012c1204020000a400300912000100740840248a10602040000000808240d00402040450840000308800902000140440040300800010410d40002a1020a31</t>
  </si>
  <si>
    <t>A35637_1764_0008442100048040148900158040000100840412000850842052100018242a08540800002202a02240200100402000500808100000018418440202200118500010800800000042652800412042802400112200a0004004004084a00000a410042210450008000000000812000002100a1041081804a60010084005a44a51005a80041000000804080021060a140400018050800650000000a00040010000c02c42150a0810800040830000a400608000448900008c00440800102108000440c10c02100200200300a00a0a00004000254240050021004040824004260080805080200a100010010408248040e0080041070010a002102e00200108800800240110000010200c10b08000400840800210500440002c42800000500110008040002600042110200a02000400c02010010c08010008500402300100800008200c4004a310140910910000000100050348c00a08402450048012110810b0220810200081810a200000012002600142518108218000450008902440008508042810042248208400148048802708000202010048a10c0024020800a80040081000210891000200</t>
  </si>
  <si>
    <t>A35637_1765_840025090000200040020050280885284810a040500810c18010e0200000050804044a402800912002200042c0004054000001060841080080000024851200801a04041224010a00050020840880280aa0025210085080204010290000821080a80080004034200040090a04880210225861000004201ad0070021a448200000010c4000231001200801061011000285004a200040040442508852010010200840010000000000500040800500148248202210448808412400000102300400000550a00a40640310408440400208010608a0080204080060014014070080040000000880814000801001a002040a0060840015200014000000a60801884040a010002810258400418200400808810002918042a00000000002002400c0004240224004004201000200a002800150100410700640c10802340042400010000840408010102d00340850010342000002100110a0040004885a248010558040000400010500200818000500642242500810d00a0850000000830a400410410002c08a40108000200212000002200400c0005820010060804801a100008c0215030080061000</t>
  </si>
  <si>
    <t>A35637_1766_0308800900040942040518c00000110202210448b1020a008000048148458200e02818000d02108000000508648912800900140200100010002408200000000012002010900900050200e0005001014010200210000a21880050021000a000808640510700a0020a808140818500c00900602400608a40d0010000044830014005005240225800810001820a040242000102400202e00c00c4000a010610200800040100902510500448208002000100350000900002c4080004a040400c08010910008a00008c0014a40a810a48040500210442810010408042702200010240002540842412210140200c1014a212408018108800800d02010000c00300800802042b10510300512400900302a00008008000800040100008140408110a1000220200020041050021880000084201250021000280014a20020a20080040001014884020081880020080044010014a010458840000e4084200040040860211020094841810080200a050302900700c0801844081200810254840000a008900200000040808600000840a00200448a00910800d42a00212402000c0220001040000831050</t>
  </si>
  <si>
    <t>A35637_1767_0240042000000240410808102810000008840518c0040821000000000020810814240014200a102312c00000040402040048208218302848110308050040a08008a0201070220a042500908040000602242600a08200200012440008510000812040800008100642418440012000240b02108100a10002010800040008000102008810208000002400840442c00a40140608900940440440900000242610800c02000340248018008c50002900000900400810002a08040600000402210000c0004080a010318000210800040600200610508500a0280204200a10800025200840044800825850024a208100100200000900140810802b0804a000010900a0000000000200201000244200044284210200095004001000021060841804a808810c00910402310808000402440008418200800008800002b02110810212000010200108408e00408018010008000242008002018140448940112108008218040002942708a0800004000200a24201040810040281084090a210100200800040202150050018e08c4240000a018010108942802100600110100400010840c1044001245000</t>
  </si>
  <si>
    <t>A35637_1768_000a000440142818202800400e1044220200870080814280085080a210402010012208410148000148e1865200880280004251811020081a000540240400010140002812400000702200f18240010202852010508248602c0090820264821020084000000a14850800090a052402000a40008100012400002508908050000040042010002b00548a08c42208942008310040900a10a0281050024800000001001210080220050210840020200000081230ab00000800800700800042210240008010000002502b18040240400800810000600440000900100a10040008248802012300818002200308818042808108008000042040010000808350500a10840802248002012100000000900042110008c0040001241040205041a100800412010840018548000000e4001000804860030000a802000140850100308e10048000108a10002100040002050000a4024200004004084000225800a20001244080294884050881820020a010200800040908008812000200008408100a02a00540400840008610000042900548910200010202002000242210350800000450110c4830804091</t>
  </si>
  <si>
    <t>A35637_1769_0410000002000108242400340002912242148202608802c42010200100040000a00052050508010508310c00218000608140110008010010840c02818600208e08208052440010610108b42600840500100010a00000640100108210100018a08a0000080a240052400440202510400100000110040a00000400040400a1024080200200000860010060281840000a140402100308448040240a4804200081241044004020a048600310050010000100600100200010500200202250800100800100100808110a0040841840000024040040800261280000800024290010885010274000a40081815061240200a01820200815000a000002108000100010c5001000a100400100200410840448318050000400c00040340118712200518810400800a1021000001a852502400048140400410000010000a00302510c40200550402142408b10000200140f00802300818042000000700a00400810240400040400000640000110408002840a0a000110d02450510102000248000300400010508018108e10000000100800a02200218000c5240084081200080004a80880220800050040</t>
  </si>
  <si>
    <t>A35637_1770_8900a1881000214a100008208210552400810002418102810842c08210310118002c10400508800452100148240002400140002a10808008010002240008500300050502002018000000200600000308800012300d00400440a08a0020840801840010030000a000c00b42840110e0a002108800402200440c4800005800004020805004814060800004225200030021a040010000e02c00008240202018012802050200140240d10400608010902a00440008912002100402240100000158400c00140842000110000e00d0000210000a008058000002202200500008e4805090000a20015200831000010010004800280820000a402042810600818302400140900a08408e00c0aa02412840208200008000410150100100150408a00040100000202002008c02410100002100208200200e5a01014a90854831000880800020204000200021000011004280a00090000884ac40c0820861881064021000000a100042000008600010d00000000508808a00150100010242c00c40800410040000150000100a0a542900040540500a10a0000030214061050885001004220001000031</t>
  </si>
  <si>
    <t>A35637_1771_8100240000740048008e1000001004210804200821045000044020010201010004200884080001050840004000010000004220a000802210c12c00a02010a0044885014200a810140300000c52810a00000410208012808100f0a000010208c10008d00000000400408042840402c0000824031011200284040004010840070004010014081824061070860215214020a000108a40000802408010600410250c18110640900108a00410052400902b4200000094804800274285a21050880000000010800840a908448a00040400100400010200000012a02840442410102408000008940102108900000810002800418300e00440142800012458400000000000e02208210200c10040050202110242000000008400148010040808448010040808a40000200a08208000548200012b08452850100200902000200048000502940002010410000a40c02848800410400308c0ac00d0a110108100a08010400600002040710c00008102408012102410140012c0204000800000000aa0080004000a018800012610000302000208608212000c10102300110d0000264004000000804830</t>
  </si>
  <si>
    <t>A35637_1772_0008440802900900642a08a4020a010d4210010000051000281200030a00221081a440900800a40600d08118002042100910400500100208002108152008208210440900600a08610000202800c1020801800851010000050060a150308410002658502000050000e00900810000808040542a00040a42402200000110118800850042108008500200100808002000200440000602400410000208200908108050c0014200000080080a25004024a208200c00100a0815204201824840870005280000800a448000500610c10802808210200410440000140002008200040a40810a0a01251021800025010280884024a800600808410100040010a08450c0044284824020240821805a04010004064041011200281010a202402010008840000600248208a0804021044220000a000000652000052440010518900250c0211024000a040118200000c00500b1240011000204201250200a402400048002510840102048210e0000800084001011010010020005010021a60000090a010810d0000010000880801205000a142100410700258802408a1050000840000800010030011040</t>
  </si>
  <si>
    <t>A35637_1773_0458a48450048040008018050000800500102318008408600442102000008000902000010000200452108000210800700000040118a48200450208800000008c4020850000881801230024280840080820830081000081a00004004a45041010800084260a04020a400200210040a40002200600c1a802c02048040602408c40c10100140050302800810048100042002012800108a40000400850110010402210c0050820014091030840204000891a00080865840000020085040a21810a00244040000030811024860a44030280804a100202418902242000610c0030801a810d02100408200050208442802010600c08000018800842802050208a1000a00200024210a410448c00000040000640d00010840000508a48410910c50042110800002510a0064064011010800220a000800810d1060a11040020000000804044800001a800800050c00208208000400200400c12900002150900100040010402210040108e42018d50100810210600a0a21080294800011840020001204284880030210881a400c1020000020010090005a14264290000210840844010080284020820</t>
  </si>
  <si>
    <t>A35637_1774_091001005000035010881011a40840000024a008800800800942f42308040608010012100800008050b00000042040602002408400a50200040800918102000400258800840310418200500650110c08a10148000502410010a40108200008412452450000810450c0011840814000000800230031004000050290000890800044204040000000290080a010800000250208618002400000e00110540800b4804a00004201040080025000240094a20a100a00002610912400a0001a000800802850208052008900440812100000000610300800408400c0a000050910c40602802200000240400c00400942108000540c10200c0804000024010a000a02c50900240140100a08402850040102a00000708008008410a0204a00040840200015054800a050000a5801804054080060081000080200084a84000290055881200230004071000830a04210200880030040041000a50220830020800800841011000800800a300810008050102258010900010800800300802600a10412400442700810048508842048800200300340800a00000450400100350c1041a04ac1214201200001</t>
  </si>
  <si>
    <t>A35637_1775_0848218010002042040410808600800c4030204800004080014224281801080814044040280005860010090004015010a048008108040400c02040242000010600600900500112112c0035000080044010845020074a21880000004204011090020880064020810000000004201044a200612510202808040e02000110410500040410200048002000840010000340050300800010800000808008012000240000d4280ab10440200040e50410002818102600c00240040000112008000002412010c02108008000c4025a81000a000600c10302c00450100310102b08248008100840110402c08300010000048a40600200810010000908a0015010041204204050a040000300908008012942a00000208240000c4010084044a010910418040008812408910400640500100840400010108402002400012200700010202910040040218108000802010402840008308a08250002c00102108b00400002840000000012000c4285000030020264020040240005040081a600808118008010a08b00000218048440000900040000e0090004000040080041860000240880000a90004880</t>
  </si>
  <si>
    <t>A35637_1776_021ae00042e40810010100108042040000100540110002e10800c00a50050108242000842108042300008a00a00000808002010000142c0200044034004020010a60a41024800850210004000001080221000250080001050220084800ac0804000884000ab10108100402400400900900442608402202800000308608000c1a24041080001a60210080080a510000308010210600010c40c00240110108400210850000210140500400c0090240000a24081820021010280884030001084080244200a848018510b00000402c08010140c08012240800048000000300d0000040004804060a41801001800014220001820020220044040020010200844081290020290020aa00800418d10002140008000808008812840200200100140e0050004884254000004a202010b02040002018000c02400942800248100152040800a0824824001024a000410502040102610400018800900300210400050210840302118600000800810840000012002000d52000000e08200018210810612110140140210800c4aa10802102040402608910000002800202110010112a5800050000a04040</t>
  </si>
  <si>
    <t>A35637_1777_0200040840100a00452200442002940202a10140508248040802242100010b1010045050084030020001060244800204081a20090080a80240044020841240010060044014001010210000820a550100110500010002000802100800102a08c42012010808008012200048a00000500042400010400000012340358000000240000d0020a300442000148c4800060881240091081a00080040220a402000200048000a00000008200b4001ac12e4a310040800640200450800a0a20021020a60a00094005030a00800000814000020825280000040041000000210201004045000080201070080880040055004200821220840a018802202a00000000812218410440a08540c0010025080040a000042200110048800002200550000200800042002040050508440200400200102252118a4060840000a80031800014a018010000052148610c48802412b4800844220080801051030800041010080024811034034040841040a002012c00900008000258800000002848050200002018102000040710400018010402a0080010050004001000280201801ac1004001240010205000881</t>
  </si>
  <si>
    <t>A35637_1778_040a010d40402a1260000054a048800c00012010c10402c10802000a08300008e08242000000852102c00500600000208248448000018000802208a4804081000200240074095800201040a400000042002200818410a48000000900008200140248000840202302008240208900c00010002c08a48402050008202200000000e1200280000204810001241001050004810011841020204024a908110500240602500848108200618002840540400310308400200e12450008048052800100608902340808340200300808000100018340d0000a01000204a242000008c4201014000000800250005a052d00802a0000ac18c00410100442000340408050842402500000002a0831800204220010a040100408400052002040010300402800400008940108400a00e40400400102050500c0881010004034a102600140008442a00000700200008258100200302200510710008840048002048c1020000a810400212000c0000804205084000a54000084a04000210090031880821244004280801a14201021080210004021001a008008400c02400300042110100c0200200001201241</t>
  </si>
  <si>
    <t>A35637_1779_0112a08000800040040418000a00100a40102240400502800800000048108000240800000440000200908a00240900908852100e1820000a810000a02340910410802910140000408200042452400500902100000408008c0200200200a20004801014220200054291810205a450440008440800010200040902240048208502000840f00a18410008402a0044280211a252108240810000400b0004090800005840014a000008c00600400042a48218200c00842400c0080010000000861000200050891220040831004204084204204061864805041050204060081891225000244005001a210a0024014060030060a800018212840e0000024000015800a00080804250001070200294000880820040084244204284004000a410242258100c0220040060800005010000814260a110d00010452440008450000140802002100048410010002012000408a5844ab0800a400000202100458510200800500708a02208010500002900040918210400240000500408242212808900010100002308200110218002400400800100010240412100208a02008000c4024201290080001290</t>
  </si>
  <si>
    <t>A35637_1780_020241a50044281a240f08b0884200004a000240500100000010008010342200200012010202010040300000a40100300310202800000c02140300902000008000818000c48140110808510800050102242002618858010050c4015020240020801081010a00a408e00450010d00608000040818500450002c02000442200900c0090000800000021054280a11280011830010020801a400000810000000800008402000110112400148408002240802150a00010002c40200152200900000812000f40102000400c10608040008002112000040018800a0004821000840a000100840100242808802008010148912250800050400040100200018300352852000c00050140500212a42040040800100500810600402400a00008418042202402d40200208100348200040c02100118400c5260281000095010291800a000050400a0210a018108802000048a02418b10800002500440242150200552800040900050200408648008912342b12002410a4800041090890000a01805820080200000000080020aa00800002850652010240e0210044200211000041001a41020005011810</t>
  </si>
  <si>
    <t>A35637_1781_000060004080000a350c00208200802108310410900408a4800084221050020081801081200000a00800800001000000090224050824004040080a100008400d50800000a0011000860080820801020a240048500108808000842000408600050802000000b10548908242800902000008610008242400800802012158000040400800400302010900540210100840010412500c00000010a00100410a00f0a85a440908040202a0000820881010031844a010458452800302010108310048850000002a4000240010a01084004001801020014801080204000825810810a240440600012000c10610810140200a40100000200242502100a40418100708000040408810342500510200510640008408200e00c48100802900000300000c02452008200440708000018040200048440300b0881004020820a000900810050040400210300a00418c08140342102308b00c02a00100a02008102408800400110840200210808018000902002800000000600450800400210040000018400102400a0040a208458008052000118210410310440810a0a80801851800001080200204800a31</t>
  </si>
  <si>
    <t>A35637_1782_081040a410242350002c0041281000090a00810000841820055040020a408300850012800000200010908c4280010030034a05010805000800080024260820800800001030024800240014a21000284000240001011820a400a08112010008c4020001000024800261011a000440800008000b10842c58412000110000400208458040100800000200040a12012102100000c0020a810502002000610500000a10050648840040008a0204a00090200051a01080804010004a00000050804a000000840002100800c10608100148018710010a50002042200812008300018008d00c00a0800280080060040210025214a00001840004024800204020845061200080230210080020a002900800002408410100602040400358340200008000140840900402b1000204014240800000841010a000012908900242008c0a85800094a000310608110008012200012600600850410c0000030020201031820000010000805a110000410d02042002040200440200c00300000600000810000450600012108000010610400a0a10a10090840000a84040005060a110248a0200260200001030</t>
  </si>
  <si>
    <t>A35637_1783_8800c0201204010050000031064044020081200041081080a812342040200300400018050600008500c1080880080020080200281010020010240a948008c10110610c40400208000208140010000c0a000140008610a00800308200002310c0a00090014200000001080280a80004284840841010a000102008340000200800810410840140400008f10808040242802012400c02810952000100000310918402012548050542500208010040b00100100010000800c40c00800400a00250240400008112652400a0201014010001a01280020004200080804250200040000004070024000010080864000040810a24030025260200060084041000094044000084221065030000a808002400000042408a02c4001200090800081001a840c00000250200000100018010200300000400608018110000240440808500210500042808002a00640448400500140510000000200100100802658a00040a10502140a00000000000c12010200848550608b0000844280880000000064200810000001000021000804040000820a050000e0880040200804805aa00018a0284200200011000</t>
  </si>
  <si>
    <t>A35637_1784_011081085000820200280810080805000800035860084001814010a300018c00102810050040812012000010410800e40848002100052840000842100442d08310802502002a00040018940010002008800702610810800412000900000400202448800a48a00008010600402c0214080825840021a00801200824040ad0005221a800040118000210602052912140010000800540018000e00010408a0880064010030020220010010a85214084010000000804860800200a11064010010080295050221020890800020844070204200280000aa00840000802040400500800d02642110110008550002112000240600500000002500808050040900000612010408210100e0010020200010a002000500008400100400808442310400800150102810000a0000884851080004260210081a04290220030010081080264004020a810410000802208440e40018400608100200102102918008000140010410802242010118110000400e0a108000a00c00200002040a00500300402050802108000010000440402c00600040102800100c58002040110050010d0840200200014004821</t>
  </si>
  <si>
    <t>A35637_1785_0c48800900000b10540c10018040010440848010000002208d00a40a40110010502240840c0090014800800001a400040218000c10200418440800300050000052412000400210018200e4080a940148012008b0044220241084020a10800010a60805244205a450800408000400342010008008208c00800102000200410b0a40a04010020240a800b0804000004a202408400252402010102200318108010002142402310100000e00008900b02040240d00010010152402000600418048442000b02808000900410200000900a0214201005200054224000011060085040890024010044811080084801040024840200011a600c40040210140700308210142042000050000702008900200118500a08d0080a102a02010248800040a00400100048340c08410200002102800110e10202200140402008202000810a00d10200000018218040250040000110000008f10440800000048002600450008c00a0a000208710850008c0240a012008200800c08502808a00000c00152218400342200008f0070220201204824041001841061804040000804a91080a00001000280241861</t>
  </si>
  <si>
    <t>A35637_1786_0a40400100200208202310c00042000040908708810048640050408042000408008640140a4811001221811044214000a108008200008400412000002000110b10800002100840218800112850100002808600008d48010000840240042100d00a1200060a000152008a0821040094a342402100400a0004030824040a310400002010f08200410010000802000400800000b00140240102200110008000840408000800048200008240c0080240810045801040061800240010a01a000202240002000010208400200840000a40040002800812410010c0a140010218002010850502342000b0044200004230a00044080805a04000090030060220031860841000894064070081804280010084205a00800000a400008a00608018100a42000240900010200d02050c40002112042818200410000c00018000a00600a0a800a0235a000010912202840a00a0200270000a00a10004214000220804004880240a202240110442600800848000012810d10002042008000210000108608440a42002400200f1800854200831000010014045a00000005054071060080844090004840040</t>
  </si>
  <si>
    <t>A35637_1787_0040808910902100200200140040000000012650000910810410700008012800010208000908200500000440040012600040200010440040900540000102018410218100a00040010000200000d10002812042100a18002040100008540800250000800340a40400910a00818000200a0814020000840a010a40000150c0001005250080210005840800000240024010000840840004810240084251000800860210080aa00000f10000412402c0000a042010118040140100842100000c00440150142042000108600852900800218140010042e10040000108000200700418000440150508608058a08910242a10040c00600a0041044001230800021080a85060800210210000a00a440108040208108408a1080214000230061010201000210000014000094a00200040080200200014000810290000a048000608002000a0820050200000840045040810010a200c0240080020021860801064080201010280000010060801004080001800a10060240055004a84a010500002640502100240100808640848000000a4051000004040200000804020091000820801280000260240</t>
  </si>
  <si>
    <t>A35637_1788_020044050014a20001240804004280000aa10008500018c4800060081041801021860004040021001a408040842840400000010908810212010c0001010050010020084010811020081080800280044a200502800b02208840a40840540110002c0000000090804000020080205020005021021004840a01004a24021a000048000902400200208000900000c4200080004880010a000140808a18410000258008802140a10100008000050d40008208402000100208500300000010b1000245881080881001020040a80210004004814a200042210c0010020060000814a01250000094a350008000442c0020820204a510008850100008800348310800010000542100058e10012200400402002008800008008000a4030820000035004a842e00108200418400810140d00018002000c5801055200801041811810a440902002010202d00010e1000200820820801084000a000040110500400000a02042000050600000b48812040b08800000c00910050c02408900000910712448800f00b40242810202400410000100150608042010000e4034240800060020080020230024090</t>
  </si>
  <si>
    <t>A35637_1789_0a00452c00100000412010400e4200064004005800080a01210080824820a11041000000014015a000118010248010202010210008240c4a100c08858408b0030000080004204004a000400800902942a0a202008100c4a000300a00040500550000010248110210808010808000342000040e10018002150d4025000000030260804004021a500800100e00800040002202818000c08400c0010200031821000044080a80205001800204004200a118000100152800010240058000410900018000800300040200400610400c4220040800800200000004024271040051221841000810000220080041285044a800600800c40048000100040410110810042d1000014a300000500608000108058210400040800900242012012200518050540e0024050230890040200010200a01a410410c00800242008010000300a08002000210008a00802218010842000048410102010040300008150800a02600810808802402900000c10102000808142610c0880081000020000220080804041000810035200804880804024084a008000210400800002b40402408812c08812548a02000c0</t>
  </si>
  <si>
    <t>A35637_1790_0610848d00100210018208002c0081010001a000000010040000840040242100540802100c0221200861060220841280801020210060800001064224831010000005201230020000211000ae0210040001a64050020840015084024221020801000200020230804030810a00a440440212412000300058d00048800008000100a0a01000000a400400200a12002440040040118500000110000a08140018200040440908040002008400c4290080205010050884ac00002500240652800850212400340040250c00808200440a4810025211800ac00402300840542108258002012142b02008210600008140b00808500e00542002800300000108000008200010800050040c0085001850040001204061004844004000010241021840a412940000208510310040a02000008040000800642c08100a42000000200308a4a100000800458010900812402000208208f00010a02402108302000210808000902000812200800548410100600a0020800840a80240020210030210000000890000000020001844a04840010881240a000002a58000a02808240100010e0010260080000020</t>
  </si>
  <si>
    <t>A35637_1791_0c10450410500848000300750c4041084001a01211081080800240081010010000804a80214a808552d0000800000040a000450200500250000000100400200b0000280044004250001820081000090201201200041860a400c48000408510002a40002900800002400802000912800002000008112018040140108202908400200002200912000010010000900402a50048218910000412048150040000212808800840b10000c18440c52410040a02510b00b00008012a40150400808110400c0004014804241021220a00044011200a918300000110c0020000080044065211020090004210080a81240000010200000044004840010210005a400108c00842d02000648a0011820200204810041001000201080200285844020024a200002800900050000040000100240200000100002012c4044801810050021040840080010020260050a04810004a20000080050a81210010894a640a0014000a152000010700d00200e40410042100010000c02800010100048402208008218c10042048540810218440d4240010204ae0800004a80220020840000051a80050000800000a41</t>
  </si>
  <si>
    <t>A35637_1792_0600600910f0004834a408202200800808102218900000e1080280800045000011260200030000020030855081004000214234010011880081000011a44201080a41210200000024a800a08c5840020810800a00000284010004025040200000a248000e00302000000208a08042808008200110040410100b0034210000084040005010080000a410448400000702848308008000050400200200100118940040440c0201855200020860044080805021000850040a450308040142008902240850400100400210510000000a4010000021800a050400000800040f0841024a042c0200000080844220000044a118008808040002012c02902008c00000c00042200248010308100812400e00040248100a0004244050890020281840000251200aa02000108342440550902140040800248000c02000008412c00002810800100300000008202400042040002200508c08048000040102610010c40e02010042808008100c48012100d40240700c1000240080294800a400000042010010e00102040210058002000d00810400900a40c0090080804260840025204044210005800030</t>
  </si>
  <si>
    <t>A35637_1793_0a4020281060a20011811000001814000021840040025a000000442000700100518218940008000540010800210000048800100008050050040008b02008d08600048000100802640400048010c12140a08100a1820040000200a00800290014804005020221020001005080a40200a950002000208c10800000008512400c0800800200884810221051200a002a00010248600100a00000c02042102c0015000a00040811031a100a10000840048a5200200010aa10940140a40102510048800000100000200000a10410400508042140210048200800b00012008400810050100d08a00008008240010040700212000400300400000048158108a18008c10000400812508208b00008950842008000908300202c00e08210240a0064a20094000a00040201000840a040008200410208810052410b4010010200050a40a40024090020041821000a05000084040000060080a14080aa00002108800000052542042000600812000000a40048050010000640840502100208600140802102000202112100a0220044080a00220a10864000201200201031a20800000a01040020841030</t>
  </si>
  <si>
    <t>A35637_1794_0142400800000908010010010012010640058410408810808010800008200410108000442208000700100900c0000014201005240000a218400a40200100c00102018042202208300808400040140840212440000040a0240010220004040000801080090014041a008040000102008012050618c52800910a00848002100c10e50100c08800440410448408402940a40212210e4200840010021000ac00140a02440308010100010800a18040000000002000040800052400012418c00812002500440100418110052008140042300200010210208510400002500400808440012200000440000040812100d40340000000112242012900000450000450c0a812242800008200500850c02202b00100900100450000000050500600602200c00040100008008258000510a40800110000000000c02240058102000002002000802050118c1041a200100c0a000008400400210000e00018012800402000c00d0000200281080000040260080840001025800010200211044a30811085050280080030831884000004064a00801a500c02e1000024a100440608400210110c0200010040</t>
  </si>
  <si>
    <t>A35637_1795_0410810000a0800004a100800612900a40018200c1000245801240014270060004044800000a840200108002a1040034830821220810000054034204010000041004000230a010440500042008d00200210402018250018000408210540a10208210400400010508010600042840c00910040c08c0020081040015820800020200051040281211001024200040094234001a60044801a052242800010100400a12002000002000910008008100300000602000c08248000a02a4a000000508002402202840008e08150218002000802000010110810000c40112202000000c40100542802408000218040050808202040400002208d0064201015041844200280280a01070821080804000204025a402000000200000240200010000b1061a002008040440608108008810048840400100a10402910a00150002200042400040048a4855211051024800060091060a01024a010d02000100300400008050850000112600c0000080ac00008242108108058410010400200018010240000040800002100200940010000c0800811020080285051240080800030084000004020830004040</t>
  </si>
  <si>
    <t>A35637_1796_855040004280821874200801060241210081000810000200090230a802100e0000044250074020000840804280a800a00018508c10002000010340a4a04a500040618c10040802000518208810142908008048110000002c00000008040000b50002042302140000900500640c1000a258210000900800c0010284074200080240001000200800800020805004280200260021000800081240000a408400400018902648300040800e12010510402000010c1881a00014084004060000820804000034820225a108040050412800b0a048100410800000100812010808a00c40442000a0004271010800a902400108240200050a0880200214a400000200400002400802202810612202c02200200208800012200800a48148000d1830040055000000a040618810002002008110212008c42040050c40008200000000810402200908010008c0a61005204a012650100a4004000000811200a118400040c00d00108000108050000840700840140200908008000542902050000240050012a40018700000000018002000018412010900018040c4204804860060024010284810011020</t>
  </si>
  <si>
    <t>A35637_1797_0608600900300810000400012810002148802700008240602010a02002040a00108200802040040600000a0200090050a040100400010810c42400108440210018e40040402908408018000452800902810710208658240850802000008400110e1840000ab08000600848000940008302302d0050040000270804030000094881000210014224081800000810030810834000824880005000201040a008a00408140400300540010002200c40140152100210810618140800a0871240800a040842042800010900048008440240212400000100000410100012040400202008510040110008010400a4201200204025001000aa00810108842010300402808402000110042900008e4094000004a050208518010800000000008200210c42010102100010410418a10400802008412400450000410c42a00110e00a00000800402240000810140000000100202008310610450002408242018100c4060090040001a00071800ae02402240008018a00002408000000002150500a00200d0084831000851045a012850000000342a08140400000308110452c10702c0084204805810220</t>
  </si>
  <si>
    <t>A35637_1798_8410400152200102248508412050000402008040100510818900000810012000600240102408200410808a08252050100810000410108440002d00800002010542a00000300800700010958808800000942208000800452000a00048008a0804025001200a05000040041a00000244825041a008008810840142800300300810010900040100402010640410100a02300342a10000412040148140402000842a18000402002418408108400110a4010a21a11080004000064010220010035800a04280814001200000a412102008a08008100200008c0020010000a400310040402400a42010410600818c42540a18250000902212c12240050400400c02010010300310300000a00402040408242508010040000912d00a40040518400240510c4020250a20000800004280200201201000844891290024241040081801814240800040020004880204220291211091040a000140e0800a35820820840200220010800000885001200080200040080804020884040820a100b00a00610802540010112600040850000100842000818502400502100240048000510c1200030000060250</t>
  </si>
  <si>
    <t>A35637_1799_005060200000000220810014280084030081000aa00000640000242050002d10b00200840200202440808110c02140a00000408800c4000200040220801a500200c02d00b40948050500e00208802800000308410502c0000080800a64840010801001080824030080060a20840014084800081041084000000830a00000005a400842008340000d10842018010540008000100100a0804044204001a41060a600000000a0820010810080a400208110608000750808100a00250002310010052002000002100110048c02000348808100208112042002a00240100208a00000450000110640810848600410202018240108018048110802040002d00910248c00008812140200408010100802800348208200c4a040e02000000008810808150842102000000812218800a0020800801001821040050210200051850084004000080a500a00812400100008a0005200010080044210004035280041004a000a0001800050864044011010a100342800200810000040040100200108c00402048010400210200248d12500200140800c10802040000012240808c00200510002848052a0</t>
  </si>
  <si>
    <t>A35637_1800_0010012000d40040110c1090a608012800a1040a910918640d0000000861a000040040040900100400210010402000102a18200008500842400c00800200408000012000000140040c00302410002000148250c00012c18800702008010200e4a04000020a002150c08a10802900300000008100212002812442000110518040208050240840102018900850000000800100810840040012c00002002418918248052108008600100410010000e02a40502000900040810000002502400800048800600808018e10002800810200008200a00040002c00040300040000a02008c40300250000000008018802842312010008002810842208040042200558c4081240894054280085064000004a100052908000840100842208000008940000040000048042408302450010242310400900200a00542800048040008000a12410402802410000400a40950442010100110000000500e08000200c10000002412440a00318000b00002010108208048408000010010000800210010402e10010208008000c00b0080090010004040a61800a45050090000820280081020004224280a10801</t>
  </si>
  <si>
    <t>A35637_1801_030800004040a11811281004065a05044020a008008450800902048212000000840800040c02000152418010242000140000000300b02800900640840248208800012002040948400800108002012802040000600050a00402048b1a44070020000a000008100640600200408010502000000c00200058140000302042a1800804a100840202110200450000002848108000800800c00410a0031005a410000610c02442210002010800802000300240618500008a0000240010000091081040000004000a040108d0820011014281001001054ac0084060221804000885060000020801000030040824080000001240000000205200014001020880084880201080824a200100542208100100a58110810c08008100040902000d18202400002c00810448610010000c00508b42112818148002040002008112000540800c0220200020041850081a410608118140808202c02c1004020a002210802000002d00010240c00602a08800300800050200018240010400218208d0060280005020a842010f00e08242040508000302108108a0010000221011001004040041280034061810</t>
  </si>
  <si>
    <t>A35637_1802_8008008012e00010040600418808100a08042010000010800140b0220044a000318c08010040000008a10210000000a0000044041814044204000200270040010a200040408118340c00e00002c00840050200300608018940500342000a08000808102c0080001200880080010020084a450010010a4044010000820201050820880084090020200810a81001040000820ad08218042002040910000800610000400b0280804041050200081080281025000840004091060011a100100a40400040500840308200a1221a84204010050840084864a000a00800502b10802e10802140200642010342000010842902110000258000400040b02018600912012402802800402208208440040348010100410112048400100208200018100c58400402a00050808500240450a0220020010804200094080a84214aa0020025001000000000861004005010244004a358810000000002700040150000800a58402a02050210810900040912208958248710100008042002240200908850c0004004000a500500408800902140812202608450608d12a0090825850890001251080210060080</t>
  </si>
  <si>
    <t>A35637_1803_001021010040021000a900452002100102040108000c4800814084204801a218402052010008200110900102002100d48040600400210800c1090030021040004040280090a348040100102408c02408a0800011070244004044200020040004a402040300200048108402200c00c0014240001004220040050a00000041021020045210200040040000081000094080001801041a200c1000080031200840080804004010010240084000a00220034805000000840a010c0a00020090084800800200a010002d0000a05094004200860280860061281000030830830041080290200200001840000021a40020804024080081820a100900002302000d4205010254000005a108142850100f00002040110000200400000118002010108402c0230a00204a010a5800841080800024a81800061200000084a000800b0280880040805851a200150002052000000250400008802900000040700c00000400840300a4a142a00408442100400112102a1024044011084204034a000c00002810d00008000800300058010602000340000040002040300102000500318c0a04000800000010</t>
  </si>
  <si>
    <t>A35637_1804_8a02202040008052418100900208002200900050a08040a00c02040118218100c00a50800800058202400002a0801024804005a800000000142940002000a00300c42010140218502800042800000040b00140a0884a040010d0014810210884000280200204060000021200000050220870250881020241040200044ad0000065080200201815aa18042000440a0000040020041220014200a15a34a010c40018c00802042250208008208810500300012310500002810800208202500c02850800000202450800000810510200110002410f1080000020a850040218040400500400000100010910210040002340008800108208102a0805200281004200050200200a00090045800284060824805800005001210090284024a500240008c10842902208808e4000a910408a00400d10100000000000800448100300a1001030010000020021800a810940050002308010408c4060800800081020285a000000012110300802408040842842100000048000802100802010008048000440a02010018018242e10000108000010100010012800142040410100840000102002a5804840</t>
  </si>
  <si>
    <t>A35637_1805_000040240240804a302000e1005050084804041020814020045090801a202700440c10802202008240200202c00400200008442800800050542000b0250000011204080004001010010044224244000800004200090001211000230030880800005040040081001010004204a800300208200308040000900c48800002300140800400008008052200210202150808040200108010418100600000048100808448c02140040002000202010840540200100000248000142800a0000090090205a012208158508810252802900000302248700a00402050402a0201841010085080220004801880044004050060880045200021a002042102800040e08140a02d40108218000010d0081010020020840a00010aa4280020a010108100200000800c02818100000100042800500000040600408218c0064020020010060080040020a810110d0001a04894240095030031040044a800440a10352608040802500100140200010110a42412f40058410600350440800948008048008358000502900b0804260000081040004081051081000ac50900b00200000200642408d1080001030800</t>
  </si>
  <si>
    <t>A35637_1806_0000000412008002210918600c18850c02000000a00802400052040200110000540458042008048200000012040412100a00240100552c1010010a01070080000804800014084004850801081005040214820881800041080200000001a000000200d0030210020800014820844270200a448200408a12400208250010400a1040a150702012042818042048800000210010600c00202840802002008c0090841000054000810a008118448542000100640200810a4204014004840a408402c1800010801030a00001a058440140842152a00008800802940810110410040000440802110600008a0080800200800860050810020080060020200800881a412000400812200408508002100540810150518002a12810400040048000708008000100002002800408808000208240400100202452040100808142618202000c02100818040c00400418042300912008200002402100700100000a00c4020a842a00000008010800400050148110000118a0064801084001200a01800024810200805a410110c10240c10c00000140108448e4000070800030000864004880004810241010</t>
  </si>
  <si>
    <t>A35637_1807_8440000900002110002e10802a0200020a100100100a0000850230085011040010285040064000010040881085004064020044a100400210050442000218710002002c52902110512818400040010800802010510000200500900102012200050800100f4000801230045004000080020004221000a00000080010000a010100052000440100000010302000840c08150400800410202000c00108618400212000002200110112800200410140000a40048a00008440140100800010610200800100d02a02202800448810800900240702208050040000208942000100a1020001084211804a108508008002200a0000a200110840040202808440000210e0040040880211001004240241084200035090814a002c10842002012000212200400008118100400e08002040942140202208a00a08810208010100008408440002448140010808440a0a04080090801050005080a802002342410000b0840815080a258100400310000442208110048410200600c02000208002008000412940500008008008802a08002848102000c1015281881000204004820800000a502940040400d0</t>
  </si>
  <si>
    <t>A35637_1808_0402a00000040000000000902600800100808100200c02000040100018642008808c4210220804265801820840040040880040220011000000000010a00220010004084064004a21000800805a80070010260080001085840040015005080804280281000a048200108a42600042008900100300d40c00000600008048c0880a00010080000205811001a000040040100252108a40000012900200600010202850010508040208e00300c10052000200410810212850440d02800018400110000912340110300a0860800010040025221280010080811004820801ab1840800a840400900002810708440900a00052000008040400400740000110210210a00010248850400210d0024810000020004051045000880220200820020814041801200a850440e00000e00400040100002218240000802e0290204000081000a500200200110108450010010e4281020200020a050040500152100800a4044a10010aa00000210110050000000208000000240040402e0001050050880880000080080000a000a5041090020804074060024804080200080051281000800840034201054280</t>
  </si>
  <si>
    <t>A35637_1809_040a04014080210800080050a000800440000242110840410800848010000800040400050008202310210808a5a010100810208008c00610802340a0a00a000110c4004200880224010811820280200a340018000a0285280290220060041800200a00060204000a010f10e0050084020050860010005204084000a500b00040808010400000000400040a0a84034091a212f08800000000048002000900402452810a0a000748400c5ae10000200000208908100a4250040005a31041000000084000a200052108908010842800210400600300c0000050001a01220040024004200801854a200212040110140002200200012000800808358040410400208400448118208000a40410000008040210e08002002142008212602300c08840012700240000a00542410152200910502808a40008440a0014004821080800810220000810a010140058840502008440810100000000e0a900000610008a00000000002510100508010100002040102418c12000000a02048248208c42240810040112508800300a02012108812000c00902000812d08100310b0841221000004005001200</t>
  </si>
  <si>
    <t>A35637_1810_0a1000001010004004000835040214080084030a510a0a04a000142102042110008a08100200040602000448210002102812010800010040400a0a008002800300808040d00048110810250412110500a4200a20004004214284a842300400102210900048102608200640810500102852402010600408810802308018408802800000b00018100208000048840000a02040c0010004084020a002742c1800a000000c00300408000040200502602048610818500010450842308342108212202042402000408400208200000908202102218808a00410008000202100b0024a11220a000200410400840c10000200040200748440542800100708a10018400402140110058000310058040200a0255001050000800224021050020004a040002802010548010802c00400e40008000818c02248900d0014241200040841084040800a000500000640400508200242200218840002d40008500000148a4044000200860a218300840002b00158140000842440c00202a0041800060a810c02000a00640a0010880004200000814060881021845000a20211291080060000070021200221</t>
  </si>
  <si>
    <t>A35637_1811_0210000902048a02112418a02410050000202000800150000410400a0010000800804011060810205080085804a94210200825060020040ac40300340002010208002042000000108010018800140f0004010040830200240240080001050060a012140c0221a042500b42e00040100208200600448052142008812000408808850800100850202008102010800a0010044a800c48042000002800240400158802110240010200208000000052108840002108108602000040b00012000210808040b42158400000000800802000808200700640200d00408108000100810610010008012018010c4820800080800260800070800000224000000080005081050090020a01081021081000000881a040400148000102840142210700c4044801000080000270005a250c00040140108410c08040c0014a30030200014ac4010290001000000000080804084831a000800500610000800000100018800008002000842112600440042010e00200000900000210d00800000148000812018440502040342908008040550008200010000002042452100948200418800400000040052000a0</t>
  </si>
  <si>
    <t>A35637_1812_0c0020050000200050aa00010a0050084230a010008108000800800148440c18a1080080044001001080844061840040a302010808a40612000f00040100518000c02100040048048000110410000240000200d18400a4004080081a002010110808050808218100c00a00c10c0024000004291081040890230031840a810042408040402012410a00852042500400240108000c0200040084001001880005201885000894240010820020a000c00002002c10010c42c02e00040012210800400100f00040510200240402812002002000708512802000008050240000800408040400008018d10400000000000010142008640a5a140240808040008008200000000100548510102018110942000008700608212000942a00200f00c00210110000818000618940400012808a4010080021a400010002802400008040808802a4034040a11000045084000a010002200902802400048800010b00300450900042018240a0820804280214010061820094080a01060a008000900300a0280020815000200800001a00204000010050040040004210280060841080244001090000801881</t>
  </si>
  <si>
    <t>A35637_1813_091805a140302808600000850000100902200050000a1000250240801840a100200410442000808400200100400902c00018500600400800000040008158000c0081010060021a01001000280200004890a21000020201240080000030860054200000210080a510100000642500008000248208018050012000850150118400802040240842010218112008410000350400000848408800500b12002000808400000108312050000010a02100000100108808808212500208210240400412200800302150040200a4220200040a900400010840000010d0080251221054200241260004804200010060800000080a012e0060000240000001000a400010000802000000140e0820041804020210240021081004054200010860ae0024020040030020260800820000841204001220280800041a800240212000110018000402002200010010e02002840402040002000442210800608142200100400a0054080805001201044020a40084a118408500200842c00308800000508100a48410100040040a00518408040348200010c10450e40040000100118c08910800c1040010251840</t>
  </si>
  <si>
    <t>A35637_1814_0240000010400900110400042442802148202400b10240200802008010042100018402c10b00808008300940a00000c4011031061090000201080211044820010244841000aa0040020025a018410600040052400808610100142208100008010000402440100000400b12840112000100302118e52612040148a08052000400048500000002100a0050a058810648000400008818242102c0020241a80000004804040a802452900050802550a0001044a408a00008100400008000000252c18402008240108910400200540c48218602a10102408c4000011804880080081201000204a002808000012000208102108100440010910c02a00310c00040400010a0004a14000080004200000080220880014205000250011021090025080014034021204a50051000880040010014031011005081240a000550100818240002c0201230a000300600510042000008500f42202512042140008410812800000700010312000608208d10102a5020210000800a142540240008b18100010800048a0041010020aa1040020a90a50010890000004084200000001000a00880040830040201</t>
  </si>
  <si>
    <t>A35637_1815_8000210c10408a02410f00400800c02202908002a10202010050802800010008c0a00001060010820281811040250020a208008900e40042900102000700010008a1a812200200200008100802d10108040740200a1884004040001000211884004a042240010050200850c0a54030800860870004a000840302150400010802040440b0000a41080010041004240090200810000001290200004804a008a0280004040800824021861060094004004200010840244001060200020800810a640800d00208500110202e1800014011845080000820880010a14801210050000000270031030080801a840840408000540600810608000002b40448810042000500240008100008c10018400202042402c00842202150c0281001860060000240200800000a80020800085260285a64800001a000810208100002200800000410648010750500048e0294080094201040060000005020a110740408000000050008000010000100c40900200202700c0030a418050302a00150c00012840040002148052808100008900000352000e1081261000000280031a40010200800080000820050</t>
  </si>
  <si>
    <t>A35637_1816_8000800400108300102018f00040510c0080010061820020010004884020811011000281080231000001824284884044801a002500002a00840000200108208310000112100108200900118018442000000440010a02008800a4000001010084064000000200000a000c02210140602218102000000200812208900108018000a18440808100610818240040002000042400200208c00050102a0004000014004000204a812002010a00218000a48048358000142002812040212418200348812842240008340000140210010302802100010a0000a512008300408000248842040040012000c18440000010600a48012810900800402302040000010f00208540a02000012000000c1001020800044830000060004034a302540a00812840100808050500010458a00c4000000220000804005840280a15021000050040a010008200158800040600440040050400500448640100b08000010018018412502040800142200102002000e40052010800810a0a04084090000061040000815090020000040000264800230a11004001000a048400c48000412018440412c0060001010800</t>
  </si>
  <si>
    <t>A35637_1817_091200200000020860840090040a500000810300010210000102000810408900208002810d4221010260001a802c0094010040a000958610012000048610300410000840100a50002200e00012010800200540500048a0004044aa40048400408200540c00a1210a018000018002142300440100800a1801204200240090005020200064090810a100408452050008002402510a0240010004004004a008c02e0011000890010800800000044084204824040020800005084200004270004a042400000208200010010812450000010040f00b00000900400002000008010852410400202210808100012d0280010000840060020080040084a300d1001a01a00080a002000908440048800002248010900c48250000608a42248110800400042100118250000010000d10000010600100400808842408010440a10100c1a000102248410b00a12400500300300510408518c0845040011200820800200a840840210402c00050400000c08100002000008250502400b00018400100448012148008410910902c10800048202010a1010020a100802002100a1085800000210024a00000</t>
  </si>
  <si>
    <t>A35637_1818_0640c48050102000242c0000000881004210800050010225014050005200041021240200030201015880001280880020a34840000030021ad0074815020270024000005010030200870040004801060aa02410218810840c0090034201aa08d08240042b08900000400a0080041084281044200025000a00040000810081004041200040821010a000000248440900000000408442a12100200002008408800018d0204020a150900902000800302148250e00002042c02802150100c18500c4000004000820800810285080014804264a010050852040908008040c10108802800900800200608402400402a00040100108040a08c0000a008000400408048102702240510010402002010a0020011040824000a110208142318c00402c0880024020a048000a0800895014224230040040860281204a00805000045a000400040002050908b0200010050804210080060000011214a900248200000000000900a08048c08000208840500110010e00f10408000402318050000140e00112100308448200040002400e00318040108a10802500208a0021a510202000000d0004021020</t>
  </si>
  <si>
    <t>A35637_1819_040200291244804a040210140012410848a0a508210040000050042048500000910808902800b0261200080a000c00100000148a00818448000300b0005830000004810080010064a410040800840040000108800d0801011084221004001020200a440040900218808048640002940010008800600202040002a0220011854244200090000034290064204810244281044060800884041080210800041000240080210011030000080a000402040000110400300810802040048008a10308002012740a10400a00c0084044004000011a010500002050440a1a200818812000000100200108c10000050140c0020064040844021010040010011800020001241000085001200040840a91020a100010218312408800c08000200308802800c10000300048800500408002a02208050000042448002000102000500010840902040210008c08450012140a40140052000008448400000b00600410800848800802002412a08440210d02008008008118210200100442810000500040808c0220081805a30021000084210004004a218010200040302908100a00800000c0200024034000</t>
  </si>
  <si>
    <t>A35637_1820_8500240400c0091a11030050a80004000010014810084000ac50002148010e00008208d1240021000080080a442810840200650d0040004000040800251011044a20805044005000000820800810220085800a400150040002800200042900300a0200254a05000810060a640500000a0030060044aa00400a00800200100100808100c42010500800440008d40148150000100c4a400412140000302108200a0211014205001080080080081000800000a800518012000608800500400a00442010340008202100400842500a0020000a20020205001200884241010000864084200011a200808010212040902302000208410240010000050408408900c00110100948000008c02600400002000008818842200140c02a00100210800200000e0800055010060020a040008840402a08418600440000a0a00201054085800010290004081804000040010804845a00041001014204230860200000004811080200804810025a212102440008042400050202000b02050008808e0000290090a01031240010840001000004824a018100e40c00a4804240090050004245010890010041</t>
  </si>
  <si>
    <t>A35637_1821_0008c0001204a200040508a40c1094200280020080010a000810300008042000c00800840908200458608648002100c02002148000558810042402010102008310010500408850000408210448000040802008b18200c4214210000214031804821090090000865020810004244030014a142a10450000402000000000010800012502802048740800248002400040258408200118818c0034a800242008010842c10400008000c00000002040e00000150100a40208040008802102200440050512040140600008202650840042040000500908810002200300448010108400000e00002402008400a4280000aa08040210048400012a0a010102108912812010008240040b00300800000048840400000400400402802100600b00210058510048040242908400200810000010202010c10400000000900418e10042010040148248148810808002d12140a0a00000844040054204a01200011000000201000a800010408000012102400140000800840040c10602050412000b18000800248850302400402840102240a00100100c40818102002302048400210212000e00310102d0</t>
  </si>
  <si>
    <t>A35637_1822_885001814004000020230010021a000748800408a08010002802840b4040820000080a400a40100350d08848842002100002012410050058012002008500100148c0840014800005a200700018800c08112000810000c42000a02002308000048840552000000300818500002c10202200000010000000050048050110200e0220084000005800240040241200204804831010060064a040040048140200508800100940000210410e10802000102808100100840a08042202042012800100408900e0024051800014040280000020a458808008a02042840100010808002c10500f00800050210242440000848802010800302000000000842210c08c4220010040000a600800018812400d02140242000448208100a00002400218308448800200200602418208012842008250402f00410018000042908248010542040040100208310000252050142042048048418100e10410002812058b08000058440400a0040080800080214000800a108600c42c0240094800200a100250040512208012300800a0080801210090244a000812012802500000648808102012800002a0204040</t>
  </si>
  <si>
    <t>A35637_1823_060a218d0010015000081040a050110000310040800000018000c0804a01880001081040000234200880000204001040000020000010a840850108002600800100400502100b02012000108800000b02002000000c00808c02242848200100850808010608240000000000a4205250815014000021001004080a05020000011260004090210a14000041a80010024010230080044001894060020005850004a008050c00800100a00040008912202000400200c00650100000100008818248a58000540108610200718208c40002a1040230884a850140400208100408218808040400810050900f12c48802400300740008248018402000900250200548800c40842300050800000400d0030ab0000200861260081004884020ac08e0004280200005264a00801004250000000a010000402018100000158012800200400042a08810052018810000010c0030040a30800044004020a040018b00118440442008800148010400000812b4001a208808000a12900a00040110008c00018840c4211205a010050408802108000000e0800881880220a052002f0051200201040094870000</t>
  </si>
  <si>
    <t>A35637_1824_0800000000048100010410400400150108002208000100042000602940000018308008002042902142110002048500940812608c18310212540002002100908d50000802a00212442500000600440200818008000c4020090084085001831020204004280080010030040200240080000004000081a44204084001020221080840805014024000000061084a94020801054aa0081081a01030234001000000a008c02202010000418108200802540200208100a40000c1004a30200050860020010000a30810800080004290280804011021084284000290a002002100150840d02400042200300a40008402408010002d0000040200204a040442000100802410008a5000061880080000014091250a11020241000240000244000861220a040642000240b00c12200010800018602018842018000340218240000000002d00800010208b10100018100f48042000208412452002108008012108310808100508800000008c0084000020010a00851040200004040884010000001aa1200020214000800021240050020001075261030821ac00600112000b00800000050400000110c0</t>
  </si>
  <si>
    <t>A35637_1825_8250a10000048a4804a408800200402840200110600840018850500200018c0081884001220020200011060821000260211045290050004000230a04a400408040840900402110100e00100602c1040884001800080025040040a242408000408002840902310000500008808840008102700400400208540008112002700810040900800210202c0000220004080004024a20850001010290000051000014000844020090810210000000811200a00060800800080ad40808118000308940240000108240052300210c00840102910040610040450900c02800740000502000910c0020a30800004200a81094801004240060221800010224000200010200800010821260a010448002000348a4050090040241000010a048250200410200800100108200000958000440500210000810a0241080040a810052010208008400a4094000000020044090260020200030804a202c1020201000881820020a000000002218b00a00018d00040140410e10648208040048040400300040200002040208310210100c00510400840500918610048850802100208100640000110b0890000091</t>
  </si>
  <si>
    <t>A35637_1826_090004ac50140200010400002040000a4004810280015221a000800108218408610200402002210140008002a0094010020001260880060004200a952000800c42042802042208100100508a02100d0014820210070061000274a050552600618002100800040602000200440500500a4000890011005a002040340440210a1220014040014210800001280885030021a510c08002000040000200040110000612840040310018f0021001a002002042400210100642900802200040200908a40c0010080a050300002842010c0081a40000000080840210aa12600500202408002102048002d08810458412140808412000002050c0020810804a408010400142042110010008608002400c48042202008400008540440000008210608050100d00050518000040040800640002000400508a0080000090244000000040040010001800000081040205220200204840001000080080881804801030000040000a90241ad00000608440c00150608408010400800940202500000008002800000302100c0804200080070800004200820a45200080010210860000081015020085820060</t>
  </si>
  <si>
    <t>A35637_1827_0102210502940008008908a1881a540440000200710050002102a0010045a310008042902802010142310040048450200000012300410840000240312400010600e02500c00318418300608002402440200250400a50010100008140110a1000865205044800000a000708c42102302000610808800200010300000140008d0024a052400118200a18840400100048b12440100040018802400100440b0024000004240a01804820000860010000a002042218400000c0080200010800084204040280000044800000041a90000005001200080001001200a050208008808010150142818102008900c02c00540042048b18210408050840802210210058a0010090090061250010800a000200300108010250240010000000502000018458002902900400210040418000002100018a00500012010800000048110442c02540700000040f00050050410808012110a00a40c4294054885801080010040041014034805a00010a040012840050142c08900a40400100810000200442c1010040ab0060241804221205020284a008a00510018400c40802218400010608552000800118d0</t>
  </si>
  <si>
    <t>A35637_1828_005a00a000600010000d0021080010044281804201820000004250020221211080040090024a808210000c00c00002000800400008a0a21000014010840020041000800020810024020090000200030a20804040811a200002000208100010308818002942300112e00250818450000802010e00100042500640010000c08740000c00c4a200242010000002402800010208000300800040d4a80a44081084005040260000840a018052a42402802050002010340c42410240310040418048410c10100850048d0080880881260820044a100902210900a0000210021021041000030081040020804a04814040a10010280021240a50004200a042100010040902c0000070800040040885280000030200081081200044000a040200200208000742040450808340a00002808012000008218000002408140202610050a40402240202010410500218000448312040000200a1000010220800840834221801004830800001070200000024014a000a08618010800802100000410040002000002248100500c08000002200802010810e1004811210285874011080080051094000020200</t>
  </si>
  <si>
    <t>A35637_1829_8000442000e0004050a010012400800408858410100108000800c08900200600650812100c42812000b00308800052008002408000040200800200110058408058040800108140300118008202900448850000e08810802002a00b4000a31000820840030004a000208c4020a000042202008000210048402100b18300810800010050602000042100008800540a4000210021050a200d12002a0240820030004211000210825090004000a410000040010000e0004094000a01021880010a800800c40000510008140042002200b0020000821a648050540048200100e0040800200014044810025280001040010010040804004a800200010408000100010c0290a142440c00142002040000208408400708008002c08208402100150810440a00a18058200a40600942c08902112c0004241000080220a040300042c00102000840210000002210402e00000410600218002450048910000008c0204014020024000a40880a41001200200001800040840850030820810061001800a00230000000000080025080040000040240005001080000a802010808658202c4004090011201</t>
  </si>
  <si>
    <t>A35637_1830_0902602000808800240010410240c10900100100a08440848410a0891014080050020010284a04061a500a00818010300208100a08142608802140152442000a0a000502040a02200000002c0800240010225040881201845040000844200010220200034005a11000040a05804044a002010800b0081810220a00044820010000080200820004880811840041010000a010000740240942100052208100902800c00008a0024090820080000200000010050000021004260020854020061000850020220010020001200084040020a04201885080a100840842212100840402000d0010040230810a040010800042400208c00400000c40048200800000408410248108002408618200040000112018000808452c00808008200300242402840408150140400600818102a02000110018002648c00840810040c00650810042a00050640808f00000100802800002100418040010440a02600d10a08440000500210340d00440240100a08b00302200002252102e40040400010b1800081000094040201000804a010108a10008900210e02802002140100000602000140000a0040a00</t>
  </si>
  <si>
    <t>A35637_1831_0408c0a15280291000000001080a000002202018500700002140040102040c10408000c0000801050010080025000000a202112018118610100308040642010010c0805040a00221040004020000000090a01270044a01805000011020200015004840224090805000080801014004810800a400008800002a0201005000094880210200204001a41031200a440648140100e10210002110008840610018100218800c0a84011030011a402c10300200418000658200500a02858600300810008500240000440200200412840000010048400850a48440000000008c0040080890004014050820030220811020031010080804885001200a000618800100e00040000010000a0861204000010a04001220050a200000608058252000000000010808002000108608810102000108012400440602010840310000000e0005a00010001034041020801a012700210100c00500040042d02810010400018600100d0080014080081a208810200300400818010008440400002302800a00002000408802200400000002800208810050008400640910c08040540200900840500e0001800210</t>
  </si>
  <si>
    <t>A35637_1832_880084080200214a050408000002400108a00100600b12800002440008102200018e18042248210402200010412542540a0830010060080a000a02000008100a0000051094010210020881a010152c40a5000821844001804000004a00211880044001260010240080854044240040804a052318250202402300a40410208b02002102a0004000050024000a010248112010810800a4800000001a000400048a0085030010830800820220a00000821035090080020201050010010831801044880200000240211824261a010c48002158900048000110600300012000300040010400102000400208800002000a1865a118510810000100150108308040050c00400a40000300800800142100008310808240c02002600a18000a00d48048002040018040010402610410942300000c00248000c50108242400300e08240810400208142010d08810802208102100218048448400a48102002810400040010900300612000108010d50302008000410200e4040040031a440000610040800800900440208000a5010000000804000004204210020a10000810864001850000004814071</t>
  </si>
  <si>
    <t>A35637_1833_0a0021a010002010108a10002800842c0024044850054084040290000000211050040200220805000071050800010014800224261001a80a400b00a40640c00802040002200902100600b10640002802a0010000004a44200000200065000860800a540008200418010612e00810108840112008c00000c4050000011081050280001000a042700500008840000840a4005a000a42010002600140012a08410200842002842210500000018902400010208000048012010140142140000c1081004004a002008600010002100442212610008800048400e00140012108312008540c0800820851845000a042500240000018a4a80005040020070071881a002512840800010810a4241841080a040100b10e00000400142000000010218412050408208200b0001281241000884000080031084000200814a000a10348040050c0030240000821a24001044a00020ac10040200440a0001210a000412010102042300108000b08a02010100a12050108108210500048302048a0080844004080880200030895080080220000a002008d00c02100608950448a10848200402100042400b0</t>
  </si>
  <si>
    <t>A35637_1834_001001844210a208250008350002802000008050500602048010040008742408c0041a10010020021880000a218040900840008000008a08902442a00200000148410c00300040040800000000112448810210000010400800202800040010f02400812b02048102008350e02840200050000700002040100248002510408000040912400300640000458010040000210102900c0221210004a30804060000200895204034020050804a012002002800142908000000100440348448110002010102000812100c10110448c40100000000000308842400f02210202600100410042000810052a0081884010040a058040210500800400300808040000400250802040212010c00102c1880044000001a91040021205084210011a008000800800102018340300812000410100800200808c0080801000800200091021064a040a00240408108c4004081010001840240800000880210034200001000020094010020a258e00040800000542a02000208100010150408002450410f0240210084a80010a218a40600000c08242308000102010000948a00210b0015a402410348000000a0</t>
  </si>
  <si>
    <t>A35637_1835_0240048400800802140c00510802100000052000000e00c40140008b1020800805020000030080011010040801800004221800a00844800840224000070080000a850400042002200908000002000400008000100c02000500802800500400440c4004064001800860801261001204004a010000a00050540008100450400c0040204000821820210004884811290080034001800aa1a40060805a108a0070a800102e4234075020004001214050090210890004204084080005201201010240005050085a310408a42640002008000402208000010100440002040800010a42c00808008300318850000112002842042910840000000042058000000d00840040002210508300810e0204024001010070021024000000894841081040080a91044021230800000001a802840102000010040008500202000210f0004021015000204021241000a40800050a01841801891a600012100b0801830854820044034290200010805044045000000840040884000a142900108040b08a10008400440000048100408a1040010a910042800000200000a4021800040864885a01020a10050080</t>
  </si>
  <si>
    <t>A35637_1836_0300012850200242000600c10448100902840100800e0205204004084250a110c40a00d12800340408a0080820000020000a50040814804ac0030a90a402100048000840402000102300302800002108008010000408040800948040240c00510818000800b10550100000000c02400110200500010808000a0a00824090000861815080a200400000d02810000400212240618010000100640b00050010c00a0a100442148100600540040d00040950010400000050800c00108240408340042042042202400800100200900902902102010252000410000010108000a1000a140242008158018250008000a00040140210802400100848002110910140218040100040108808108200400b00142400210912a0201004091014020005040000280800040860860045805020290054200810a210012002208008200c0060004224a84005000000201040080090a050800518008000248240002000112a10800e00202240600210000d1050000220821000024a100240802010000100200500008a08442800d0a808040100110610c00a48000002240100042200810418c0000090000000</t>
  </si>
  <si>
    <t>A35637_1837_084a00200024820005ad10008040100048048002608002240440000000200c0890020041044824a540800142a02510000218000400040410000902b40112200042c00110800a1a250000010e4000020800005281040001001000811220010820840000084004000801081a018802d00340408a00818a02010002212440200a0000004070021000a808640012010802800050208010800010008100240d00c00010c40002802000808050400150c08340008000040002802a00000008300010202c0004010050a008040200440002012252000408a42100100900010010c12400002800800100d08300052042402012140110c10e08840d00110100a00312040c0030031044060800020000060824220810884041880020890014040840800840090004200840800224a802d0280070000004801041234824a40a800042010142000002042018000242c4000025200a200652010102d02008002618250440c10048002002c10400450102008012140200440800950140900048800948a02000848000300000a12408400b02242342000018000c40148240000b0004a000010e0080010081</t>
  </si>
  <si>
    <t>A35637_1838_0c00a40000d0000800a800418018012040802610010240200000902840008100202000100002100040008008440400342212050100c10010d4070a012302218400a40412600000000c00042808900042240508108a42200c1084820010011004021a05000010050a20094040090220820010070051004201240000860090020840010004a000240210240000000a08308052200110018802400248000008840640412002912000c10008c00000f0081821040000020010204000841000020080044000021800240001080284004005000040080260a400c00940710300242000800148050410110810a12012008100348000018052000b0005a200808700c0011030034040a60800040a810800000400300802c08000000108010410000800002842048002008358048400e00010450c00058200d4004000804ac08100000900448118050000210000c5250084221000080a648042248008300000552010400000900350000608c4a10000204200040021000040030004065010881a810842108a4830001020000884054094004040050800000290005230841805204205000030810080</t>
  </si>
  <si>
    <t>A35637_1839_8c50202000402012300010340200950442918000400a02240800500100408d0840001a00220200245a11084001200080004a442110508440042240008010800240a0240000881045831060841801080200060241091261004004000040a000c12a0014000001051041001aa12002000a10340100b4a800000040010300c0020000850010a80005800040824000004005210a000208608000900200102508810402c1000820004020825000810210a000000118100200110108810600010700408810600000148818010448800400212118400002010800802012042610242400050802300010008c18200450208112000000800c10850100142202100002042040d40042008800a0020014040aa0201830011280200020084a01080020a00840020005a602c00040c00012008018018200540000902000318040010300a50852302008102400002008400d40808218010000242c1020020214000804224240200025000890004000844010200010230801200a04200031000250060880011200005020000801000080200000205a100050002010602008400a1010020051024281020a60</t>
  </si>
  <si>
    <t>A35637_1840_0450448912008100148400340810400502000052210008840800000150002808148402040902a0854870044a800412000100010810a1000800080000200810800224850010014000080034041200240025004a108110410900940108040310408240100048900040b1011884800030224004000004041844020aa40100700100040002302818400c10408008402140000202418200208d00302100250a0020805010000a008100800102202000600a0201a10004060881080881000a000000400900008248510610c08010802008240042a00810c00402200010310108400a0a052a08212040518c00818042000a00400708318c08040040842000000a02c1004040a20014080010a808540000118010208140008d12c42200702400202a1245040a112200400640450140040002410a0010001200010201005000884ac02800940848102808000c02110800850640000b00848900042042050000a40002400e0810044080000240284004a008152300400418c00000040108210208042900040100208900012800010800000248100042000400c0201801080881024001200000200840</t>
  </si>
  <si>
    <t>A35637_1841_0000c48002408010252408008c0210200014010000844a002000008000402118048242000042852002018b1001a400e00140400900900e12450502248010000510218002a4a20001080004200885204021a210c0001080011020024010041010000810084a140008008c0204211004200060840010281811014084061a40044a200d00240348008810202c52000e0000044200004000840030804000031050840201020224000241090020a000100810100300812c00000208100010000208400d00c00a02000000540000442002140212408000c02000908802040f0000a000100140802508a0044801810040a240310000002010000100000402208050202050800100500c0064000055004010220800090a800810100300040810248048800042a0850a800200010442100040108400000a02900042010200800302000d02440240018100002810000102018108800018000810400110600108508402000000048052a0800864010000884a202810642c10112402852000108840c4210090200005060095001001290001040001001a20000074030800850020880010034080a20041</t>
  </si>
  <si>
    <t>A35637_1842_0500002c02802112040208b0020041280000a002110210000400000142158218210002d02048a0240890044021804004801830a000408000000100008010b00940c10400848010402c0001024851224891024020001245a812002350100100000008440200000550900d0085084214214830020011801001210290221010884225281280000004080030000a100e00240012000e08010d02500000708010a0024a002640800002308500252400000242618200842e0a002d0000a000600018202842200000240300440400912a00950100210000408040648002000a10308010000400110458a0001001240014290a24020004084a110a02308310000400400000c42300000118040002102000002018c10640a18002800842400900c18600800c00a00100000c02248142440808010400300240c10000010208510408c00000108048040110002002c02200250150900100808d40340a0000001001004040000080010030864000800064035000a000640600100c08900140b00000002502100210000608042000802008000150100110200012800200408110500c52500048008110a0</t>
  </si>
  <si>
    <t>A35637_1843_0000600c40b08212202208400400452100040000a10000008400040240008700102008400d00012240800312810812000210200600918040140008340440408810610010640a40200510010400000142850400408000200010942000700b00002242c02a4004200200895004000020080800200811000010080000000020044000880200884040821804820200000204015030031844080040000201aa08110440c00440202050c00408208000000040440910500002c4010200010240820a010110802140400a0090a048900040000048118052c1000010820010231840840a110002802202a08040000410140b1a21040860a050c40200b5030081035a81084200821840a000008000800a02842148808440002d40200010000100708008040200000212c08500812400c42040110000448402440c00242710210048000000840200002100018000000a40000510200812040000440110040a00008c4811020291024210800ac42510000048200408800a10002502840118810c0820080040825010840021045201000000040070830004200004800211880084000001040804800870</t>
  </si>
  <si>
    <t>A35637_1844_0002602440108840202008140040000002010010510d00400100c4020005080034280004090a14060200085004a40094024a60250041000204000000850820010880004030080050041000800004000004035a000042000c52b0020800000050204054020200870081010020814084291021041000005200040011011200000041094000800211230004000091090004205001074220000280280a040c1854080094284204a052200712008040608200000300000600400208900100900a10e40040408910100000210c40100a00010118108848040140c00300540418840800010840202002c08c02040052940102402c00200400812c00a0a008118010200000500002450110850050000a0a800050400710440440002012210500840402002800000148808908002000000200512c00010418402300100600008008200c1034030864000020084ac52000200042818002c1815090a102000308618248050448202400800048200802042200010400c18450500000a08400108000c02402200800002010540240d00002900040000010050140402048000110a4280004010890200061</t>
  </si>
  <si>
    <t>A35637_1845_050000840060820a10800000261804010000224040000a002400200048202900b0040800000001830280020800204204090010a000000c0205080001000200040221001000080a542108902240040000010000810408440c00308202000018a4a45890210200024240821845880040090040831080061004010a21a25a010502402842c00100000700800808112000040050800a42002100040142142900a4001240000001000880820005881290a810552c08002000802208a4a200810c4800010084000041020804804a100000240458610502000800a00900102600002010000000102000410808800140408010448a00110000102300b00140a0881a202800002048408100440602000008040000010a50208010800200708f0000040000014004241041001a412010800208252900510608040300140502118d08e00900208202400410858802912102000600900a08608400508a02100200002018140000158100a08312400102500800100808210202010c00002400008300010040202800040810048450952000000410000100048810042008148c0080204280000000264001</t>
  </si>
  <si>
    <t>A35637_1846_0100a0a40010080a04011045060080200821001040004000a400b0080820040001a850040040000102a00512400040000200202000048600000f40900010800958808042402240112000840010110102110000800a4021845010a810200c0840861a002642000018000950040110508002448008300600042000048102300010a08400800900600708a00040140400808108000950410c10048008002100312810042000002010000002410000140210000000610800100c02302608808810008540100308108700442018c0040080060280014000091204020841090081a200900300800418a10200840040602142000000400242402b08000200010c4080250000a800000110000018002402800400110208418142800200302200340002800600300048208d08248040a0021840211020201200000020204040800040210084080041a20080220011080a80020041094aa00102000040702208902040440d08152100818000c0085224000221a318000810c0000a90840000005200001030224a00241060880010000284020a40004225090020201801080004a20094000821010010</t>
  </si>
  <si>
    <t>A35637_1847_0640012c0004800014020060204050214804040280820a010800000010100018d00440000240042102b0001240855020a94214000041080a502800a08402400e5001804080004004010015a40a050000108452200018640100a42802448210648802400800000408200140000010a42050218018002400900600202010810002200002c0094011070000a608800d00040352100040440900900b08310208610c0015000004a240808300442110000200248010e42012400300a48148108000808010002a00108210912010042548008048010008040412240810008d00010208402000310442008100202000108040100310200402c40440000300200002008010008042200408800440812408800240a00508c08410a02140000800600a4090000000805000040001090250830000881800805a000402142410010010c0040000014820280041080810000220221840001800004024004a240408802000c5034010205241000004884004a20011820060a40000030224020850890000211250000a008000000452110400050000b10a0080280014815005000090080000030805014000</t>
  </si>
  <si>
    <t>A35637_1848_0010008c40240a02102010200400500008302200610510400052c40002540000a1204200080804a010000c40018850200042200000802010402d08050200800142412100042208008600408e02000d00202010200900a0010040201021010010880000214081a04060024244001080010024050030020044044210010a100402a00400d02100200008508050100040808500600e00842510240018002108302002010802100102018c10048400440002402a18802810800340018300008800010002a4880001a900150040052c0a80204211000800050094a810410010000050c00002058642610208a48040602000050900910c10000208852308e00000218800000202410300010200842040348008400500008850148002042210602410402000a50202000302010100148000408000040042410d4024000001014221a00064084030280804020015014220861201080041ad10500210448018200000800100a4200000020200050200204801240810200890204080000070000005250040a308140510500e0240000a00210870004a008410802040000200302c0a00020a05000000</t>
  </si>
  <si>
    <t>A35637_1849_0500c50410748000000100240800040702140040408000a0a10000010000a20005801051010000820060000060084234010800080020aa00c0084091040200000024000040001200020090000084280024a242000100a00050848008218200200012c1080a842108810048600002800818000000800400410b4014030a000b02002000900040640e0040000a50020090000a100408040800000810500318200250050000100012010400040840402902500208002010002d40b0840800831080280020210001011011040a84044001a000208608240800508842202608408042912108800140c00040c00102e00108448210c00250000102900300110410a00002842058000400b58440042802000000208800810040000a40548400010000002400302450200002208540102000318808002058040a0020230001041200844020001215a41020801000000a812200000140418100000000102008402a00902608842050000008208040202108040e10500802012000102000218040442010500910400800b18a0840070a040012100e00400142042a4804000020040ac00100a0004020</t>
  </si>
  <si>
    <t>A35637_1850_051801090200015000a11044080a500c0a20000001805020001200004241040884021000020a042440100150e40000808802408200000410402240148010b08000040500000202418608440040440202018340e00202850c0020011840021020244004044020800a410508e00000802018540908840a00000042300000918612400c0030824000041081a000002440a0040250000884015024280060230000800280244004221a80034044814060080831040085020880290a800400700400810840800940108808340042012008010102210100840c00440010050200440602010e4020854000020a010442400140050d00b0041040060a10810a10005025014000010040001080064801200880a242b00140040000208300252008400818440a40008100018910048410240048600408540400050008a00402010200a02002400000010000008000500100012402a00010812c40100818050008902802d0060a008000000312402400400810000900e02208c0044a240400810348c08050e00008000008000002002000800012100010c0201030000060251801880000090025044850</t>
  </si>
  <si>
    <t>A35637_1851_8a42040100b0220864000000801000040201850a21040800014200010260a00010241240024000041880060084a440040100048010050c1210080201a14860000844800050801001010040085a10044885240040804a25081004890004a110758000400200000240c0841020a400100a00052008e00800902008210208300800000000400102002310000410040d0200000200814020050080280010800085a040910008110012010210212000900000202900250002800808300510018000400812e0a01825000014060010004000a208018f02c02000002140000600100c4800004881a44a00004000000000821004830015004044000810210030001a010000500910100c0820805011220080220000804200014020814004080810081ac4020084000a200a08018010102a1040001000aa5000050080a640808000212402600000100200000652402c00050542300318240002148100218300000c0ac1000090800860010085a000548048410410008408c00600210202200100200050a02812210c00102800800040112048408002802010342240008308010008510c4030241000</t>
  </si>
  <si>
    <t>A35637_1852_0100040050e0221001000814800080000030214290004000801050001841020010820000034000a05a100e08c00042e0aa0050020020a008012300800000400910000900042802400c18408e10012800010300000202802c00408258402808a5080a010208140212000400402040100800000208208442040c02a42500118010002010048202408a0010200010014010a40060000000811004a312042000218050c00a00010202000048650c0220a108010110400440000b08200400208402c0001000011204880804024050020800804090000241080004010820a900e10218c0090831050260804084800094a240010210108000110740200640808e58400002848800000200850402510008b0040200041084000210091810801000001005060004214201010a000100000008000000700440542000008100100052202050802002540010200e00910d40010300a00c00402400000350208100c08248112802042018d00108212000500200310100c08812010800018210100200000000000902000508c00812000a0a910108d00010008400002b08012000002018000840a0020020</t>
  </si>
  <si>
    <t>A35637_1853_0042200540400208048d08108212100240000010810040018500440218100000010442100c00810212000648c0091210004014011004000050280010001010800a60a152000012702c10048000c12202110008200b0800040000014030060800a41881014020050a800d02040840808012008400002810410100a0854060080004a040000008608400a0061005010880001a000010640012000010012018500008840502040048110800802800300a42102018750248440e42812000718a00008000a48050600118002800840002250502910002008840000010118400c00a0880204080a20020000204005014010054000050000085220a202000410050a0a00080280000a41044a00055050201200a000400248802800048208010010000410c00008440208510008042502008512308210400840808012202000c40c00400100818242418002202802408110000000200818100808b10200000442818c00040010018900312210800008148540908d00602040200208000d08e00400000c00352408808a4840a000600840112008812800010400942100a0820040800020010001040</t>
  </si>
  <si>
    <t>A35637_1854_0b08248842808000610410118008040102058000a08840000840202000500200c1a00000040015020800844080a402442800658e0830a240c42002200102900010a0000080815005290044260801000210000221010a002110040802000100d48c00100408100218018200e08100a48000642400810002010100000000618900000442a0004000280020005a000302200440910000200400100b40140200252402102a0000810830015000894004004200a008402408510000a10010610408000c40008002008300c08000000040010050800810812010300200110a0081084004020010a340208308440810900000050410000018010000848140d0810885044020080001281001a240500148152000000100000c0084030840000020004010000004000a01005000004090a002202200810040050d0a80000a608000008100408a02440010008840100100240042b00c10002012202040200200000c0280200084805251831200a14060800020290085084004200811010040040240840090a040158208110008550c40208000000d0a200800008100040900200008840c0280820020</t>
  </si>
  <si>
    <t>A35637_1855_024060014000204000280010205091070201a400110008c40500148000102008050200500208108410500b00e42800040110440110800012040200010040100000c42040102008510300200a1800004010a140208642800042600010750c00018800100400102048410840010500900248012608608248900000902600000302a10040a4000a05030050881200080800000a818a0a600100508010152208450008042048900200408610842400600210040a00140450000002108140e00a00408c0250a110252008050050412800910000800d02012d02400200308000802008100140842318610410000040000000400500400040040202000218810412040410108a0a50201880ae40150540000602200600202940840a0a410210210450152500048048200000208410000102010310000448802048048208418208800900000000210800708208000840058400100412400010840a0020090800044280210020040030010040a90214a800450b00040600000140308000018402200010002800300810c1804000084800804a00884a00080230211040a80020000200220210004a01</t>
  </si>
  <si>
    <t>A35637_1856_0000e00442700048118008212040900802000108008812202c12a0000041001880060a050002240040010010000010400140402200102410000842a1a500210802800010008008702308e0000811090810040280001040044090020a640208048800850300200208408110208402702048500010300050002000812008c08008208142100a12010100a12a00010000012310518200008c00b00908000018040058402402010010a0804805011240000000841015041200280820800ab0001084050034211a000108b08602010100002208408248002000000950208008800040000042002450800800040000602a08610a00150608050300100410000008800440848302212008610010800208a4201210041801080080a21230840840a400812202018050400840400102048242318200142e08400408008042100a00400412a48308042400a42c5004210084004201000085201204810250210001a05000050a81020a810440640110900002000608c4080a052a02018508c00c0020004000081a30010084800210040020001040800084a802400240502b00450010010a0000001010</t>
  </si>
  <si>
    <t>A35637_1857_001844040014010034020020004800000204225801880ac42c1000a01810210004ac02442448210010600200210802000152052808210042140000100140700540818050240340002800050000140a00a00200c00c00008442840050508000e4220000000801224a018808000000008a0824a210150c10100808018010808640800812000010018210d00000c1040800804230004041280000094a048c1000201090010834240a200710000000202000410000800048012002048000018300a10c0020030020040880a45004084000010030800020004030a000300910400002810200802612010800010000c02050342108250808c52000b08400208440c50500e0211004a00085040000010200045240021ac00100140840118608412010512642000400908040040010042010610110202010000908000000600200042110040b40502108008008000700210300e10148800112408900742000e02402000802808142410850008842a42042400600140018910d00000500410112202002302008040300518200000c02050400808008840c02b00818700500b0004005044815200a00</t>
  </si>
  <si>
    <t>A35637_1858_0d4240010040010001800064220011204a900008400c0040a000d42210650600108000400b00040450b08008a40400240042000a1040080a000102002218000212418100102840000510150842400000248408a00a0a60054000000800000030005a142400200048208018000c4240201000280080020084020200010210000204001040004220200080064810024821270001890800200214004211080000a80005000000830010860824091014a00020240030a80001010885040011801845001000a002040900a02000100600108100400012252800442010000200a40000c52240358708c08a10000450002812000a0000000a100402002018a18c0840011000800045070080080200060080200a908902040100800042210c1080000a940848900018010040010c0010000800a20034201a400240302142000a0081880064001020000004205a000100110050000450850050002100202900412010000842002112000a0220810204281040001080284090080001805a800018200802c40900002110440000012c08800000200448a00440200848008010000002002a0225820820</t>
  </si>
  <si>
    <t>A35637_1859_000001085014000811a900f0880000210001070200804801841004230060030000a002902448240200410910000100408000010110800050000000800110900800242840840212502a10810640c0000804a510900100810000402008010a10000800402a0a91000220800004204240aa1840a00090080800204094a000e00200010000000100308800400812c4040201024000001220a010a4210001ac00002a02410900048302908c00402400040810108208240408140248a4011800080244050010004024810084080041050080000240080804000010a002400400100008000200018242010348440002302042418b10502410c00000208012400008408410e02110258200052242102c40102600008202802040c0820a340010050418010000100010500802610010200a12000010400440900100000140800250840042b0011060001021844001014000000250001a05840200021000261811801041040085840050000021010074a000402400740040040840108410208042000c1080200a018400000800840300002110018c0000241044aa10210000b0880a94210001034070</t>
  </si>
  <si>
    <t>A35637_1860_080a00000024034804220020884a01220000a000800010200910100340000100150402010402b40442e08a1040a00010004a040400002800842142100218a0004241011240280a218008b00800540208200212110440402000700240048810810200400800810300010008c0000074005810a10804241001044084a408b10042240100900010102c00800c00410142150000000308048c50800000640000900008000000908000200408048942000940700408200a08100a4010005080050001811000010021a808c0201841054005000001020a20a050d0aa02400510348002002002a18008a0080a81050000804a048018050402002d0880024000880060a10084034020861820a00a812d00800040c00040a10c12300000042600010818402b0224201061000244894014080a008400800848102000250402908c40800010200040342a1804800a450102340108400e08000040008012640410918400000040008018908440e00140208008100000408840910900258458110842840400c08840248408310a0a400008002010b0040884004000a30061200005a01805040010004060</t>
  </si>
  <si>
    <t>A35637_1861_0808000900040010042000502a1040020810830041001004800204000000a118040818000c48a0a40240040004040004020231080850060810090201200090025804a510a00b08642000008000400800248102808342842800400000440110610200040202818100000600018500000800108100800050050c0800045840060200a810240000310800400240500102210200510402010052400042540500810002000500900710000840800100608800210510900000940000018202008408018100202848040118250812012702210018c00318808440c4080a100000000000040100a10210500410a40142c4001801a400250800800a0805000040800a010000102a0020070080081004230a000048a00c40410400a00008200810100c12012200100040008c4044a10010000264240800a810100900140408000002212010200108000000218400c0210800000000015040000094080220890000000010200a042000000412210900400040250100a0804290040a040302000040058800002210240318440050000440040300000c40202440840008500400800c0240080090a41061</t>
  </si>
  <si>
    <t>A35637_1862_020040a04220011860001800280a800402100408200008000100848242218010102040000042000100c0014a000d00242112142808040818900a00210000010400618c0204005200801040800295020a000400518050a40012000008002210500812010000000450a0060860041010800805a10010a802040800000100000a50e1040034034050021080081850050030024880811084a842402302500108018010000208000002108d1000214054000211841001840091044090001ac10840412040600010612200010c50000b0814201800880241200200a012102210000202540908048242200600000810000200500210800810440502102142000008200c00342008548200150608402100a10750000e0820a812000000048800300000040040a0000011000041210040880001880814004200230225050001054004081080884250a100100240102900118202500218a0000020081200a10004080200240a240000400110c02010300000000a00a02208000240000348610148412800042000550900b08008040608310648400040208840800840202000a0060804000814030060</t>
  </si>
  <si>
    <t>A35637_1863_8400802150608a40040000c40000410808a0051080010201804080294a302c00750040142042a10002100008410010400900402810050402040248800100110918050000600250008200702800800500902048008b40000012e0215220800010040201090284001000024020ac40d0810000260804244000080080250040841800041060020004200005044a052842140002108c0020805080a200200110040018840000000408418802248440002002010c00212210c4080010a200800000018540000100010200710240400400012002500b02a00010c0210001240801244081004291041040040aa1010200a25814801040021000200000800010004205000030a000312300b08a00110000150048310108400112400050102610850042400548a42448200800200800c40240108600400018450540a1070010000084004000020a440400240010000600200118a00000200840108010202010f0080a84064804805080811260091204014811820050040a400842818610600140000000a0830840210860041291010801860040020880084004810000a000000450000240b0214040</t>
  </si>
  <si>
    <t>A35637_1864_000801a000240800300000c0004a800a00340500008c50008800e0024200201881040a042500010618108040040040040848040b18d1000200200000871a30885000a000940050102900a0044a510a08800018310008448c12008300100100248400012048058008000100010000800142002210418a00c1254031a208908500058000402202100010240618050f00100000118c4220801240225000040020001000050000060001010004290294030a250010450648400048800142200c00a0080200a812442000010002810900040300400040240400240018008b00f02218400940a0204040024a00844040001804880004aa0210220001001000080280201000080014000881a010002442010308210208440010248040002800108850400c0010011820801201850054080a24000801024085230a80001811004000800010a000442108212e0005000000a11800011260010000880000060004004240004201024880880a01200080800000011044060241000215025a90000001a040842142000d10100410110040210100b00000c42800848902410a0841284800020010844280</t>
  </si>
  <si>
    <t>A35637_1865_8c1800a002040a50402010010408d0000004014011010020a002200308052500710800100a02910418208540442000900200050000008a00110c0a040112100040202c0060200034830060040040010a010410c00000410842008200112808900400512300042000910800802002500102100c0024080000000a000040208c4000000020a34024811010a018400700202108600010250140902002118410200002802a40200040200400000c00840118012010200410400300210000010050400d50000802202008702600000800018050100400a40d1214084a200a0040800a040a08000612208100802002a42148040008002002802008208440810000042000100902000810210448000848a4250040045005080200201200020010001005020000030251084060000024800000000041005280004a04200081840820200260a018100100c48c0000240800a000000150440000600850510800f00a4800010024821a000448010c10b0000014a200200400800002000542010510040402608012700810640810950a00000108d00e40248000800340040010500200000040a0210201</t>
  </si>
  <si>
    <t>A35637_1866_8042218910800840618818000412810608808002308408400800040148002008d48440010108818200200110002110040018042000400810500000a00300500008a00812400a40410000c00200400702048002200210040110a0220070040041081010244815004200050000a050c40310010e0005a400500c40a00002600040808002c4080a700218050650100440000240000242c18400808102010108100008900000012008008900002c5090080830021804200200204205a018100000850000002052640c1060a04a042140018300200402000400202008648908600002400a0000010090060060000040830020a400648012000c0000001a10040284051024010200800880000855020285240081845020884014a10841800001800080040830040050805001800060000844200010001054060004a048600048400900200910008400700202c10040040340c08500200440048308240000800000410800210300a0040800814000280a21060040a200c12008900402810848048102042000652c08018a0801010004044201804280005210205020a000a1800000044a00805040</t>
  </si>
  <si>
    <t>A35637_1867_0910418400a40200600208700240840402202100900d40840110802000700000010408110b02010100308850008000c0800040020880020090290000000020090a002802340000000208452212152048908410200000400410040042400008842010040b08240340808010c50400408840400800102258042a00342000218008440c40a00218110000a58008800c00010418c0871040880000224004a018612400100100a40012100d40e00140142000012208442212100200200058000008800040500150600110c40402442a0a000410000410840800202018000c0020204241240814000a51080a010002002210012600218c08010e00b02008500048248910c0030a200800d1000084010284a308000840200400908000002a0840845000004820814a918012212000508800400218202240040c0084810061041000800204811a040100a0005054240021004220020000244034a118110c00312a50040a00940700008000800100600800400d0090880884020a00040a408250a0a10010880000220840025214080080011080820040004254020201a01084a00010000000a00010</t>
  </si>
  <si>
    <t>A35637_1868_0100058002340002040100c10400112a0201a04870084004014010a840300a10102a5a410248000010000208008800800040640800152210802542110100108340a0a04280000a110018910200100148900208300042000002140202408000600250010300000008d00002000902440b0820201084801050290a800010800910842910240a0220810830040010000000000a800000010040102202042200000240400d00150350600610c0010280081205800824001a44044200011010040020a410a02000300a0020064a00014010010211040a41884010800810a000010040012400040058100c08052500c40000650000400202010a02b0201000085a000010908110440800018a4001064081000ad00108c4054050001a10201024004040000001074010820800200240004000a810702a00010848000040008048418110002a52000c0014240000094a010400300000c40400000a02240900402400000040058042010040040842000300618208202440100408008208d1015a200802002902008010800000900a4031a000010218808950a4280201030840084000264834044090</t>
  </si>
  <si>
    <t>A35637_1869_0040810000402800012600c0804001044810000a10040020811204824a200f0040000000010800a140810052208442800008050008240e00c00100102000008002048042400008102900000c1801030001010a000002210140c0a200010408018048540500002410408202000002042110000c00100000c1050210021000800000254240aa02108200202800812a02810140400c00000100040008308a00b00650002e0a10021011090004a41000025860020024a812452c00150400208040212010000248010600618058d40608800002800100c00100640202000008400050140042008100010412018000340902008408a00200140408802702510040410140e0801840a008000c0040250020040290811a840502900800200318200008110800108002610942042010e0000020060880245a410000b0a048600312410000142018140c00448200940000008500808908808c0204000034a810902000050f0800200811024241a050100940012b08c0800884090025800020044201001260014224000024080010044800020040024020080080094045021080005040040001044860</t>
  </si>
  <si>
    <t>A35637_1870_8000240800108900008400810000500408012110400402c48000002118548000a08200402040258102000e1280010000080a11080800a048400040842100100c0805010020a000050a00c48412000000008302008008818410102102400600208000102200008000010100058800700810400408208802800300918400100c0a01004000000224a408012240002400902048808a00202100240218008400500c0804080020000021024a60800010a300602000948852840100000640508d08000100140042002218252008140302802150000008000150b4820004031000000804000220070a800150400800200900100410010000802442902452200000650500040800100208a48200100202000302000002802c0020080005a000012000410840b5010080810085801280281a35000000a80000040024025010001a20004200a10040030081880000230801220801800000a84000034000021000204a40070a940000700d00840000802b18402200018000112000000008800a1001095240200004a800400400400000048012310458400852902242010500a0a40800004004214800</t>
  </si>
  <si>
    <t>A35637_1871_0102412000208008548910002600442048040640410800000840148008012600602400800100040002210008c50402008a0804040030a04800000a010000018210e12010000308400008c5881040244015841801001000054004005020291024001810080080040a508000a02802000042158a0081a25240060800230001861000a04020280801290004004081024285041051040084081010094060a40001040200020200041830011080080210200824041001024814044020a24070025a01a102200010100800802808050e0210a10220880200040080090011001050020005240a210408410000802000a08300000818000a40000002118402108a58000110000058010200940000042308140002810810850400600010000100002648100008a1051060070220001000220800010080824015284201a500410a02000450540002002a1824204a800508250502110c00412040d4080204801805a040c10100800700000710618400808010502800108a00002a48100050200040010000000248040a00200000400200010118210010a0044080000a058818052c0000040080204080</t>
  </si>
  <si>
    <t>A35637_1872_884280a000800102218500010400000740050252200240240940100000000010202800100700240400000548450102000000708008840008100400940000410950a00040040000400010800000450600840008100308040000300810402d00410018842200812400010142000840600202418100b0220014024000a042000840a10010000108058c00648012000000002400210502c1000024a000000808040640000000b00110b10600802412600048540500510402002042a40218508000058100200140202d00902050002402210012000500408100002210018010100c1080010010060000815000014040a14040a000400e12440100200000008e12040412500802002000a0200200000004a718c0084880081250004000891001080245224014040210830020001204010261010090a84a840000000208810a02818000502010010000c12610000e02308010a00458802002d02800000208548010c0080a112200108142412950540100200400048610142140112008a08a0840204080080001250091040080060010000801880001800040080215030800000045000080a24820</t>
  </si>
  <si>
    <t>A35637_1873_0400008440508000100f0080280ac40040308412810108e0080020800a400600400010902d4030050800020084244004a20a112800010002000e4091020080081864004004280020201024064004080a012042008108800d00a08802110100c10802100e00808100000008200800008102210400800008100800a40248500940c00040042110008e10902010802000200118000048a0a800102800140400418000002408240002500102000800208040002100800410000102002400600500040140d00840100c08800600110548202312118042002050242018042800008408802840900002000150002812a00008440400a08e0080210001001a41010220000044a050240a1800084214204201035010040001a010242100308908610a08800000002000f0060020001050834260040840a808010100212250b00c08010010000240310808c00000400e40110402400c40400112008000000000950008d50008018000000248002000408a1200800021044044040000a04a008052608400000900350200040a10910c0014824011010040040040000831021001801885080001041040</t>
  </si>
  <si>
    <t>A35637_1874_0c0044801000084810050800a010510140042040000600450040248800402100800a00100042808000200008002800002010002010318450840108310040900010448800700a02618800318010842802908050000410240000e0824074a10811020240020881030001844204a002800000208310000840150c0a00a210a10c12212000100008408808000a48000a08108100108018802100100010640500842008850d0a240200f1021a60a000000000110010100848100300000110010400458850802102750000b0000885084a000408118040e12100200a0a050000600450050102202502400a0000815210800004a000100640002040840608118f0800005090200010201054080a40030820001220081044041200a010542108202010002340208402000f00410140100800218a18000610000300202400500050008940400202110000410410110c00050112000200400402442900208218240042142200202158300142c12102808042050210340442510202108040608200008400a08000200000000800852000808040a0024020004010015800210080a00000090010a30280</t>
  </si>
  <si>
    <t>A35637_1875_0108800002700010640c0841284084200a140052c08a00410000c0a000058100402218010040a42018000202048810e42a0030041001844001070080840021005000000044a042400300208402002000040250000c00c08042300110208800912c1200040014a058a0040a410002842200000610010208040200010010f00808808840840012102000312000c4004000224080000244290084814000030840805000050800a452510012800000800b0a010808a00400402042800442410800c42100100a0220001800085004060000810010094220000010001054841020884080284a01034881811040840000001a10810800000281040020211850040060a84000034801260000000054080090061240080841a910700a00142a0011a01280284000020001060284010030010200070894000044024211000000090200041000ab48208018840650042300100008d00110e48042008000100000348e10052000002010200e40a48000000100200418100010500400150048400a00200d00902310100300c08800810a02040202d0850004091020884040080030004000014804800030</t>
  </si>
  <si>
    <t>A35637_1876_8d1000210220000201220045a04840090830830801881020004020021001a00030a010d0024000244041800a408540000a00208b00040a0884000804044891014200044000a01001201880804a81040084000800004080a010002a18418118540c00002c0034a700a00042000000000000740200a10400000000240012608510042040008b0810a008000000800540100050000e10010000300040100e0000000040200290a600a08000248400802050110010202818010000802008e1800000010014001051a110602202042c00042342300110002000808008250a0814024241000810251090034060040204800040221044000a440e0814844020010084a00030020211080050a80040000020204060820881280200280035090040080004000210050090880001800020205a018800000200940040112302c10942c00842442800412400010002d00140840000010b4a01014200800040050051884810000204a00a60800045810200a058040210040600010040140402910402800c0210005000a40000a010050b00b00500408200202040440112400100200018000240102012a0</t>
  </si>
  <si>
    <t>A35637_1877_000244244040820201000000205091070004800000081824000260800845010014001801240a100012a10000a4810210810841000815200095220a248240100040800050142002042810000800000000010040000308842100100012240800200012000040010408000000000010040800002b00600400050000012002710140842810040842242010c5280200000000864200884200250220090050200880000801204001a052100a10842040002000402d18000050000400000148a10c0840000090280870200050a00201054011a10880030220a800600000200118802012010108810200200e08400450000000408a00002252000900008000018812c0210260800004830851881a102002050000410040008410240342440210008842102f0000070a00004021881010800211801021004804074081805881820861010014010200080801804210220204830240834260015080800820081021040210000000020810004200211044000801ac0000200200204030020a80801284041000001854060831820004000024004220010244215080200030840081204804010220200020</t>
  </si>
  <si>
    <t>A35637_1878_0c18800002802b12012800208248c00900110008000048002c0200a11061840850000084004880a00080844000204240824200a318640a08150a00002140310900c40100800108010a00000a10142900040210500240008002142108040500c00048d02000a08702510100002410248948008000000010900908042500c0001000800020020061000000201205040220020001004201845010a040000400808640940008900000c0020860004000a008008018512c02100b00002000000a4000a540d40050300418410400c12208b50218400d40018140908a00048100050e10000408210400b00802048040000048440800008208c10300000400e08a40002050202100042500202800540c0800234040000005815280001000ac00000210152040800008000940210800740200002a0020080a500308110110810408e4004210a01a008700040000802000000300400010c40012400042010100908018d00048148210000102e02c00a00108050d08200018040040140202100c10608400300812102e00042008110940312200208800412100548000008400810a10c00a0090040280</t>
  </si>
  <si>
    <t>A35637_1879_8d42000100c40050602510840c00800a02202000008300812040a02000008808148600002202a08102400200c00000a08008010400200410800c02000118000600a1890000030824a010100010000340018040408200010c02000a52710810608a1094210820030260084884001040034240a10004224041030284a102908c08240102140800410400c1800080210014020090831800a800048808002010408c4054000881a008210050412010e02800040008412208140a40002150c00800602900402200008910008042010500002608a10242000012040000158200112812000808900052900002c12400400100102a00018000840200242040208800042000002000200c0015800281270081a00000080240884210031200000810200081004201a40000001084000204024210290840200000010281805041800000a90004800000020884080200084021004080040000000040004840010001020800060011810200800000251000000200061061a408112000048448600a1201001020a84001800001001040000890004000014801000284200a608800700008010c0020a000c0</t>
  </si>
  <si>
    <t>A35637_1880_020081250010810805831841061050044a000408100000800040e0000a04270881040210080880820a808000048402008012210000040000012108800050010710000002d0210040a408a42040c00208800002100d0085840220091220ac00540000042200212408400410040100c0a148500910000000000400850100a10008008800402810112900a48048140f4a00000a510518450000000308118200c0864055000884a110608908808c10302002050018c00850502202010040000842408802008902500810300000040e0230051200804201010000201020040800820080040805a400000300000800800110242810602202040140a4021050000004080074021060000000a040010400b0820a018100250002100802200500310208400a4000a040000c0a440d00408800048408208008c12002010058800a10400800840940118000402410010802800000200808000000a0010040250004281a95010a04005261081a040102008010100100848818900800052610200400242010e08308600800c50202010942002300200c48008900008208408018a1080240060230804080</t>
  </si>
  <si>
    <t>A35637_1881_0200010440400018440100400200800000800448008302042000c42010100408300008402e08000600810502c0240080021204a200c1860a810840010400400040412012002002142800112010c1210084020021004200810080800050281001080011090084020040040801280010001070a01020844040010881000a000902400c00342018250610010002c0280201005000015001204080020200000004220800014000a25a410a00000802440b00210410848c08802500a48100000048600400000040400808910002442308000040a1081000244210020000a400100810140100310100d00a08440000148302140900002000400900a12100018212000100340902140408810010c10440218410000700000c00100000012110842002810002050610410100e42010800010250b08440050810848b00448b0020000a400800808400500058400040042008212000a48858400008b4000210080004084030004000201000005004060001004041865a40a100240100218900010008040600150108018f1000044004085a000000012012800508b0001050804020294084825844a00</t>
  </si>
  <si>
    <t>A35637_1882_044001041090020011800030240044210200220090850044010004080004800080880091000211820a01034800081040011801000050a41854004080024081000805001000021844040801a05201220810071010061220a00000294814a800448248840142b4000080080800010200081a250110018250502948000218000000c10102a0890005080080000254030004220260000884800060080830010820000801200a100100400400848042040008012610018c18400800008600408240012c02040100040000010402000200100140500400010840048000000b0820800000024a00a65220001a242910200802100000d00018000100812340900148448400102810202010608000140d02850148900300e00800408800000400d0a600400048152008800042202000040a00110000d0880a800c02240010000240200000942040008a08600000002000200412218802040840440048002010448c02800c00200000110800808400440040400600058800050002a42012400210050040c0000040a81030260000000a918002400208440000100110000008002010c52f0080010010</t>
  </si>
  <si>
    <t>A35637_1883_0442840c10802010018c18352218010008210200108242408900d00a10408800a4000000064a20021a300008a00c00040040200018900a00040108848200300c40002802140a5005201804200014040220000021005804a41200025a002410e02640100802018410c00048400042800202010d0005000a002000110000110300010140202842100100408600000802800010f00c0045011280a810648910802a00c00400042540000000808010800040050008110248800902140040608000450410008800000310140452010000902058200008448400202b02200610140802410842002000800052040142448008110400010a1880014a200050218200012c40800150008b10000202002d08a12010008542202000240140102a00e0200040004004810001040040a95200021a642100140418410808040008a00842400400000000000100100250102140942108008540800100440010010208600200010008000700800000010840100100010a10042250040900000510100048c48800148a0200830010881010004080a01201004005004060a01231001054040280000010020000</t>
  </si>
  <si>
    <t>A35637_1884_0200802100400810308818008252010042040408c10110008000002008018808710800050142818000500602200400008310100800450408040a02942008c10858012150c08800102610802248050400202610000018200800908900052108842018400400108212410110000002202b0200030801ac10840400848440510208c4240000a802000100800818000408242618e00400010d50542300048800208000010002318012000940408800240818202010010442412000000200a18a08000900002240148a08010810100040200600000910050002700810112600d40000500300a08012000002010850402800640500300048002340300050a0000a040840208002600210402000002b00908218600202210510242002010000600810010902010048200010018012c48100000b00048248040002a0040041081a61010240824250090021a048000000000642418240c0040000880205800884080240080210840000010840080010200005a900808000942208810242018450808100200010508208a02200c4020000040001890000040010010011000841001a900400252200c0</t>
  </si>
  <si>
    <t>A35637_1885_800800a90200800021a200002400800800008040200d02450052800912440218000a42450248048200000202008140d00040600318008c10410240000140300418a08c00102212402000010210110840000608008a0000805000010a41810021040054004001204810041a00000200081000850834220a002a00000108e10c00000000400b0000801020820804200a000300c1010080840200000005010864a400812208a1804241801040800234000250a41080005010004020050a010410448410202a00008100c08858842800058012008800200540202102100008202010c02000202610000040408000b0000041080054081001070024004000080880204044294000200860004080000234040840840a012452c0211000201000020080260820840000080800050080a81200041811800840240010800020000080a000a4820040a10020021a00080030804831001a04211014010231000040821001210020010240885240040044000020000044060204000a800402300948000000902012012100300402540102000240010800052812000810418100002000942d4200a70000</t>
  </si>
  <si>
    <t>A35637_1886_015820a010502110010a00058042150048208012d0030200010070831a002100c02440012d0804000ac00a4001214080080045841040a000800000042212010810210110208808600000900a02150100a10400000000842440c02a50140800a08200840000a0a04211041200814004094a150810002c52c00c4210014830044000050200201005201015241801020a140100000242600100040140000e10a0200200060080840090801a80010050024000020060205245030080034021000000000000001841a200a1040800240a000408000000400850002312002c00210a18800040200402000040600d12a00000100508c00002002a0215234000044081000080a200000810e42200040d0834010051080000a042400050008f0881881001004014004280080284244204884800081885000800004811005201020200041000080810850080820845044020200061030001800010a102752008040208400800302000500058018800200200110010710a1210010221a000200458200140048800202808c0200080204a048050900108012c00908908008210848a0000014a140200d0</t>
  </si>
  <si>
    <t>A35637_1887_0400200840800800000318e0080a402500000008608040c5a810008112040100008000400c00202212008410210000a4090821840821a00800040000244a40000201204084811020a00020841210200001200a008700840800d02040642418010402c1060000a140b0004225051204a918050210708042000808850410200048410802100100048000840240012000810012000618200000000200200810000010042a42210600408812202000000000400900012208440640b08008208608448010d4200051010010205891014a000008000400200002000800010200008002100200002600118048c00040800142012208110040000808000440d10000a12c02100848002b10408400400a48240750800208448402140800210100c02000040008200008c0055281081050a84234210880060800044aa0030000004001094074280200081080000051010890030010814a048100600000440118008402100048000040018410010102708048600210900000440740840100810102400402a00240418008640042c0000090031040080020a442e0224860a000850010c00a4800a10290</t>
  </si>
  <si>
    <t>A35637_1888_8400200902400810700600100042900242050200c1840a80010090030a410810502000400100802012a0810820011084011200840034240a400300b00040208110a4804040001811880061261004240001000a008140a0010200211800050011004a00044000064000834221201010a35220060060221200204010040a100000208010040000100f00010810000148000508a10300040110f00100652918810400040842a48008018900042040000340500a00008210c42408018108100000c1000014a818210000108400900302000010200912002810600040040000800c0200040094800001004000080080aa52110108d4a012000042a52510400000000802100208058a00542c5241084004025000021040050010810004a308202418000e02910302210800040440008a42008200c1004040200001060800825224010290031804080815020a000248000208d10200002800800000140000012002402c02002718400848408040a08000318100050c0200080000000000060a05a41000800001240000000081020035825010015800000280815030060000260045040000000001</t>
  </si>
  <si>
    <t>A35637_1889_0c08c1880004814000820004261801044000a418000100810000002042100400142608440a40948000518000040510908002008000500a00902108800002010d00250102c0000a60020085084a102400008000410010000000008140440108c4201241040020004a00031a01241040800814800040800040004a318000600600a10c02240102040408000058050e48240140000010802050a40302108300000000c12400202018018048200000a02200100000810800000900a00652200508048140400040410a00548040000200800208000610000c02902110100000302600410008000108510a0824004004824274880010000a002940000510c08000a10102000050110008f00000040240802102900800010940000842000200000008110b0220a040c10900240402240100400000c5201000000a80a402118340a4080080201041a010500442100200000502110800442040500a00008000010c0080010881220040004260000084221221060884801084040801201a800010200040300310212c0801a00a54084014001010010880a80240084254010055a810800d00a0044811</t>
  </si>
  <si>
    <t>A35637_1890_024800045020a04a31001800000000020020a41a410800408500008008102c18042e10812100110012e1010041054244a100000000140042c1200081a118200258208450040110000118040002400400308000000202402452002200100110400802040000210058b08512c12002000808242910812208000100100400108440c40800200910410500a4805011080030000240805221044020010850000050005080020a840400008102a48840100000640d00040010042840008000900c1260081000081a110300800042042408040200b08240208002a00240340c10902040d0280800000a00070a018002402000100000b0020040010211805020000041080050001814080030240a00220080040811001a40840060014220801811004280240280a20000084820000040014811280881081000070000a01880021000200200aa50010000c4244004070001801a000010640102408840308018210210402808002040108808040000800852000010812000800a00300402300810008802100040110010608c08040000308102210050400012a00a0205000800024a400400108500d1</t>
  </si>
  <si>
    <t>A35637_1891_001001a41014014020060804a000010848012000000a0a400152e0a810600100018c40400000140118008158a0041000a000000410008602002000140002400000808d12600850040000800250000448010140c00e1880084050000820a200700650000302000650300010008800008300102800510c0001004080030841040005a110100342008100c0000001020005210801880260050250000a002908a1800800210810264061040020094284081201021020084000080205050210800804000004004a048000900a4090200024a300200540452052102208308e00402208c50800008610408112008140108800012800a18000110008a00208908840000010742002112110008250100300240010008540a18410c02140100400110200512048012402418050440412408818000008110800000740948100310000400802f0020051800041a80a050740800310408b10048400200000400108c0201a51044020020a000258602810000000510a00c0000a110048210100a08100002100048108440208100852002900100450d0005000244080020221051040800a102c00858100a0</t>
  </si>
  <si>
    <t>A35637_1892_8308040402000010052800018c00440a40000252008400a10400300208148200202010102002200042010800008840542042000200840000010008800610218c02042110400842012500948000012700000500a0040800a00000290020021000004a102008202242010248000152808800502000208602400108140010400d0201054000001000860840a44001054200814080010a002512008000400410010a00040800a42040010240052142000812400000100e40000008852248410050042400200848008800008450500508800540100340c0000010000040020835a008042900818040110018a0a00000021a40251071004090004000001280000a24a410200008508800018a1040044005800a80830040804000214a212810000648800848102002410508000840a0080800a10040265200020020000200030080044200005014230001020090204a058658010502018002800100200600158402802440200048500800a40040240140010418012a12800400002200100810002800002210208110002002510102040218818048000040000200202a0030045814084000230001</t>
  </si>
  <si>
    <t>A35637_1893_000225011214010a448810140008500500052502808e48200812300008202210340042900c00900100800310650c1024290a140600802010c02002800412a1040080a400140008400000102858450042300500110000008100048812240400000012000808b40012510802250040108000442408808000010000002400818210600040800840100400800402102240910040610258402c00400850500b0880205284010020a402600008200400600000200810000608010802200440200202808d12440002300000610a0a80030234020a900050000402800200700500c00000800208a1a340900c08002010200840202900402c02000c0200a042200000008800300810200200010440010302a48308010108c00800400110442000410450800840240050208310800502000010250308d1220010284004a212d0010221280060284010051040820080284a002402010242002002842048400100050a00400300248202a00a10252000548008000600318002040040002042500248c08140802000040500002002042300300418400e0220800000000030880015880800024201264050</t>
  </si>
  <si>
    <t>A35637_1894_064084200024a00a108010412a00040408808002118c08602010100000310010402412810a00000440a00040600110800100118b00a58018052200040402000c08202000100008240000800c1010070880060200000005a012348002012a0080a058000500042108000510010000502000010008812008002a00200008400800208000908010042618000200d0004015050021004001081070880205871000a440510240802002a10510c1011280080a200810640000c5000000a608200d02002010402240000100000050c00100040140000600808040400a40742200208040810100100600a08010040010002000408910142a00c00c0081011041004a00884290294070a000a4040a112840a00640000140840002100240142008110a00100b0a01801060000040080020a00a000508440000d02000340400600208c00400400018500200900818040700348012200442010450002300040c0030805a042008112140d00200800040c4220000000021200840090a000202a10408012100a00200408000100010c0200090070010820221000214080a25000001024880014831000010</t>
  </si>
  <si>
    <t>A35637_1895_0008c02950102818208408100208402102148112300e12040d00208950410e0060aa12910000200240400c08000410808050502800940008010302912012800008440000048240208108a0280000044220251030085a41200010804a408a10012040550040802600a0081824010010010820a500342040000d0000020a008100412800400a02010200402600000108802210008300c42050500918100000042000810842000140400040a00c00142250000100a02602040440040300908242000000142200202418c08202810400100000810408048002a08150302810200008110800208000600012800950700000402400a08008400000002010400a0000810200281020020000080a000c4000004090841005011080a000750010040408810200040002208a00600100408312208008000a10802500212618310110210c1084800040020801a44a050a0a91814280080004084010000200000860a008000200000408008a5800044014030804281010821000284001860041000a250002200000408008142802c1240a300600000400802440302000108000400010450d0a04001011</t>
  </si>
  <si>
    <t>A35637_1896_010060084040080a208110050202100200208400010800440100842100000000058002000002210008700412040112000100002000b00c12000200208008c0090241004080a00214821004080a000602108000800010a18c00200040300400800000800002050042000058010800000000002018200e00000600200110000800040c0200004014a000d40000402002802140200200a00012242a00400110040848000008a48200c1031081044040a008152c00a12240140040010440a08218000c12440208240200118800810640240410400c42210500400b02250300c0021090004005010200014021000080201020880001a800802800100200900148a1204004000044020014040000000804800000811844811000a808140c08002008400008242010a00200400d02440010002400700812040142208000500b0821801000831024000090000010040005004841801044000214a000500f00c0200200010204040250084800200000080230800820a200042202848412110b0800241004a10200821831041a040e0880054280090ac42000202840400000200a0800040210211a60</t>
  </si>
  <si>
    <t>A35637_1897_8010250902240002008300800202d0040014001840014060ac50a0000800010040204000210a20050000010021085014004a440400800850112a0000011800820001a000f40840150318040008d02142350202210150018000608a10202408a40850000440010000c1000040040094a940442208042040102b00a08600600400800810800010350008310c0010064000215000044804205000200041ac00000800040302040442a00c0864000084010020280890804050004810040001040080a01084201060030860281245040a90044230811024a810000300400e00008050500100008040008208010152402202218000740010c02a00018008010500600010c0200010860025220250010810010810024081800204801a400100042a02102c4004a018300240800400e00000040000410c00912802218600000200802802000108102a00142442812000a02112100000e0800004884a152018008218c00342300408208410010840408118010108010218000b48000018b0840000a04010000200010010a00294200084a152100850a40410648900248800d1041201200001201010</t>
  </si>
  <si>
    <t>A35637_1898_880844a00200a340402410800c08010800100048c00210002c50000042002210810a1800200804810801034240010090000251820005000050040020a548110002010d40400950300c18a4a410002500a00300408b00442150008818602800050010800108040140300202400100002040400008a00000c1000200025020880284201200201010830800a80280040080a44040090a21000204a058008a00058608800242108010200100052150048000000400242008140402a00002400c0021010050a20060200054825a150a00202200c0041840011214080a61801000000a51034a010052500400000440008040410000a12c0010080081010841820080a800500048140100002400000602300208410008008040042902050500a0000201080a008152400410c1014080294824011000a04250200021030080044a010000102012300c08400802000400900400b0840a80005244200a01080084004080000214000a11004800a90080800820020000024a002608840400000200a10002402212500000140400002c00812010008810800400c4801244810010020000004084220861</t>
  </si>
  <si>
    <t>A35637_1899_0810208812940140400908108000000a02800200600910250400040902348000d4280214200805000001020800251004a34004000010a010010800208002800002048000602252008c0021ae4004020021a002000208e1a100802800108000902000142000248600100900002810008040208400200050500000800218518300240012100010202310110000000800008400a00f4021000210885a200400000802d1230010804a00020840881090030004820004880205060010844061080800880084210a010018642000040200210140100142052540000008042c1810081810074830000800861044294080a24001810840260890094001020020000040081060820074021044041205280094a000800200800c00302000208408650412902000110040010a00008402248210148310208840800100010052400210002040242802108000d4801a002c02002200010310200000108b40108410850042842000810400018400008140e0200a51220885000051040884004801011220000280a00a05000021000a802a40902218600a0200094010025010801000820800020200000280</t>
  </si>
  <si>
    <t>A35637_1900_0800440842008b48110418110c10440100a02200500212040940040040150108000010000242a00000610810002910942a4211a00810a010000242a4020001800241201204030044a00015820800004a00a102200900842540b00818018008000040800508800102c10840200412408a48010210c02808100500008600c00000808400442000458108a4000205220a008140800500000440300812200508c08402000d48010400400808802050402a42100008140210012c00808400000440250050008040042100018840142008a1240200824040000000081000a900110010840108008008100902440040e4000001020034000ac10000900208a0040205805200a012000810840812000e0001831210084004a85000201001240000084010050024030a110408802800200000202118a00012410242002652008040208950200100008010d00018500a0a90010840020241ac10402008052400000c1884280810005801011244204020201005070004284085200a00030050804001200040a048040e0844041004044a340012110000a0000064005820040051281090010000841201</t>
  </si>
  <si>
    <t>A35637_1901_8400050500600112340718600048000100800000100850450040402a08200808012052412140a4000240040a04850040000a750808000a00150140002448808050010100e0a248448008900212950600012242000a1a20a402800000100800502808010a00008108800400010502500000242010000810010308000040200240000050302350440008808442040400108400800152c0801014204200810020080044034814a10041040800000064030861000880a250c00c08200250d0880200801084a10220ac10410648002500802000000302200100802818410110502400800a4000200001000001041084001070061024084091000020864011080a01280200801000860001004280014a810140210002c5054000004010a000012000000500210508000c40a0810000234a100400402a10c40000950200000a08040012d0a240002008208200900102210200008400810400800100002900848a40102500000010408710c00000840842042000b40840100400b08040500a0821804004801200a000112000002800248018200510008050a00900210c0820200814000001040201</t>
  </si>
  <si>
    <t>A35637_1902_011240000010020221241024224850080010050250010aa0200000004040a000448000010100208640000800a00000a40100602b0000880040210a052400310502000852808a5010001081a04880000805000a900210450400000112400200040600c00540a02118c00e4000040000021001a008800008d0020200000020020800a010140840100008d00c02052b48800008208040a40500248300040210008000000e4094801001045000001204004000051014a008840a00a08048c08000210402408b10010b00400400940a0880025021034a008540000018008408902202902c00040508010040e00900540a08348410450200010108310200f08902840002008000340908800640002000300042200b1200010020a912002400c0864200080014005a500810000c02600a5020a200240048042000b02002800900208142040008400400450a12002400a08500008252000842a0800240210824000a040240950050b0024204ac02800802100518900640840c40a0210010000201280280800034800060000010084011030000840080a402200212202008850c0211000084004091</t>
  </si>
  <si>
    <t>A35637_1903_800241000000000011000000080014000201820080035221004000010844040831a812010e0801200800805040a00000a10800010060260290040820050a110800008942700048300410840002512208800000808240a12040900002100300810002c10108110242308c00408840000140500b10a0a018840200808102010010008000c08b1000061000a442100200002200200000240150802112300c00210600450500340100900808008400440900000108448058042400200400a08c0a202912008200400200802a4040054004201080031020050024804a05000880001010240a050748010000a1041210a14010240010a24000294800054201000020001040000a600800200008000002000158418400c00000948802202800850202802d0000210a400842400042b0800004081011065010020810a41010001880814090004000210850820241080004001001881280ad0030001804001011001200044a05a100710608850800400200042000540200012800208700808d4804054200a20a442410400402800040b18040800a0004080200030020010844844000004224010221</t>
  </si>
  <si>
    <t>A35637_1904_880a800d02740300002208300000000102000710900210048440a40918000210208800400608a1000030085a01204200000240230000040880040284824080040005091020290004010010020044004004000051044280801000a000340208a00612050840802010008502800100640050700200008440002a00140402210810200050100102310208100808802100840008400f4004080020200000011025a818002348000450210600000902300900100010118010410400002040100148a40152202008008000e0220a81060020014020800a440d0280001001020024001001254000821a000050c0211000024231010070a00240000081040051020000005020890265800040881210090a20064240080a250442002218402000500210142a4210065880031840a40010291040000830820a00004000001a000842210d0000801a240200250000110d00002000810340208102240000010000d00a1050200880031000020280a010642010100408c48000400200200200600b02440000100b4054050000044805060800001830080a80014064020050a40001880285260000851820</t>
  </si>
  <si>
    <t>A35637_1905_0900000450c4020035200000260001080801a012110600202500c4a052008010802800102908000702000908a40410408040208310510c08000400112000010800c0a85294020004850090001800220830040820080ae02410008008050c00000000040040010402000040c02000400a00018800000008400800200100110040a00010100802012010c10400d00440100002818242808810200808200700400400400a00042110908212440100700040342008c08040150200010000410802040012a00108440200b0a400c0000a100400800100208000648240110a0005000a410300a00010508410002000200042600800300000010c0005000a208008218050102300618208502010800e02a08100818c0041010090000850000000244a010200100000800310000040000040042010240000442000040508400140008040602940148e00000c48102200a10110400608800500100102050800850808840002308242800000608d0024201a00281040840800010004240a118c0204880004020020841000825211090880031091005821045030204a10020004020001080080200001</t>
  </si>
  <si>
    <t>A35637_1906_0200042150c0030020a50824061080040031204280091004010070004205001801a800040802000050400410000900c40200018100e42000140040a08102710e18400040042250600b0000001000020001210250050244010004084000821820a402140c4094021041080080044014080020040804004094000081810aa00142448000100050508c0000080880020230200081800800ad02502812450200140210c00802040240418102200010802142002010800602810c0a300418a08648400010148240212310c00002002408108252000c12a1004014a010302108210008100208012002000108840002e02040200508010240000402848118000d1000050084000840041005a040002800812048000208202800e0020045250825001050044a30200231824004000000081021001010840011200080000050844044041000800841001800865804200000060000051000280280030000040805a400802008000200008310258800140300408100e0a050902342850048c18610040400b40200100108410042140842208008410000018100600002000108008008c4000a21260ac0</t>
  </si>
  <si>
    <t>A35637_1907_8040442000e00202010010050400010008002058208e00a00150108108240508840000110042a0a040008240802142400340208e0004a002402448010442c00600848802108100442608400850800140218048600008800010000312512118810c18400e08202250408000012c02802110300000702040102d00000002100910840000248208242000110a0000290801801200000040084200005800070821804280000084010220811084040044881040801080841010010225871800000200a84224021000820040024840220024010041081040201020010200a81004005880200004041010804801a14004020210a800d40002502a00000000208002018100b00000000800310400010040200000100008450900c0001800080010aa0000210021014040020804084094a052108200600048800200308000d00c02040002802010012c10102008400008200242500a00208c02948040410408400000950608808100018c50010010008a4200201021040a010042008402010440a0804020025000860020a008040f0015040a40811880041210a00001a81000865800020000000880</t>
  </si>
  <si>
    <t>A35637_1908_055865081000200a640000002a0880044015801a008510018410a08800200010802012542040352018200500802040900250240c00142810110000248042800c08050402008112200a08040800802902042200000200c00040200000600310908a0240004200010000011801014250000014a408010012102100000418300000200400202048000010a00000800800008340100a02400500902100318000b0041200204000a418100040412100800a00418300b00818000a0a140050000100c0091020224a400210110440800200800400a0001000a05054ab0204880040865044040294a600a0814080800244030850080001220841000031a00010034061085050021a002910240440d00048200510210500c0200000a002508410100042900000002000018510450410000810500000000a0001000285004840001280044090010034a208000a0005224010001040091204840070000000a208242040040000000110900642800440a0a04021210840020051000024030ae08a00410050002050218110008048050148000408400140202800c0010851001080000211240200005250</t>
  </si>
  <si>
    <t>A35637_1909_0e10e00002202040218010a40402000e0081000850810000800010220040851010a208802e0a010200200140040952040218040c0890080a55200000a100c00100818150240140040a0000220050040080201080884aa1a002142842010a1000804000024090010280030024214040200a052c00408402042a4211005800080800000000a018400200010c40850042008100110000008d00a02810418200308008800000010310100002000010c02208008d00c1220801034004800010080a00041004884010011020201810204001000821085220200004810204a91005084245014200050061034000840084804021011004205085210201000020030804a000740a1844a800200410c02a02a0204821800a44a402a4080a008400e10200100040208108c00400200500900010118500208600050040000002a08300648040200858040a18c00802000200b0060080010a042000200002602200808242040840800612700900040000402a50208618810410410000002040400102a58942908a00410208050210c0200211240800021021244000000024a50800060a50004884030030</t>
  </si>
  <si>
    <t>A35637_1910_0a02002812002942000910042442010400810102400048a1000020010014080001840a140042002510010818000c1204880240020050001a01010005040851000060a050040202002600c18810c42942a1010881850060004020080061040014200281080811200210001000000090aa58008000e0a200840400a00400408808a00112642002318100900442c00200b00100000c4a00a00040015000071030000800030000004010801000250000a000000c00812800452600802408400200400802840a00000818040002500900108100000140008112442108200008442608c40602b0a110100a4801250214091020020024084a14080004a04000040265001010024000800801820200000005a01000014000001000800024001010204001200285810020000240000210800005220000aa0000094081a20240010a010800200210000200018040900602042200900c50218450c0804034a100050040052d42240202010e00440940008a02500800800a02400040902002000040210002200100110200800000002300a48208110f0240080000a00804821004201000020005014011</t>
  </si>
  <si>
    <t>A35637_1911_0402c18c40002100102a00008400c00102010410000410a4210024234a00080800000a81040000a040008010050850408a00502c00a42050140002008058700c1025201210080a11001005200800000a018642108010000010840100018100240042d00602a5004200824805040210200051030081080844090a10010221811064810020021000800000880a102000200640400802818010a0024800850040004a00000201040030080a81084214885004a808500c50000000102602018400002100408808000900948000940200010400200002050052000110040410900e58812100900402100700008002740058440008400810c00202008250100608a00002802148148100000800800048100310618842240040c40100202a0014040a010b0820021010015020250200000a110200a02608110440852440908058400840000a00218018842c52000a0210064021094200084064090000041041021840234804210240800221000080200001000011821204240804201000080000011080204831800001064001250090001001810205010040220a60060840a840412000808202a0</t>
  </si>
  <si>
    <t>A35637_1912_0850010040008010200908100a4050204015841011000280041000000044080025080281020a900008310408c00040600042002e0800024200010021010000891a04005004010001251004081280010200201800005000a90084a300502808b00612100e0220024a400058202000148008008910400000000002048240600900400810100000442100c4040840200014834000801ae18440100100002110300008900000a0004040835800801220011000040800281010044230a050400040810100300010300200200050500148050108400a48000012000810600c00518000000440048100100342012440408008440018018e0081280800020050824201000200220840001820044804044010800aa00010000402240000100600618458550800810640100900a40000600112302c1840080a000808350210a10000218000540942518a00400200002100040510200d1045000280030a40880091204004004801800220044024040010080a042100340c52042502040000400002408800440000110a10f00000402a42308048e08000c00012000000600d00200800c02c40348448c0</t>
  </si>
  <si>
    <t>A35637_1913_0210400840308018042400408000912040000108900308442140042840008b10840410000808000600000850000000b02902500800900200d00908348400008002400102800900000000050a08c0060a20010021010a240000700042000400450c4201010210805080081201000024000a040808700a1200080820a01291080220800004010000240870060880000824000250000aa40c00000008000000b40008140542000400a18c00802100942000400600000008110100900000c0801260001000204040a91081041844220a200258c08110002d00c42110418300808042d12200050110008942000050a00048302208e00002d00040042300200900052142d02010040400440410c02500000100908a50e1000080a150002600d18600840100312000100848012850008a00000c0005060240020090011840051aa58102042800602800240010400800000508c0021024010280020a210800510a0054094811201aa1000020050000081020011844a808040c0280011000004005280020800a048a08200240100040100600d10410a0001004004021040810201850010000024040</t>
  </si>
  <si>
    <t>A35637_1914_0318840002000902000100508058842000002048818200a0a400e00008000a0045a80014004015020800000200081000234024210024020041090020020a50814081a100940218450000000a10802408a02000000300802410e08000040708b10640502a00a00408000000000140108218000600000c00440048008150200010200802000a0a000a00008000540000208040008d48002842642200118400012418000a00040140000800040810102210418c1090021004040a050000800002042c00a40100040b1800020240090a80054201015020084010800005820004080005030a000008210250c4000020211014000020201044244a20004800010841a402402000650000412052000002110400000010c0005074000000860880000090094a810100800648c4000060080021851005001280294094070000834240001254094a102c10048400000a02a1a048610208c5004010080810210820804000000224840000040200010290200000021844260840084081a300400002a5000040000a44000084280004080005805000000a00051204200241080820204081260020810201</t>
  </si>
  <si>
    <t>A35637_1915_004080000090804020011085284000000014020211840000a012a40052002000408010500100a40700900100010852042102410300118040140748208148800048e02400800010040600810848012c00108302d1880060a000c40210150d00c00450010800012102100042000000248000140000002210c00108b0201021080a400440240840040000540808840a00210400110450012010500000600800802850c1200224840ac0031220080070000020a418108402900940010200208010000c00440052118000412802000008a0200a10080824040000200001221860200891220800840880040860280250084040820084a80a00030201804280805000814020a800040110200002d0240810004080034805a00004a100110900000800440000002402608410a10400940000100800400058402840100110800200a0085070891a00200020045294210a000102000602c1014000a01a04021081084001020094004001850020200240800814010040800251080000021211050080200060800004a70031001800014281201000011004890010890040840045000014014020020870</t>
  </si>
  <si>
    <t>A35637_1916_021200204044034a650000910018010100b4020800840260004040820000a11020045a800242802440200000a1240000004050881041a00201080804210020804000ad02000112240500400800c10c00018700100048e4a00000214005030020240084010a008002000000042000200b10240000d1a052100040118408010100800100342100142800612002110000802008408c40200040040210000008010210102a00002008010a5840044244001005290844840a44030224000000031080085020a040302600808200002402000048500c0080800000080225081800a450440800000200e00f00008012a0034804890814240010004811a100008600418410400a42202610000808840440a00248a08402200000000248010118400250140300900200c0800000804000a008000008310000402b00010202e0011081800000025240080040861000260020850800820040ac00100000150b00100802c10e00348240c00c02a0250010200a34a010002010000548000218008302600050240010610200c08642110140908002000200000010008040110000a08040050b0210020200</t>
  </si>
  <si>
    <t>A35637_1917_0c1a050040d00100400e1001a408000700a4040011001041894080230a01a200400008440002202440200058250502000000118010940000c4044281024820005024081240a202310610b4800884010001020211004000200274800801a000300010140340058002100c0020a91224011a040410800810142000810040000840010000748000410a00900000d4224010070000034840000200211811000010200210000000000880020001084090881805010801200001000221250820830080a000c00002102400002012000400040658008002618110408940600600f4040244084a040010000a00800500208800300000b0a012002140242508400500800840902b12100000658a1a010e00200000e00440050812e00000010400c0000881070815834001804a20a40000090020a81004800000010224800080041864280020080020800074820810000880830200040064010004010841840080804004240881800030091ac0801000804050040001880800020200a01021840260284044010004010030004091260a21244200804201214010210a04041040201080050094041800</t>
  </si>
  <si>
    <t>A35637_1918_890220881004201200241000a24000004000a048200050c48000e4880a410910000000850102800010200402448002908000340918000a08010002810040900008408c02800240602a00602010000000018608200f5a01001280000a410c0000040081030024204a400018058000900100302008c00200000300842348c18548010002000940100010c0004015000000a310100110408c40200300250210048410400600000000900b10010442402a4054010080284850064a010018a08142218800a0210020000054801a05080201800a500e40202010448010018800208600402000042010e00800e00010040a50408318040050900348000010800200458400042100012c00918808052842848000010848048940202058208808008c0a002300118010910000800100640040448810510000010402018050608208000040402008002108b00018810000000050210802040c00900242008910c0801080020000055a40845a200102a00a02302208608010150500810400a10c50842102000042000000600c0201000224800880090200004240000a50240041861004040204a70000</t>
  </si>
  <si>
    <t>A35637_1919_0210800d40d00000240600200010000440108450000410400540008842200110400400900100000110400000452110a08008208010042600812908a42008310450410000802008002808c4860005204885020050050001050000095000a20020a00284004010001a01061a248400108000050210000040500042302100c00a40248800000100640400040e1001004800a008100040450802c0004001281000a000100008000000108410200912200800200900040402402e42102440408908200452040200018600a0a412002800018702908040e0a40004204051000050a040c4030084000021840a44000060281204000821880804080230a402c0880000814004081a20000805061010204220021200020021000264820004841010004240200094001a31031080000040a010440108200002800a4891a04a008c00800010800000200a00240400410408000000010008800840b40010250400218a0044080030010060090280040060820004810804000200020080014821084000814014090041000080aa1800060001a70080091005080090880070211800000001090a90004040</t>
  </si>
  <si>
    <t>A35637_1920_014000a40030a302000200700000102900010202000108000412708808012210e00640000000800048818200a42c00442300410100502a1800040a21011080080280880010220030281060821010000000000061094044004004005251001001084210004080011280041a800050042000710000200000410148800408408000002100a00910008400040c5000014811800a200a00210840e02008100018002602410602000018b0041004000224224200000024200a40090005001291041200000040005061270000200000204885021220890280081250000a100000410000042c00050440418010040400208b40200508010050012a0295800081801000040200a05a008800002210400000800002218108800d0270000a14880020801000280021255800804280081050000a310600802010412000200608310642200940140002012b00140c00810c0820020080000004800214011025210810020a900240848648108402000000b0020040080820884205000030005810010801004240000000000800240010210211211040004021a44020220820a010200a0840084010205000</t>
  </si>
  <si>
    <t>A35637_1921_081000284200200210a400308c00050b00052300a10040c00102000a0a01000884280800250800800061081000845020205060060890204044230200004000801221ac0020081a140b10008800840842802712410002a10100a4020040060000a802542602058202000100000000e00910100818008400842400100600400100450002102248100208400000100408840402110042440040a40910302800810248000200a0024070874040890080a00014011011281ac42400218002c00800200000342a1a000a18402c1800200031000080034a00a110a00140500110400e18000b40908010818808010d00440002202800108000002c48a10402000008042c0010010261820830820a400c00018140000108a4004010a040200210410040902b0a008148400240008400602358400a00b08010102102042542400002010052100308450800900010042040002010808a10802c00400a0800800880201000004000000281000225a10000000264810800024000084024070a200412010140240942000108008c00800248800242200400818002b0000000081804884200030804010851</t>
  </si>
  <si>
    <t>A35637_1922_0000248500002802050400042842c00200008508f00208850540842040240800e10000410e0805834200000005201000290020081820860284070001810080085280010050880030200020001844000804045000044800090010004201040850004000220000060800080841a010100800058310108218402400a50108200100042540402002100300940042c00008050058010e5000840000010000060024a00011040031001010020800805260200041220014a40051000010001020040ae02110008050402c0030800a900140100012010c1ac40040400208000a00950812c0000004841020061a210042008800210000142410800c40012210008400000d00640210410800900c00140f02848048100002008002d40940002000840800802c02200140500000800c10c0830a602b10018e00012100040100900410800040200258012218008802010200000100118008000802200b40002310a10018540840a4200260001a200112600a00300000948058400040010100d18b0000000054a10a00001021800a140000b5240000800a20000240004221800044280000030084804200</t>
  </si>
  <si>
    <t>A35637_1923_820005010200a958400600d00000402148042610100800002000a0a208042108100242400208048400510910c0000000030030a010210048000042b02248800a00242100a0a240002808902802140602002000818440400050108102100d08000218010600000040108000c4050004020800a90821801010000000a60220005020ac5210a910010418000040410002010100010802600012008800552100108c1880094221020840024001a01010020834010820820810200011a148000000008950702200008810c12200550808800010818000000800d00800612008c10600400340200008808300002100c40908000000408842442800012018008a10400100002a18108500140800440508902050400c0060080080030021000014840890094200820820024220804200010801050095221010004a040042710002000400508202402a00c00412010802040158b0045aa50400000800018200442240040802110100a10f00040810100140048400040848012008100640918018850c00102800008010500600802000058008400158a00900540900008c00a10050000e0804200840</t>
  </si>
  <si>
    <t>A35637_1924_8200210010402240202000c1020004094804040250034044010000000861000080861000040030000090024804001060a14234081000800850000220200010010201811010014820821000240005004a04045a810310058042400202642000040a4a100a00a10408008050010400000008642408710200000100000142a0004064091044080020051864a410110802800250400042000000240000040000208c02510242012052500400000402000000208500050000050802000400908800a4244020a140550010012240c02600b50202810400208840400912410100150010040a08200002400400410800a4800000800005824005080000230810090240a840c00002000e00c00250010800a0a510008448418510908042400010310800042000358400208a00848802800240002a08002400440400250048c00510810000a0205234a418008a58100502108000008942840002c00040300010e1020090084a840200800008050100842800000910700618040208200012310848a0040060000840a108810400050e00008000708a00002800a4000220010040000085000810040210</t>
  </si>
  <si>
    <t>A35637_1925_0050800000142058108100200248000340010040808000e52442400800540800008000100048010218100210212050200000010b0080201a000c02212102000802200010002002058908142050400440300040810500212402108110000218100402d12100800202400502048c02002000000300840010002200000418800100a0800200800a54881070800880020000034010841000800220004a400500812010500200208108e0080045081080090010840060000a000a0204a200310100002010100200418010c0020000044a908740018010200400242202018100500010400f0a000040a10042a00810002240042400e00048900340042018800312a02c00040a0011080054a80800080824844041034001a00020025011a008250042000002802000010300018042008210000000942800110c00202500a10242400510900808440008440802010040000008400042050400900a00408d00100412440002a00440800408a50840942900100a00208400400e00002010208308002400240148340100410800c00040200010e0040a452012402110412100008600812c4800051070</t>
  </si>
  <si>
    <t>A35637_1926_0000450800008002410200410a4004200815a240400050840140100100008018c08800100b0080004a00800020044000204800000000024000290080831201035084200054220800090025020a902048142002018400e00040500012042100a02400900c4a00220a41810000210004a018548900000002800900008100000e4a408000100040102800510042000148000400000910042952400040008600142442842108b00000200c0a000100400008110800540050c00202300008408448200d00c00212140400a00808900008910200318408012c02842212000010808800012400008048310818202110b08802010300042c00400848802000018100208c0004094a200210442010010002200240208200458050108042100400d00010d0004090830040021080a800002810050800002a00040208200500418000802810640102210000050200402408842500010208812012902208200000110212800000942500900c1a050042100058440208240400940200948202400002412000200a0800801880a01001010895240a000200a18c40008300602808150440040342002410b0</t>
  </si>
  <si>
    <t>A35637_1927_0300208800440008000010810400100240210000c00418408000400240118d00842042800800800410600552010002400b08040810248808000142818210b1840040000030a00045001080084281040000800021801820ac1034a00a00830000201000200205000000034000014040281a508e00042210c02002050458000612c00510308042202010a0a000800400000100110802040800202010400400802010000c08042240210408012102840848210200040048142000850440500800c08800800100008c10200002042002800100a00110400142802a0055a000010048002c4001a208400a0004a80220005a308010140008150d00150140400602210002c4230020020040261080020000244021040004080210090820001014a000050840000040508450840000242240000000550800c0210220010a800a00058400308200008110002800500000000042a0024800a00090000210820821020010060000250211021000055010a11005200045060281004035010040080080004010220000240090880201210020001a90025a01a05204090254050000800200230015800061</t>
  </si>
  <si>
    <t>A35637_1928_0802c4a050e0a040440008a18218400008948112a00402000042d00900308800310200c10400208100000840200010c40218410408000c10440100908018200240212d00802250102000c40242802942008100100c10a4201020804050010050080a002c4a840340a10d00800442008010208000350000c00a02a4050021800004800030810a00a510202000040202910658018240400150100908208c08800012100200112218000912600840808050010410000200140002200000c10008410002400250058200102400002000802208010200a08000c08812250610050a0a80000a10201800020801080040290820050004081041244020814000080240084030024000000000841881010031210000000804290044031264240880001841040800a30a408802050050042340500000b02640010c4005210850000801200014000000020801000a040502808010b00c10200c02200200440010008400800800808002f00800640c1040031004860040804010084824a450810452202812500100448908500200c0000820801011050280001004080024290821000010044805061080</t>
  </si>
  <si>
    <t>A35637_1929_0c4044200000820024881010a210d0004000020800894240000240800250281021080840094001a000200110010502302010108000b4220001040021a11a00050a000502200012050208450a00510800800440e00308050002040100248910110600800800108100000a40240100100842100610a00442100000012640218808412910b00202048200850210510002000450a08510a08400902102200208f10048840d0220010090004a80004004820a050a10200a40000600218048810118e40d00800a0020000000080241004800220a910140812c0064a902340200a40008412008000000100d40008000942018410600000402102000300740000c00208000000048540008148440812240040212500e00002010002a00100b0000220244020210210a600900050040648000510800002008050040200210100148808142a0201a108108250002400208012002400610200010902852200200c42840012208210008318048652800000802200800208c02402400110010600f00040412002140400010100000500700300200600050058000008a10400610000240040208b4a04a80</t>
  </si>
  <si>
    <t>A35637_1930_0008a00010d0031810020040001090200204000001895001200080a10004a71060841840040001250a100342010000008002212000148800000148008252008010c0000000015815001090020044000a310200100312000000000340002500010000052000912012000818808140248800642000518c40142800012000d00c4a80a14044224000040805221000040084011081000a200840002100108508000212110002810410800040840000040002118200f0220004000004a010108008208502842812002500142400810002208500110a0004a440000108042e10912800002848110440000508c10900a4000a400000f0081090000804034a000512012100208140000218010640010900900400018802052000442810002000000000510000148010000942800000908000002408008002400b08a0840800801840000210200020230891004805004015004250020040000004200200080010241810050021a048100248a00040808150450000802800000140218050208800058010000300600d0864040a010e0201000a400840800000040802202a0050085005024005010001</t>
  </si>
  <si>
    <t>A35637_1931_8600008540202312602100100810400902b00008910218208800002240550900110a00942008000008208600000140100018000900542002012a00142310800000408400c00058108010002008010048040000408840a00042002840040a00010440000100802100100102c10012308000002408010600050800840200000408818440c00840000c18210410442642040412010b00400802448300412800010002042140118000100100a02500008010210010800608110d02808042000050000900002000410c00640440842000202300000110612000100208000908018050510100800000800910000000240000002410718002042002100240008a02048010002002410b1011a008100a02300108200318048052d02a10400508812a10400802000402d08450200d00000b5201ab00400010800c0221221271830000084210a002348018152600c1020810801800024080205080a10845000030080040014814004020061000054200891004031800080085264820810001010a810002902202640018042840040040302410000052050842202242000408702000810f40a0805240</t>
  </si>
  <si>
    <t>A35637_1932_0002410002508000000500400012000240a0010030041a20000220880850000045860240040080800281014080000000a81801061000000010200805070210000a210c0244014800a300000058902002900010418010650840200000048000300018000808000740010402202040140140002610800010002040900600000908610000108010408410002210010108a00400200000c02142808042042200100400010002802002010d0280245260010030880005000280200804800030060a400500802a40040410200008410100218048a00110a08040208050012400100c02800540040148808e50400000040b4061810000880010090000a000500000002d1210084821800061865014020011a252800800048452800002400708040812d0090825004280080a000040400242410210402208900348912000218642a48400400000100a08040a40840000010100100c10400400000010000c00418000542100800312418500c48140040000440210800010910400100510a0820a20a41090894200210085004050290204040a00054004894020801844281035a040440500108042a0</t>
  </si>
  <si>
    <t>A35637_1933_0200610802600000450218240400040500200548208000040450800110308810000408800a48000250508802048c0040a252018400a00c10810802040408008810810010040042600810010458000700000140100708c0005280214000220024a41011040080800a80011824004210011801a000d0005890004080070200004ac00012242912200108200040400640018002008010400000b0a20001020060040000210a85000070010000290004024a210000c0800200244080a00021011001200220010850020800044014000a108410110a1241045200084020200884800881060220050041000a048440048a0201a200408852910d40902600000400200000208240600018050010000502200218100050048040008002400108e02200050a0024804a000412802002c0010810810094061210080001060041010000ac0294a84a400410358400040600208200008b40200800042202000200100040802400050100a0004840a042840810400c00042042410242042658018000002400202012100610042008d12040000008008908812100000008440800018010000c4000204000</t>
  </si>
  <si>
    <t>A35637_1934_8d08c02100e0801810000011064241020094a25231000204a900808a0810880020021000000000240000051a81084024a008202000000052140000100110100300000402448112008000802802010442050008310050412440d00040102408000202042c0200001a808442400010300b0025280800a400042300000200608110040100808300002200c1204205000aa08048110b10e00c00000042042000400008c00602048148810702240052100b0804880010200244060005030880060060281020a008052308000442040400840400a00900400002542a0261001801804000084014030a000410a10542100050702610000648402000112010410b1084290220800800031005820a00010a24840291000060004000a81000a008018000040a0000a048500a12a1000200020a310500100008800c02100050b10c4800805200a300202100d0200801204004a340810000a4280000020250800000805000034295244211800040004034820a00041041201a840000a08600410110410810140040012500802010440108a0a240a08508042540102112008100b1020040280a05811000</t>
  </si>
  <si>
    <t>A35637_1935_005000050060001201a800600002912008100100200440610102840042418400040810010e00140408108200a0210080010251000820020000200011840030804281a14220020024a00005005040044a808042600008000802800908108408002448440500202050000010852d40242002008800440e18100840040108a08010042400500850002008640000010508010058c0010024040024000041010880840210000090000200085060880020201000220081000201080825020051000804a800208300400100c0004014064800060aa00210c50000f02000150000502048052840040002c00810000110902808018808a42400940c00a0240281000001814004a00a010310002010000200840100000d00000400108140310800500202410048240008000d08008102502a00440410040410c4000a240150600118408102008208002a08402c10002100b0a40080010201085040a040202018402218440f4280030a11081204000290204001060020225080034081a242918000202010800200200900740018040508110000018a10000440b00052200000e1880a80060200020800</t>
  </si>
  <si>
    <t>A35637_1936_0812000c0004230a008500608400042840102710410340810802000008448400040840100a00100000018000000c0000020000a808c00440942c4a852508208400440010d00008002110008250000000202210200040000002602018400c08a08400c10b0000a200000110848c02900040448000240250400000002040300510a48c02848140040800200a00502400018210800100240c40000300000100752c02410600210218100010400150902200600010000c40112408002102600110042000008002218010458200410108048000d10040248950200108200608802000410f02a1010011880a610042240908048810208218040a00110042010010010000400012340200000000d42442002010118a02010400808018010000a0244a00200a210400210e08802012840000342200550a1200280000850001840081a000008842500310d00008102200900012300800c02010000008240408808018052500802000a10a0a008c0040814a01081001221a142200002258300648a5040080810054010004080290010820224a000000648040840052200808c00e1801024820045851</t>
  </si>
  <si>
    <t>A35637_1937_854820040050010814280080041200040801030280084020000220834004010010084045010800004250020a002800300900000400000a40400a00800410a10108802d1010011a50000021804000080024020a00004200a41020080a00211001040010000004040211084a000952800258200010012042d1054010821000004064801200081821030024020084004201060a000140c18400400218048200a0285081010200a140000000800502500310140600412810000f02110200000448012000042108100008140800800202850000418042000050002042018018102818842c48200602000500602100100300552308500850400a00002102100b4060801010000821240081000a510a08848448e00100a4200000001a40820020040040044204041880024240a400200808100408918000800200000648510412400040808102348c00448408410000240000008502000840e0204240220004a61090030010200001005820001210001261000010024290280891200a000040800c00600010000018200640810700842000000402a10102200800110000308e4000000000241800</t>
  </si>
  <si>
    <t>A35637_1938_000201204244024024090050000200000201030080001060a402040102002708600008100200000242010002c00500c4080a04a01090885851080000a200e08940000112a0231004a500a4804895000201000a11000001004010810814000021881050230a010310200100400452100100250108102840400a00002000500140400800000a1015200020241881014a100010100000802010a0a002000c00c0000040040034000220800004011084a040040418a00800400900a00442410d10040400e00240008a10152200c40308a4a450100a0000000080000a40a01041800a042a40800118100102010410200208740408c52000040802808340a1040204081204a102200a08d4800000080004a242800000402402340200058808500002010800908400700618402010308110202600202000002100900202000858048400048000408010010a0014260204830a010600010d00042108510508210040810408302058408000a10000202018040810840402110000040208700e00200002c00012110c00510000002008848248110000a1040000094851210021040280204020844010</t>
  </si>
  <si>
    <t>A35637_1939_030040041200230010041080a048400208800100410a02000100048150110000008440000200a00400200102a4001224035a01840870040041010800001051024821204290030021220810841014200005800a21040061240010000a318108052e08400902000200000c40408002008b5205821080000ac10108000042800940a1240040001010a400000e10402000018442a0860240095030080814820004200a802000050502810012008410002a42002108008042802000102212e10040000910800008700008008410900b0820024a20060804010060200a502118058040d00a00000200218312000c02900140202b10242812000040202108c00702050900108802010800550800840200200100000b00202800800110110100200210810108202308000210040000c40240300210e0000214000a20a402310c10a5040260000001220844804801000001025211001820214000200005040011040800080a948000118112400010400010150500910640140048000102200200600100240118100e08c00818442002348110810100002000a4a010240408008608402002a0040201</t>
  </si>
  <si>
    <t>A35637_1940_8808050000408a00548008510c10912040302208008a1a21201080004a110000958002442100a5820800014204810270014030051080025040020010a408c00208000042408240000210242000450c00a10008200500240d10608018048018400a02810040112140300a0805854050a80200021000a218000042010040c0001a040002848802000810100608040440002402e00e0000810200030040800804a400000100908108b00110202c02000840002600000210000d0821a150c0834a458050002200000208208050500e00102002010002802800000210148208c1864a400100002108410840808900602850640400100040412c00048102010410e02400340000002500250008040208200642310410808d4060000870a100908810810100b4044060000040800064200840a000040202d40000812108008802050040400140000810200c1810000a900000010000408c40d00202010200402402000800202000700908002800c4004204830841204010240814044000044040240200810a050010300018000b08300202008202000c0200004000220050080000200880244260</t>
  </si>
  <si>
    <t>A35637_1941_8048c0801044221011800004081a15020804a058500442800910b00010010008812000140902900518c1820000000030000240a21014000210020800210010020081044010a04200011044800a100a00000002008300800102600310500800902000012008058040a00008610842d0034815020020800890284200040030041004044040001800081085040214024081010000045041810000000040a00854221000204085001840810200050284810204010010804a10040a000210200210002000b02000000000948840d0200025000a400040802410500002018010010050900002108100218202040040440100200300d12212810048000010808400408100900240102400802658c1044000000001040201080000a800400700000450010a00200040a18148042112142110612800800440840008a48410018350400410000810000108240c40000402840150300b0084040090805231a000150a0800210000a20090040021801020a018300100802a00050c0000801041040840ac4290004060040040201a04004001a000318008800100140040008800f4841210264800045001</t>
  </si>
  <si>
    <t>A35637_1942_0000a0815030004060801080085040040005840240010224880220005254811081824800000a210010400200c4a800902908040108010a00110c00040000000910208400108800000208412040110808240200d08008612002100840418100840412010600100510800e0000210084014820050820864014230805040800811000a852108a0044280004aa0244070020015a500c0001090030080a000210210008c12202200200408058040002000100442000410610d0004081a008810802002040008202202200100040010140000000008500240d00000100208208008400012500808000810948008010040008608400108040100202308042300008010002008248040c00008058000800240102008418640010c0020201840004284200200014010840021001815004020201851080020245000821241a000200808000700842102000000c1280090004021200004ac00150800000200410500000d0004810800011004040a91000201064201010000a040340200102200a12210d0000210821201800a002112000818148600000012810800050110c10800410050408042248a0</t>
  </si>
  <si>
    <t>A35637_1943_8400200042040a1240a018600200900948a4000000004224080070090021a200208802002402110102908500000c4010221004850000880a100800008008408902002000240a08158a10900000840c48100050c1005040805200001044080831004a900a00002042108310618d00040200002210410408002000000202f00642a18000000000750a0890a802102100a0a010808c00418410240842600110048648000200808012100010800900100000102208800000c00100200018000500000c0260a048208010400610c00002010300008800042010800242010800112008040040200300508400040440002010512a0810020801000085044820890a000000c0000040221881000a140b00100400208158000110102940410210800400500800300042c10802048000008108000b00300010800800202010810608200040902208240000000240d02002010300900400c1081000224a00080824201a80010080000800050040800030221840a40005800200020020010280060024a04004094010010011804000084004064071001a040010608000408b00010a0044010221050080</t>
  </si>
  <si>
    <t>A35637_1944_0b00400c0024881004840004084a842240208458008600018800002040040010800400000008208010000052400142040002118400002c10010208010100800100040110c00102300800208002400948008300a00900e0211004820000000061a042410200148040018200010840100900012800202c1014054004045861001081010084080000880004a200d02600348742110900608900002200218418458000800402000000218400440012802000602410452400c1060804a010000040e4a11024091840090004020a00284004a01870000ac10c0040a008608600a0861805020031040010041001000010000800ae18200c02000f0020000000000aa10050a00102100818c50a18010c0005021800000a418000400250200810242002100108000050a08508610502308a4a01000810025044020a002140018118800d0204a008000610012c50c0080004070060084024800214221a44880000000000000024840220834204080004001015050000804051240004034811005000080040024020000001204004004020071a10094820291000081851020000024010210800811090</t>
  </si>
  <si>
    <t>A35637_1945_0040212100b0a01020060840020084024800801a008118c42100500000008000252200050208802012600c02840002000840248208340a40000500212010400a00000c02808340158408012c0a040840310200200a00208100048800000510b4804294290804010260001841240030804a308a10d02008010a00918010000018240142040a50008108a52012502100318040008100c1280050010050000031a240040208000000200002000940000912008800902810400c40010718410002200c0000014200000044001a80010000011080014084805000800a240818900000100400a08400008100808000040140042710200e00000002140202000858840900400100002000a0040000004090204880020804844080000824ac18048c18100200018000008012000912a0a00015841021240a500908042008c1025201a41080230040841010080080014020a008000812010000240200258100112c50142308842552100008208400008148400200000442900408a10302810002410000000000118010400208402900042000000248000052400102240100000218c5240020000010</t>
  </si>
  <si>
    <t>A35637_1946_8400202100b0a100008000818600100402a10100510d08800100042800012718000240800408808308b08a00a02400400042400400250602052802000058100200000152800000400808212402c10000910002a10b0a80004010210200020021824200064010a00080004824a84204200820081084201080044a15005080820a20280084810000211014065284204225a05001051ac02000a08200000000902400142048040010100840440110042018400208a0880080210095010850080021800064a108402300102610900908900000c1050280844210021a000208508040050402200000000042412540400348100200000008502100100200800008018002100818108000100010402c0090800000844044a10080090a442810e5080040230201a04a50040a000c00b0004004001821044ac02040010050210d02a58540000910400800102e12450802110210008c0021001000200265200020280844000800000841020804281004805201a508242a02000740840300008400012400b0080060020010800841040210020000091860210280080820071044040090000a85000811</t>
  </si>
  <si>
    <t>A35637_1947_8102200002600818040400000408800b00040200a1004005281280080005020004a000540440302108400102c08400302018200100a4a040410002002402a00508640800108200000810802840800a00942058918458000440400002240200908008050042a0000840851044080070a018200110012652c5024a008018110000608800448108400010350012800000002158108408a02102000010000c00b0040040040a04001821840001091040a21040aa10e02808040200208200108050200400000b40140000a08052400400008402218a0000880084020201070080081811010800824280010a850040402210108210202200000f0001010000801041200240030060800041800040000a00850200000000291040000831a108640008040108000000218802a5200020005014081090825200080894004810090a600000a02110202808958008c00300808602200110000052000a0810011001081000014024251250021060814030820040a41040220050080000001080800001084020200a20081890040004040a812050a0001025a102042902400200208c0090030001065060</t>
  </si>
  <si>
    <t>A35637_1948_0810a42000008142010218000a40102a4211020000864880884090a908000510508410010100100702000348610850100200400810d02c00d00600248102408418058840400a1041830060a002410208040702410802202c50540100308c1005044841080020001200010084a95014201a400a00000642000000a0a048300000212540e00050040408810842010a0a140218410100000402408100440a00000018800040040400600200418000100158510000102c4014204200205010000081200204021a048c10000c10810500112312600418600040802940000500042208042700810602e10800040102540040352008b52002040202000000718118800400a00140408010e00042400100840408200050202400542000012510900a50802008000140000042002400040002400b00a10200800e00118712d00b4200800004220204240060004004000010210a400000818800a08040208c08c42a5050040800200a018802818000000148500010c4800894030291005000000801204000881804041011800080004080004030091240010000a81201061054004090004281811010</t>
  </si>
  <si>
    <t>A35637_1949_010000010004a000110000a4080211040aa4200080044a002c1000830040a20004024a012100012200400000250510440000002b08608002010c40140412200c0040010020210a008600908000002c0000000200021020000004a30a002c00208c00142b02000000000000c08000340100100a00600042840408002200118042400c0090001004030800044801040000000010024060014204824001a800518c1040000020000a108842800500340112002008200002c0010080840a008400450112a08200208808a02200000102108002410010800000142040300c10050200910200802140d00340000c00200200610108000c10040200840140800a0201044290aa0000201820a040900448800202410952000000240102100000b0884801040200000240001040080280220001a20800001a000200208100808100008c5220810050050011084000250000041020840820001060080044800085a802940642108000810b4041804080004820201800a61000080000020a008040008042000218002208040400102800242008010000648002a00812112400100c0081200004a20000</t>
  </si>
  <si>
    <t>A35637_1950_0208c10000902a10142100208808412000000010400a0040080000880a25040001080814020091070070850a010850a4015025880841000a410002800100100440202400800b02100400400010002202a00040118000a10800c00900642208100c0840010a000052208100e0251290800a050110a1800010200a100200510900402c02202202000c10800a40440c4880200a010018202040700018008908512202100040310400400512808800048200108200048400002c4200071000024885000010200004841890200000284020220a00000a21001090200840201084024a84020800000060861001894040a100008110108202412200818000100200608c40b08800040808702e00110400800000900f08800902048018250410010210440440200108100c4844a002008100010418402a00900100202040c0081001000030000240801005040045064a800110100110200400a4200801000095240084220811800001801000a002402200402210200c48c4000804000800010844015220220030050081084800004001821000074241001080225a00820000241890094000260a00</t>
  </si>
  <si>
    <t>A35637_1951_0440018012208248700100110000400800a08650018410640102008012042308b1044001004001044220061a442400c00a08108010008812042002900410010008610800442a10112c08148000052900200008200400800000602212408800b42212840000208110708c08402850c4800211050804080000260000a440118002800000008042140b1030000000084800000000015800204000010200251000084801040801020020020880a00050211000201041040814014214840801050000800000000a51080890804094004025035200080000804010031001200861020040090004201a00064041080050020041810080a002000400000210200a4020841040014a200000a40042040000000208700500002010800110040800152002c50048110010a10402800000000b00200008200c00142402a00548f00012240110a08200000410000000c00b0014830a00040004800044a340000808002842800800800242108148000902440100400318152c12010008002410408100642040008952208400352000500602b00400400040c1200214280a010000e0880084084204021000</t>
  </si>
  <si>
    <t>A35637_1952_0412802500040910200208b0a048000008010002000040008000d02000018c0084021044004294050000080a20810074001811220884021000080000000801004800040054a00261030810064080200880040001025201015090a80810850004004044004a140002800a12840c02440240600218000412840440108400200442210800a0001011010000080801080ab0021010080a000142040000008608308040100108202000800008002100640a00142118548008110740040002608050048502840a4004a100810810000200800002200000640000500000100100600440100100a50300000210c0810200211230010820084810040000025800074001050040010220a710000602402842040400800b08a10800a48242140c0810000291234090210a00051000000264280211021020884244000000845010005201001090281810020030824001214a00a04a800300e40500c02002042c18008010000e00018010000948200500208000440100240000000502108042408010000012402042100508000248042808a08140400408a00802e40008012808850602402200800450b0</t>
  </si>
  <si>
    <t>A35637_1953_020000251000820a00070014240085000020060811001004a01010004a44a000c00a4050020000060a80801000800210200a05800805a04a100840002000c08610400840208158002010018252002000200100308140840840300040042000c4220041200884014880810a410000100058140210100208012202310040700140048800908800500600200240012000250108110800418102500210448c1001a840000040002750c00042a08c4060030030a808200010040400800050000200008800400112418910040808100108052400810800002110100048042200e1084000284a95000020080040a01000a00200810014040001210205860291025240a850008048118600600408d0200805044001870ac10440000910000000340010042448110040108400c0800094000020010805800a000802a00000a18900408010b40018700400900800000c00300008008258000442840918040208a08800c00000a50640008312c0015270a800008f00210000c1024000800000090024054010280040000044020201010030030020081024244080000001000001220014064020820030</t>
  </si>
  <si>
    <t>A35637_1954_000844a850100b02000208000a18000102002002a00058010800040000000210a1200000050a10a040900a10802102000100002108150c5a002802200400218118050002200040000210410000002000848012400052408c00c40018040708140008140000310500c10242000040e0205010200884001804210804000200000000a110600010300110d0a44001220000215001000084a140808000040000410a0000210001240a008908018040e00148608000142c4804060800840001021000800244a05001000041084001040200220040825000095000a000100000052400000402110000008248612012c00040110210b0801a012602240100100408250410240a00400a00a00210000240908000408210800000100142452118212008440802848200810002000440600300102000100400802c4011000881024800015204090244040040004200004234a012000810010000002800008010400200442100910200d08300052000008010100c0844025200090000004a900940800410442118402c0005864281220281201201060040ac00000158000608250c02000000a5050240</t>
  </si>
  <si>
    <t>A35637_1955_001220014064a202400010448010002200208100600842000810408008448000212000050800210048000008410440140850008010800c00102000a0a01851050000240204810001ab10102608010a42810450c18400c00940008012250010808800010200048500208800812000100900050400100018400000052240c10318012802002810008200202250510008142008c08140000810a42108202018612008000008900212500802402010d0080024a20001821290020814010830001044011200285050240084000a40290a00001a708810042000008200300800a4ac0200210031050030081a40004004020050000000a452842800b1061040040280000000001204a80800000084000004030a208a00010450042000100b0090284290200004020020005821041080030a50080831040001054010040290050020800000280000200005004000010004030041830244200250000800a100e10010000802140140010100a40140042302000200c0081a000648208002108602418d40b48800000e0880020090040885000a51880200091010200040a30004801000004830821020</t>
  </si>
  <si>
    <t>A35637_1956_084221010240080a100010210400010840908042100008848100100100040400300c42040040a00418900118040040f08a02100018448008c1080000a210000510012112040048218c00b00c00150040040002000a08400802400010018900b0805880200084824200090a840400400000648800000010000a08800300000658202410300808400100440000c0080080840a210058248802140242418410208218002500118202000140042502e00002400000c02240050a00202010000800600800100000258e00040202110808042410610002408000c4224800a910010000400d4800001810805285805080a01010050050804884014084a000500c0000094020200044010004a800400542000048000802a48002300040308010210010c10342012048900a02012c0240200864010000021a000d0200011281081005051080004010850020a00084050801200a908042400d1044000040821004a81000000810800241000000801080830040a200c1001000200a110740008000c4281004005044021011281810260a802248808410e02040540a00440000118200400200058510c0</t>
  </si>
  <si>
    <t>A35637_1957_004041080080000200ac0080060001240201201031000080000214000000a008100040402300000012110b0004810000a010212a08540a4a000200118240200f0081a110000810000400050410802008218040100300a40c42808110600210012202810140802608c0001a00080260204230a008842002000240808110100040050000142102302200040010900c00058618400008400900f08802012808448242100802048400000540040010000842410418518c02110108010000408812618010208052048200208000042000b02050c10002c02000100108600400012a0011220214031000070200054000800004201880045001040a200018a00800258000002808002808510a00002800940402008240408040242810200000310000d1004a30020211021800204000080004820000241201230001245a300c08200100c48010018000000402000040002408008042a48442408000150100300202440002000352c0080200001080015201050050205884204000000040040a410800c4000205200824000854080280064240000004a802800a4000a20040201044240821004800</t>
  </si>
  <si>
    <t>A35637_1958_0040600410008012012610700040802048902452810002040540c00810048600012200040040108248908112400810000040200110042000440040000000810148202810002040140c00808812000a00108600010302410002300940242a08010c00100a48240218310208000010f0010000040080024805040085a008400008600040702010042008002002912a02200000c0824000014060220844801081040040020aa0010001864000804004a00010a910000810002000042210400c40c00812c00b42442000010c00400a00000000508800800c02800000200200300008010000200402818b0201200000091004080000a24010090000821a01040a25a540402212400208400018840e00310508808810612140800018240810000440840d00900400008802a0010050281000240004080041020814a250208410e40500640002200808440808d40000200218100412012002200350000100002a0881024220a140400e00a1040020824800a400502410150400812018d0800080200000010030040085201090094020a100200002440c40d08a02008108248000800642800002f0</t>
  </si>
  <si>
    <t>A35637_1959_0140400100208808018008800210100808002400210600048100942010042010c00400810602058008510202010c52402308140c00202200002940108408408312408000340010600800718240c10248040208000142810140702b4010a41004a04041084a002110208000818100000800200608048000002448040000100000a0a110a4200844001824000a902848800050018040810010202248302410240408c02048800050e00302200000408802358210208042400042800318900940018440042100440400012c10510008358040000c0064200200000060811000000a80260020024011885060000054800261030081880011004205000241860044004080011000050030004200040200840021804084080030200001200040a000c00408810402210248e4044080200a100200650842c02c00000018400c00000550508148042000242612040842000008d00340418850a0204040061040a000500400000102300b1205000294801031270800024a140042000018010410040500602a00000a00102218450142100010500312400040402900050a18648a4200014010244880</t>
  </si>
  <si>
    <t>A35637_1960_0402050100200048010000c00a0211010880205880825021040004891001810820824001014000000010090020040010004010a80080060004010804a112c00910400902100a0200a500a00440842000010442a0001001000010020050020011281044000224a60281000040881080010240840001081001200001a018418100e02040a0024200281001a602002008a02010310802a42010400800008810450c02c12000840210008402018050940008402a0000000804004820024200045a810110200050100d08210002400740808108100008050002208040500408200a40150400300000f0850004040044001250001085200805090a102148108240402550500802000d10400400002340240442308808802810e0000800800880864001000291220201044020081220004825060090001291000a048700210a0240801004824011890040a450440000a0a04041830a84000200011200080874000094204a110308500200600510000148240008008010150d00000310408f40448002208810100010002000100000802402a1020024010080080010000080800010020821a41010</t>
  </si>
  <si>
    <t>A35637_1961_0100808440608808002000910640000048002000d10400000000400318650000040002400300100008000e5004804204a01020211001281a400100008042100608400010d0000000060800861a04080a008010218458012810540008000808710200410900100400000200000000840900408100110000402000008440008040812440002842000400108e40000142008110410202800d10800210610000308810442808252600c00d0020045020a008200200202002102000a00012818802c4804260880a502210402000912000a40142a00802840000640840542200c0004a000802308000010308408500208000108d00b00202000500012040000008e40440802240542800008c40d02802212548000108200802802000240000a4201890000094a008b00608208d00500010410400140810002e00040302500002202000000808140208802440012048050200c0041884201200231004000804040804010000010041811200804050004841aa00002400402908002402008040412100b0290a05800005084200000200a102810210000140c0820810220040024201294290000200</t>
  </si>
  <si>
    <t>A35637_1962_0640010800048010608a08c08440900800340700310100818000140148210200600a48c1010234001240041004a80000884010800091ac1004000205000270000284000050a000200c0001000810264010851020870025040080221051011020000800024080200aa08450440140500250000110040c52050e08200008210442840010d00108212808a00410410440000010800008000152840940200600e18410002c0230800a00001004000234a850402110900a18840508100042600408010052f00800450200002018000202000208910002000410a0005831201081220801000804041040000805000024000204a90050001010080880210201080240014240804841020034060200200004025011004001a812402950000810048208002400040108600910408c40100340100808642802040800912200908410a0284240020820240824000001040a802210100400008500848000002a00042002150100800608e0084005080054000a310800018218010008810012308050200c02240050040108402052800e00048200000018400842402058040200110a0010000a35200880</t>
  </si>
  <si>
    <t>A35637_1963_0208800c00c4031a15000040080200004201800050840001a000000810200510c1000211214021020a200840000042008a02608110400000000808a4844220840a002542c00010400208810200d0200024020001010084095040080840aa0000060080220010811221070201080230881224021830284a05004010024000020000a000840202400100140e08410000248100100600212410000010700008602a5a15014280850080000244040024010024200804a052000400810240000c40640000102900212100d0a802410800940400208240208440400910140400210810142908002008400000e4a002e4221001880834a202000a00040158100210000540440042048218000408012408b02010d10b02000902c00002210a00142a1080280814010020824841815094200a102610000e40042000008000200102048940000140408008008a58040100200102800000a08900040010100008548008842400008240808200240102402018048008410010800808048000310012010c00802240200308108a00100c4080a002300010e10102848808108200a4045a01214210044080</t>
  </si>
  <si>
    <t>A35637_1964_0e50400010b0010000060840a412042100110202400208002000000008040f0021a000000a02200442c00000c1040000010800010094804ad40040110600000002610010c00212200800018010400042200210110140050800400a18450010002c00102908840400000002440552302950242700d10002d10a00a4800851000084000240a85020a01005800080274024050280010820080020014274081010844004240020a100b0824080081004021200080020000a11004804a01a01080021a80044095201240000844880200a24005280010801011044020024800050820a102000140040808c0000091010200a00a210002842040e00000000908900210400640a5801800050024004000891035220040081a05080000031880030a040d00008310050100000802100508a4010841841801a00000a14000a71000ac00100c0000215041001280090070020240280080004800050085021041820000004010800a410000108008800808b4004a100002200000002040002010012008042740100000400410202402000a1a010900848a0011080000001000010200ac0090020024860</t>
  </si>
  <si>
    <t>A35637_1965_8e0000091204024240080000aa08002100818140908518012000000340102018250a40000800102442000000a0080004200a400618150010102400108048900048408040048218440400200418400002b10108200212000512002808000608c00208410c0000821a41880240050000a20000830884a20800080805030a010002812040100040540d0804040280234800000220800800205064891a400100058400110b0801040a110048400450602248208800110050000602a0040020080a400002048340210008048e02840000b08200000458802800000340550008000000150200018010408a1a400442c08010118110100058900808a0031051810a010800100802300a00042000440802000100400100442000948002200400002c50502200808100908902802010040900452000a0260800064000870000010a00204094000800840051a20000024a11200280004000ac40040018240118208000000900200402a1030ae02042808a4255a01004260000270800020020800000200200a840550010108400840100150450000e08018040108208000808802a10c1000020815000</t>
  </si>
  <si>
    <t>A35637_1966_0708408000400350008408140000902900202208a0041000054040824240840001080201040021210a200840640100100800102808208800800600a10400400008c12500000940002a1024001000010204800000801040a44200080a24810090080080220884030060830200204000a14041a800a00208042f0a108210000040008110100808700a00400840010200212202008602418000800000140c00c00008040000240202210040050110000012208400048000000600140540100318e02000f40112000a1010080a00280200044a100248002000000200308310142040c10042012002700002c00102400258010010400408802c40010400800a50802840448240552008310410050a48308100900818008010100902402800208840040342240540c10008000010a08000210008802800010040142110c00140040c0000024a61000081a40291000210020280010004800254a158018010018000c00102a08352400200200d02202010000000840842400042200010810b4200214050200a10090025041800054004051a20004061214224800801081091004040020004210200</t>
  </si>
  <si>
    <t>A35637_1967_8010002002100800040800000002050308108048408008018912002a1000000025004001234090044040020a410000808212242808118250000600000100008958240400208202048100502202400808050210a00802250012808010200100d4a200010108200200810000200c10a00208002000440602040208010010308610208102048000042108610052002208000142c1080084801000204a000100000a00100402302400600002408800340000010500800a00012a0210201a118240400c00600b08148010a5001200200021030050070880091200884820a300c00810400a00200100000d0840000010814a200000000600840202240048500102040c0020001024240801a008810400212108000402010002240b0020261000041204044200a350d0841224004040201011a000a02608000440002008900052002100c00810002418000810042e0000840a908140200800000202500100048c42450500058010b18200402100a02048200208200010010c0a300508000a4a20204044a10001080000a41084080001a512e1820001050014020004800800280285200000000200</t>
  </si>
  <si>
    <t>A35637_1968_884021800070000a200508050000410000a10000600000040010800240200108118040c1054090a40880004080010014084805090880820014210004021a110a0a400010900100248500102250000408208400910400200540400a10200600200e02002800108058400410000410040258350400000210d40000812000b08012052912d0200000a000802410000c40000218a0040080280210000000aa00002458040000012102000200802542100a08402110010c00842500b1044020020201280060800004211040000010090a908152400142c10012002308608e00400812100048018300100612e08c0000220834a00805244240200aa02210a00e08818000040a00000c00018000102c4800030820020020041040880a010b10c48a0880030084060a20061040090010001044001004044085000010204010041000844260a100018000442602052302008440200140002840840100240010b10c00900a4204a040b0800205000200201200051004240a800300200440008150240810840a08442000402808100440100002808340400100200010010100840c5040020090810201</t>
  </si>
  <si>
    <t>A35637_1969_8012a50000142000408a0060824050280081a200010018250000100218000000440812d4080800800210800000290000085211000800800005000094200821810284890080884820841084a252800440a00548100010008450002000300200540c42000300012002218412810842708000640110050018010402200540100208808040202142000810000018000000310018200100200140448100018400200402010108112258410258050140548840108000340240810100a00050000408000d0234810204a210b1084240080000850040840044281204005041250084000080050021054a200040a00442202108500410110000102200008300c0010840080080210065080080880000004000a21250044020090040235801001001000011204011241a800000c4a010808200658210450a52000500208000100910202040c02800500000010600410040100018000a10840410202948140118200040442000210112110b1000080254000074a20810a208d12200200140d00008000400640218700008c40400000b0a01000001824024801084024240aa00002010802040200008c1</t>
  </si>
  <si>
    <t>A35637_1970_0800010912000a40100010a52052000000000600510710042140840800402200b4a410400a0024000a20081a202c4044800011000090221080060220a018408640208400002a0854000090880a01200811020840044080094000010a010100000010140000202100100040412102008250000510408242100840b40450200912200002b40008600400100200500802000408108052c40142008800040d08100608040500102040a0040ac10500002008442400148408c10840000208000042000410402100508c10900000000002850148b10248200010d0200000a408508c4081010800831001010201000040000824820025804800080a14060001021824a10000a100002000802840910002040000008a58010450108010002500908c48c00740010240210400000002a0210204810830081041240004a040010000a0001080000230800821025a000448100110700000848010048208100d00400802002c40140012a0800800851004a108542b0860040ac00208000400000940050140308800400210008800010600100118c0080a05000054000020080040000054220281015890</t>
  </si>
  <si>
    <t>A35637_1971_0108802040c0a012002900210202000508a00042908602640c50108000410600100600052a0284a200410c12400000800000140100d0001811000a002200300800800c1080015800000065005a150800800400810300600000540218500800502400000000a0000040820000004030090004890010080010004034210ac08350010450842202218800202018900102102210d00440808000202200450a18110000010000840200308410e00000602040340d0811040040000aa08040600a40810900900050002c00018c0004014a110058100a12040002002040110000412402800000100408200e48000812e08040510010a1080805010a100040208850048102800002412400442000800002050000008902e02802008a08400008040800042042100110300008002140a08a0a24a600b1800054200081810261030044200000a002048800100a4080084810005881060200081290011030090011200040004014a500008100e02c1030095000030800a452100040842208108002440040000242012318052010c0204004001200041800050200085040240004004801000830020830</t>
  </si>
  <si>
    <t>A35637_1972_0348002040200a4800200001041204070000a00071020200804040a00010000800024801020001030030880a01a45004010021a800040c00810400300000e0800821245200a200010410a00200042048050342400802402000d00102200208602618040c08800142008018200140940010008000202048040c0080000291800a800040502008400200408648840340248040a08602010002c02a00210408302000100048008000008a00812810202240050008800000c00902000400a00a08000010a40218210800d00040900240240500010100800440300002202000450000802800240410500000c48000002300442d00150002c4200010200ae00002240802000042618000142000c4044211801000800884000204a30a00a808102002c00400842350600452008840108050010308440458000040048210108000240000408100050000458402400d00018110400e58200d00b4204040210820800091040034004880000800a842642a50108900e10a00040600800102c00010240452500002408e08300240050000000350000000408500600000010100010400c0050084240800</t>
  </si>
  <si>
    <t>A35637_1973_0840652010c00008110300148000100208900008000c00240000e4200200040040084000010a90a410100942412812e00058440b0011820800220000841040021804000004084a242a00210c40010042a0005810041a010110c4020a312800000810540802110302200600408010140850608c18a02800040a42810208000110e10400f00200000908040802500208850052008818042850040818212018400402c12000008540000148452000102040100a00d00400000200000108400212e40000000108610100608050050208208108008400810940900242048800040048000000200400300400042000102240400000002400110440048148000200858002648908040110118600142840112002000800042002808a4034020001a048402008852000800800800400600100000000200808412102802708000c5080884004831004ac00000000100200908240400e02000010400a0230010880281800080a800540808800040110248000018200418240050a0010a000800340448c00340100200010110840000e0281024200804001880224a20210800010085004040020040000</t>
  </si>
  <si>
    <t>A35637_1974_0552802002c4001001890061000001020020861890000040090050290200a01020a61244040015041a000200c10800108a4020081011220091004084834a808248040000140012110b10440240040108102410208c00042502900208100c00052200c00002100040c10012c4000204200a44a010358410800402810400000400052d10200008600100402800410000000008c0800060a010840002000900002440000542252010d00008012010500000110208a1285800000a000002f00910208402208042200600802840010000000200c0081044004004a04840001080a200400002a00510008400210100840b1800010014800004280000001801030001080090204000a200010002910000000300418a00a00910502802142c10902402500000840100210c0044004004a91824000014040a000002050440500e08010d10008200200000808a50c4004814040a010508800100000002140a0001064240020290260000080080890000014850a400200410900008b4001250000004245084880020810020844a00030200041a108848650412000202002100c0000000200204a34021</t>
  </si>
  <si>
    <t>A35637_1975_865000a402040800000108d02000010400000408000302202842000300400400c02800000100340540a0810800200070000000860000a00014064220060200005281010004280011801804225041000201020a00820001891200004010210084885040044020a240a1034800040040814001221060060004000a80805a208708000002102000008a10a40c0000020a800108900902840540d02840408400400002c02800010450108048800140008000000d0891041810064001020031004005080004a040010500c0080a010300208048800842000510040a0031021000840000080000011050800060081004080a240610648c52c0030880010201080ac0045020a00011000011a840802d0095030081051041000000220014010050000801200021804050021260881004a050040200c58018052008010400210c02040840700040040d00840410800308000200200008202400100042502200858a4a440100b10608018058418012000800008100000000400700202400d00408200840a00110050010210002800402000640400010800500c4a140000d0800001a00040810205011</t>
  </si>
  <si>
    <t>A35637_1976_004045040284001051010000200080004a008008000000e52010800a48002100402e0800020810830031010844201080804205200020800014000014810220881224841220091840200020225014060000031280815a000802b40910000100508040002c4814005a008042200450c08a0204000045040201044000000000000204200240a002048608000400400d00b4a252100418600042e00110640a0800004004084a148400600900008800000308308700040802042300050402900608208440400000140a0001000a400340010608a0850204081040a000300008342a1800080a30200230004020014080091011090050880000210001061800801a600410008048208810d02800000240000440010600a42410002000652100e08010050308000042008208850042340802100510810248402040a58500208048002000040200600c0084820a140240100140110000000400002340208800600408002000810702400140000100a0a008000210108850800c48200408a1051040000240a010400010148000012840840008510010040000408a00400608a00c4000010804240290</t>
  </si>
  <si>
    <t>A35637_1977_010200000220025024aa0030a040012342018010400a08058402400110100000400800800940850308008e12200500542000100408c00258000600a10600018800200500200840052010010000402308800002300640002442102850000100050800550600800200010110202040000812110600000600002208040008208200a50000402010408800d1081841084805020090800020800000810231011020a21204210810000010030040011000884074260084044010050004a658b00502802150402812000400308248002202010018400108450c12400000000f10310842042400a00500800710c50402b08800200000010642c12242900018800900200800640008418418000a0a840842108300e10002410002540100602c0080800000204801a402000900800d00208142008810048010000602000152400600600100002942012008100000910200940008200002058400200008442d10012800102402a08248c00410c10942402100008300c50200040e00210108010310400040500110142718002002100842800408010600058052000a02242c10c0800000280800021020</t>
  </si>
  <si>
    <t>A35637_1978_0352808142a4080011000020004041220005240010885840800240211040ad1884840041064280254a410410000c42400a10502200610440440040118000800a0a008840408118252008200200d00042348018b10040440102002002218218000400050c00000302500110a00802008b02400000102400050008040000500b08402010140000010100552400900b0084044000881084a40004004004280001a00004080001040801805021204054200810060044020a450242018000c10640600c00008118010400a48008400440302002208248008142808002002110100600c02a0000801010031080a502202008100010500800010008000218600000000842802058240a1090020800000204000810001040000010000860280010804015240020840040004805801000005021200001040045030230235011080a008142840000408000200050010040000500408000002000b48802042010058008002600042000810850a02100000210042700040448900100950248800052008c1204014800080080241880204020a640200508400410442000200c00840202512a00002202c0</t>
  </si>
  <si>
    <t>A35637_1979_8c00c10900200010000000608002950108a1011a108000018000e02040400218100042002500140612010b4061000014a110050100050000540202902200500518042840900a0000000080a812000602a00452300308000800302902000218000040c02440202248008540000142000042100400840a02400b40000018800218448102000840312b00002010042200010042000842452110540a0010800000a418000c02908200c00000800400840812000208100400c5000a108308410908a58010002002040000118200102040002458008642e12c02500810000708250040800800010258800d12000010040142018d00c4061044200090011210040a200000100000110200040e10100808040400118212000150240000302808010048010a0821240030044280a010c00048402410108842812140808110010c00408040b40848100408008040100e0200844020011000000004001a002000650812940002802000008042208d4000000201001000020000044a00a54081880a01040010080214800040281001000a000100e00418808800900018052508702840802600a4020000</t>
  </si>
  <si>
    <t>A35637_1980_005a010010642040100510e00250400b02108440000440008812802a02718800802240040848250600010010602540240010000518200400042108000018208d08440050000040050310010202000240100240b00340450012400000600b0094800284080811040a410258808400000140000c00800808c4000000844001081265010250000220021010a458842500810308e0020a05005000200004050014001201014004800000884860001004a242602000942802112400008008d0811004040060000841a008600200100902000000118208040d10902152240708510048000c00010408a10100208400102810000300000408040840250452000640802c00a02108410600108050c00200200400110c1200880084800000840041a410040002000010b0000020210000024010280091000041024800004010080a00210200081024001804020000210a21005021015004084210021010a108848a4004024000a042700c0201040240a902050000040a02900940800540400012808000000050508800f02808100202002300500a00052010500840000a0060000005210001040a01</t>
  </si>
  <si>
    <t>A35637_1981_8440002000048a02612810848800050202850210000000040812a00048050000842408900808000408a00008e1a802008002040b1090021050090020005240040a04a000a40800158a0091000a900240242100c1024060245000a008012800800008800000100018a08000e08140008a02610a00008c1040074894220a000c0a440000802900600610808002000008040400400110002040b00218400400248408410102202110410310818002540202018410540002002e00000118208608200940402040240110050400c0070280031a010e00000c00002a1260821060840a80204a800142100048c10c1090004000a00011004a440900902110818c0020805200831024800800244a012102800100000242000000040a00440500c08018040000252002e0811a010400a0001a140908102000000002310008400100c10800e08810000b1020004080000a00200251804084001084004001a210002040000000308040000100800400c4090005050084000801204000864a300002010c02102a0014081801200000200810200a310108400000148952502010440800000340000218c0</t>
  </si>
  <si>
    <t>A35637_1982_0512000442202348008018010408150d08248250100218008410c02800610c08000040100400012408200012000100700202200008002000010002842010c10710c02102000250400608b48802502408800002210140210c40000040048f00018200102040a48300208002408812500810000200648800140200200500408c40408040200a0a148210018040502402902302400340240010240200518100042810002a0010060010830864004084a110010010c1040000090a810202000408840140002000308110202008402002b10010300e02000140d40002318000318800010000110040900400842800a4a148242c1081041a900640000008400218002910508102000c0060800810084a04070a018000040100200000600208b50400402002102502908110002400148002008210240818942900000000008052040002002a42000210400008040000102140210550642d00000800618000800218c1004801200ac00210000840c0004820000001a44085000091201011030805880020004a002800100402010808900402a00240210000500002000310048242940140a0801840</t>
  </si>
  <si>
    <t>A35637_1983_891004854000024024010014081a800500000002110600000940502808448808000000000200000518000a02040410e48140008400040802400a00842000010840410810940002202210000812842402000102900500000412200a0841290060841844200005044020014004a15020800004000040a052110000140348800010840050300010010000608040442302900602008102200000000018058c00240000402000308000910400000000e00212002000800242d40908000102110c40000100048842008408040a10012c0034014210005860040000a008202008640e42102042200000410612400900200110102810a0a01800240235200a10000844040030810021841800224a142c40108500400400018c10002012010018200a0004000800220080001004804094030010001010ae00140a0284a700700500a40802500802100000242c0001200a85a20000884084810010a21804800010041280020a000008100b40450c40100a0840001001ae0800040884050261011001810040001210820080080844080020201050044021084080204000040041820855044035000891</t>
  </si>
  <si>
    <t>A35637_1984_8848008102902208010200008010c00208340400000a1064241280a818510600000242040840848240108200418500802010048018208e00010500802000000800e0804020a210100600202818802300100200808002800900008308342400200008910042350012810058602400002202000d08c0084a800800058000008002000900e00100112010010050012d00018400a00408c40440002040402110500450102300010442318042202802540910008100c00210000000140600e0014804801200020220080020001004200020040800080081a110940008102910002450510008002400800108440900240802310308c12252400140000400a00050a02042402042000610800000012142800612400142410812008000200200200a40400102250008000600c00000600818518410112440000500002010908f40018000a4a140040c00000000510402808218e1001000080080825000a900b0280000004880220080081a200800200000600318800808040b48900012300050008000000100450400c0a010002a0001040061020260004000a202108010008010d0234881040081</t>
  </si>
  <si>
    <t>A35637_1985_000060040200090854000800080204080821811240811220a11040011010000800021800204294001091824a65094050801810000001a812000008100402208912202002140110640c18010008c00200b0040050021881200040aa10402210042a50050008048108410910840440a00100008808418400440c02000150100a02842000408008210d00340012c00002810018100c0200200010a800000100200e02110500040302008100a4050240014240890850aa4005200210240010054800084280820844060841800200280ab00240400210c08440108248002010a00800042408050342418048210500002b0030030084000010004011251040001000054060081820a008800600012008812002008000250902a40808408018002442410308002010200c00200110500910140110300002c00a00142640600440048410c0880804a00031000040000004001ac0010000000024a20230020020065085230000a408a08440002040000212340010402608010708208212008808002802900102408800a00218102742a00458c00050800412000002212118058e48000f0805011001</t>
  </si>
  <si>
    <t>A35637_1986_044044000200021060200000a808040b0881000200080084000064000a000e00100818900448a42010a0004a00085210010004090020000090000204240210010280204000880004a81040201895000000021050080044000014a00850201004224001020004050a008c0860000060a01800090010000001280a818400208008800442502108440900800e5000000000051220080040040240a102252000000642910000300008500a0021040000020045811000041001044a000058208a40018100148112100a00400800000008008202300442840100140140002000c40400150300000402a18018002452b02910210000812018000802a40508000002402400242800408100400610800040040048a00700800110100008500200a1800080040a01a010800000412000c40a42240910240202840400810000c00642e10810100008012708458010010100842000108408802542300052100c08118800900b40000210710008010100f0294070080085200200004231a000600c08018002642200500408250e00500e40b10058000440000900040308150908210410040c00a0200800</t>
  </si>
  <si>
    <t>A35637_1987_8200040000108000102510042458100e4221a200800100c00000908940240a00c02600000440008202408c1084a14000201a600210012000800000040048510210c4004030001010090020a21000054224060800041004815000081220800010a00015284804015200081080080090a100202208410408800d0a340008918002252040d00218400000900200000340000118300800408402400840100810b40c4045004030000011081000a042c00000008608a0240a41214820a140010212010102408110000800402440800040900400808000800010000140052c0800000044034034810aa10042640102100342600408000e10050108208212a18550802002808200100900c0081000220a01040041000860200030011000a00005204a40020a208008510008802c1000084001000000020080290014000a400340410402300000210300912848140208200002900012c00840648a00248a00412208140002a40002400840008010440040102218002400102808a08010810152c1250004011801280020880a80014835a010200100810d52000000000218918042800308842000a0</t>
  </si>
  <si>
    <t>A35637_1988_010200000000284a00021000a00210080021004000080020800004a000442100f40210000200248040108200012902000800700010900058812900200412210000240410d00308000810900812402200850000000210440100b0201000a000810c0ac00400900648300018802002302202052b00a0200010200004000041050220a040e0200010010030000210004a110148418142a0000000020801a400a00000c1200204021000040004885010805234001040061081000080034011800245010004a04204040001040855004880860261814001250000010800080804a400042240840448100110808800842100000410418800500442800040a00940010000608248010118152200410008100008010400002100408900300408400410840800808740900800010802d08100042908002210440802108250c00608642110008900008200a00412940100050008400a02400040600008448800908040840f00100308a0021000884090090060000834a24201004200a258c00400810000048110042108612010142800a42302400842042000002848000008910240c1000030015000</t>
  </si>
  <si>
    <t>A35637_1989_8e0820000250280a40250010800040200a21001840071004201080090040000800800a01040004a002000400000040a0004240a80021000054040200050810001a040942242000700400650008000300040110808002248010008000018c18200002900640200040200112a12102800048000008402c0a41020a80801031015000010080081a41870030084005250034800a200008602800000100048400000810400a00218350208108408812240010000000140802102a08102100118850818000400a08318908010000812502200010000100200102048800342500010800d10100008400b1804805000230080815000081840214000821a00240080a000042800040140000000c1a000240002510600300210d00002240202200448c0081044001041090804884205020020840011810200a810508810100908c4a050040002012200b08000650100400240012400040002900c00008100210610408110300902102810a40000410a08300202200000040100002a0840a010a1080240000081200200010804040070010224200001200ac02600008010d0080200a51240a14800001</t>
  </si>
  <si>
    <t>A35637_1990_0010200400c02000310100048218050840900012200108000840648210002610110800002b00b00340010442042400300048010600008200800800b1240041040240804080010040210005000005250080001821020000000210010810a808010050102202808110100100808000c40140140c00502810000042b1210091060804805210885020a210140018040508000000800852400d10800140150200a0080a102140852100618200c42012800000202418c0204a50020000800231080200044030081800080020041040060801a100000200000450000808410808450a02140048000018010550a00850008248202010850608012008002018108100840802400a00000108108202900108002000000148010040c4204061050075000080214204040060871280014020030840aa00140050000440202408210400850100402202008c00158040452200812000000608010812042108502010900402d4094000a002608440010440000310108110400840110202000552418800200800100008010a10810202402800800750908108400010802948000010200008010000008300a0</t>
  </si>
  <si>
    <t>A35637_1991_0a4280281004ab02400000800050100400b00040200042400142402112040100010010400a00000448008842a0a50064001001040041004001250010230000800000010220000041ac10040002002208a4a100808900200500300040452508400c0884000015001a600302000912608240240018800408c40400212412810408000000a0205810080020080255000020024040090204a800000002308118510400010600210348b1064000040040204040020040aa00140802050410408100440c12600808218100200000040108808000810000800000008118000208c48000010308810000000350842042102042148210010000002000008400000102200910c00a0a410300850200002e00048042100410a1840000200814220821004010004000020021004240a80284000064070005200001004000024800890884001094211a700000900000440a02910058010000840112208a1000800000844080210000a000800900e4084040204a200400102248450402018000200912250d0000a008350010302010c4004020031800024240240000001010a80040201811230220000041</t>
  </si>
  <si>
    <t>A35637_1992_040000201254084250090020000801020281200230801004800000820a600410010818052a00108200810140410412402100000010012608002a48000612210100000d0290000844080814020244000021a10a00840000810004805001a008c42210100c4a002510e00042018002000800600410d12c02802000140140900008c00100140110042c10410842810000002200410e4080800090ab40140008800a40000300840412300812008800902248200218010200410002a08408c0081024040000010a400010040802440940810152808a4021005200000070001884804010074a04220a30804004200064020250011010880804000080a410000a08202400002100602000008802002000310202100900812000000940100600000840000000000012c0044a410000802202240100810008110400018010410b10600440348a0000040080a04040004020020050844841010230280200a00040080000230820840011840060210054000020011810020a012000800018010002c4001000814010860004080081040234810230000000014020a240502600108418010200a0024800</t>
  </si>
  <si>
    <t>A35637_1993_0548010150000042218008042010000608008048200c0a010c00540102008018c4860800020804a100800008052802208200640b00040010102c40848112100708a0015010221804020880ac40402a08010340408002018800042150040400000858502042110500210700002012500010700100048858410002200202c0041201a000540948042000008000840008900000008a0a602000040040340b00042000800e4084050a200a1844005220a018100000240a42140908118250000000840800600200048000102002042602002048300000808002b0080820841840021801000010a10090004081004000000075000084081884010000004240020060045084081020081800080010214820820021040ac1010084880000090000204210010284004021090000811080280a40220880005050010205800810021204205200801a410810000a0004024080840280010000014040080a500200640000000640000110100510000110048908000800800202040900000400000608812040302200152308500800112100a0004090001005001210004004030841000204284830000010</t>
  </si>
  <si>
    <t>A35637_1994_024ac0001030800000a71014820041064014200201011200084214011801a410042402100502a1240040000081a902400002042010200c1004080a000002508250400942008010110400100000810800008048800842802100500108012010912810012608000100100408040142002800010210a08040540200800442710902400800302242518010800c00040942940008810008248800800012100400402240c00200152740400300c02800002300212008010240000042042402008500010810f0a04004051045020080040090014a208140000410802000200b0810080a840000048240000c00408010c0820060ab08002212410200200150e00808600942200212040400618818842540800140e00a4280a41000000220801094200a11064020810000000040015014001000010890aa50150008008610200418252400348948408b18002212400000018440000150802800108910012110742850110002810748100800040002002202008700c18800842c00040050000100648040200308650200f02002000048102240018910008940808040140d0005000810080880220840</t>
  </si>
  <si>
    <t>A35637_1995_0000050002000802000418110000900d40000210008248010000100000040a0810040840234000004210050840040060a008300400040040c00142148048000700650000e40150508800108000d5000200025000010201ac50c00240600d08410012c1080004a31220041820a85010001070800064280880040280001a800050000010108148110108850052000b00918300000018040900808302200010000848540100200208708108240042002a42018a10100800c00100a1201000801240850080011a208b0020281840060005a108400800808100108348140310402212400440100002c00a4840080284801800041040a802d10048008402210002c40010008110400118410e4040014280241850000084200200001820040001a008800440008410500012250d00300100402600358010440340110008008810000440208050210000252c00410808840008508000018400040200600000048c0211080001011aa00c40002c10940040042000058400000100842100600200008400300a5004050805044214000000004aa0024060204020800001ab00c1021000010080201000</t>
  </si>
  <si>
    <t>A35637_1996_064a64801000200a04080030224851220001801000850040a000a0085214881801800280080201050010040804a810c00802010500900c40402600000010010440a40440142940000500100a02840202010018208042402800000800300000a18800440508202000600408058102008002710010440008050440008408308c0020a840c0015040040004200881064031021a108010000812100802600400000200942608800450100008e0200080800254800020800a000008000110608b00a0050000210800800810000084240a808040c00248a10002500200012a00812448102808110512200000450140000308208b0030a05090080004004a91044000a10010024004800880000810010011000ae10408240802100000140108958002002e0800800a018300440400d08000002b1044884204290804801830004000294000005820040004004a800000100508c1050a20040284210000040031080a840140108648e08002800110842000450418512210140408350108200058008002548800010010000008050000800010a00012000012000948000200d4004005040001a00041</t>
  </si>
  <si>
    <t>A35637_1997_0b00802810300000208410608c00d02002008500310310040812300250140010208a40140000840100400250208102a40210418d00f00012110002000040000942002810940100052000608600000842b0060051000241880004820264a100010000900400002402000c4000000000214000260804884081080010001200010a00081090284010000885241a00260a010450200308800000008110112210050442002100802218300a1000044004a108200118440400410800150348000000448842d00100500110040002810f0001025280800201080000004a040108e18c0040204000a00240084000a002000202008010808040450100a00200008002200c40002100018600102440000302a0a10000824a240810c4290260000000001840020800a412000840600d1000a01a200200e0844814250280010a21880000810084001a410400500000800100040200900600018002d0a040002c0084000040200830825231000080210040000014890001205004200a900008600002440500c00802042410402010040042118100e0060800004024800220a80085040010080211004061</t>
  </si>
  <si>
    <t>A35637_1998_8018008d00100240108108a0040090000224010861881800011000884014000020040241020801824040044040280280084864a010602c08000500300208c00008812c4010800041011080065800220014230080801004a00230010060090805280000040210a44240090021800004080020841064000081200a25000081810a402102442800000400050602c02140300440900d12a0214290085070201821080a440a4004001030854084080200811844001010004a810548200502010200800000200000142c00010c10002a40a02040900908040000608000008100110018100148040212e0000000044010a002112600c0820a800a40a4010000085a04040094000001011034a04005080810001001020024a00280201204200031040010240021040000085a44085240a00000a40040240010004800024801060ac0050040010011050021800a002000108540000850010100800058000008400250412548900000618000002010700002140a00842c00410d0020214220081a042042840902400008d10640100a40008000010958018002b02000042518108e5040000820804080</t>
  </si>
  <si>
    <t>A35637_1999_000000090240280840200000040005024000804060800025801060831045090070000014080a302218200a0821000004201001a400208042042040058012508400040800600000602218400012102902012612910250002000002b0000040050881205040204000a60091001000044005815051011220000260021221a21020081890280020001810800a810900008002240000500200500e02018042510812010900800002008618902000000940058000610c08002810340000752000940c58010100840410008008a0004030815024021840280000040814010860001804804000000a00090010a800000240048210800140440c0210020065800021820a802000002440d08000a0294080001004880004821251010a210002200602a08000a02842140300500000400440100550318a40212142000850000800918c08440800000440400910408442800800500800010c08040208108102a0030800080054210031020061800a010140102008a00c00000400002048400010342008810100a0a310000842600140448200402b0054820004040800804200000820291040880200001</t>
  </si>
  <si>
    <t>A35638_0000_041224000000210020220080024a90080281241001080a848d40000250308710000400002000218410d00210a1010200880200200810840011004001804810881080000240220040001005200a100002902140d1084004015004031000a810202218800940010342c08100c12500d0820000800060060a042200912110008008840010a02a08000508100808402002100102c00010840000000842140100908208400540100258400040410c00102000040008a1a00a000802208412110802002000048842240e00040008000008140200818408248040842a00000300002012c00500002118200208040402308050500800240008450300210018010008002440d02148002200842202852408802400100508808c02800108100c0074080200044230035000890004084000011240801005060000010a248200000212600410000842212110b00258040108000600600458c00900248102000200200e42000008840242000d4880290204280020240841000000060001004001034280840064821844050020004044094800011800034201200200200001020860080880040001010850</t>
  </si>
  <si>
    <t>A35638_0001_0600800810000b08100000a00040410040200408800140208002800210500e00408052500848008242000f00442010008008440408008000952200b4240a008c00c1040020a00010880010a050442400812100610200210002500250340c00000810102002a02000e00440200400848100000010c5000004000a808312600408000810042800102218400a18810002a08100400500452400108240400b0090000004060a100510800400800050148108242100a0040a002300110048900a0a000000200940100b1001020000040a20a01201000820a050002012410c00e0024084000004220a00000241000010a10a25021040040004280800240001010800004040085015000014204010080004231aa00a52000500408040440818940000d10902008240000310408802e08340308700108810800000b1004090060800850010010a540810008412040100810200600202802110842100008100552000100600a40110608800000010c00800602008a0045000084000a242908558042802000a00450a0034040211020a00060001090840a510000012018200400c0040060a10010800</t>
  </si>
  <si>
    <t>A35638_0002_8908842c4050a840040a00012a00440500148040000242242812842002250a0880220804244031240a800500800040608002108110050608000c0010000a408000a18102540200010800550000000840008002910a00818510f0800201000864044214024205a448018102400c0000084004a01025020a00210005011091000040080064884040001004201a91280010845040011021284080a018210100400000c40140050210008410208400448000502010148818800608010118610008200400c08208250308500010150102802100408100240040102000440000a10850910100900240010158210000000100040200f12a50402202040040210208008102000010040808240800112048018208010000c0a440100250118d00c00600800500210000800c0040001080281850200800a85000200814064800010005210240000024290061844800020084061020040a040900200150100e1080044005000285811201001a600002148000018000010a48000300202000000f42840102400258058100e00000450208042040000e0001250000881201050884224800240800861210</t>
  </si>
  <si>
    <t>A35638_0003_015220080064020010010034080a41090a012002f18108a42050240000202000800842800b08b40008b00a02200400108002440910410000402d00040110200100000412400100100408048040000848008010810640012040b0004010a20800020000010205010800860040000004a018150100800010500e0024004811020ae00010000102000200c1800a852848010052208302400100000000002410b08000442200310000000e1840000240aa1051800840081041020000240040894a210052240040400818300018000540042008c00800018112440900400c10300e02040000800400308042810c02200a42100010100042012408042050a1820044050224201200811014ac00000908000640000a02418010402008008400300a18540a0a30040281011a65000044011004010801001000200201245041881001a110040800048800800040542502102002000848000040308002140918008402000000a0860a100250002000640902400010c1080094200880820070030084a50000805010090090240081200000800870000020890240880020000041201001200020011000</t>
  </si>
  <si>
    <t>A35638_0004_800a00800200004050040891241044040000834211064004281090211200830024a412150c40208008410108840000b0030820080044a040400f40100650000048008010002812200708600812002800008542808102210c42102842440200202800500300000010c1060021280084000861830014004001000010015a00020080004000215820020020805250004a850100310800c42902608200040108000402902108200602000812a10410200042002600110000100302a48008000840018102a02908540100a4041840220a002010a0000804854040030204a010010210800000a10248008042000802042018108800640a0001040090a110408448010810100000302000502600000040210000008410642912800b0804000091a450502100048400008e00840802048000212210012002540400040048900140008012302808500010402200040140208008400002a08500140012040308200212040602200440108800412400500000112600c4a44a41240211220291004060a81020880001820004a21041044024250000010280a01200a14020090810800080004810845000</t>
  </si>
  <si>
    <t>A35638_0005_8210800010008010402218048040000140000052400200c00000300800452c1000a840940002000308c00808000c02242050202400110212800840010258810450218d0200884200a90840020004060281820a018400c00d0030080004280011064040220000220001060000881014031840200084a000c0240820024030000260080000221250200080800800210081200801000241811080010004860020005814040824a218118050210050802818018c08000000010802042012000840400802048000000108010e00902400240040800502412100e08008210118100a08d02048010042108200010000600340000008a4281044004a840140100400008000d42240008800610000402102802410f08110a00112208010400c08810000900b0290000010000840244080200000280010004094044021250201040240000230014a55a100808a00510140108000a00000208800108310018308102040440308010448010250202802008808100810010c10100048840000200340a1040004000201820011a012042808148218008912a0004004805801230060004841054090000240</t>
  </si>
  <si>
    <t>A35638_0006_0502000102340a12100608c0085201080800a612a1004205000094214800261854020000090011001241881280a450602000402418200848040508800412b0040a61080220200804201020a002000142008310300000842c00602002108410500400000d0811031000001261000004204020040024805201080000044000001040201050804040200800a010102002940000118e08800400b0284a050400052850500400318408008018010802240300102000002040040c0080a00081840081810000021811000080085011000a00214001014040081000080a040000800402902802102600908102c00000840008008c00408012010008200042000a48208010808848710e10400600040008100442000c00002002c0a140242008010248410048840008010518200c00800210000210002410810140800350008a08018900400100200c10000800d0040221a01080000221000040000010800060000a10040080000a410900052412000108248000040e40102d00040100000a40402c4004035844a108140440802b0015014290000261004010090a50030000201804284800035020</t>
  </si>
  <si>
    <t>A35638_0007_024a00000080030004000000020281024000021000014000050034821200000001800ac0290200021230040084280034a80204820804a400000508000140208a0204804010001a100400e40c4851004a80a000000e00400112c00248100c00908018802208210018000810c00102308310002800608040800000000008800808008052248210012100c00200000240002010a00000040040500a52200a00002400142802040408800112410d1040880200211014840000000a81201201020040214220001260a61050a04001000011824a20800244a400440208140100408c00c02008010040210300a08010400000250700310a40100008100240108010000c0004035a048218008040800c4001031040044a248140002000540018842840c00d0000001a208408208000102110100810100a40110102018008200340810102100100140000a0280041030000051071060800800220000014080801080080204000000850844221a812040008000000042a1805000010830220044220885084020041220020081801200000a00021840840010290800054880005040040090094200090</t>
  </si>
  <si>
    <t>A35638_0008_0900802140000258008000150050512200118000100302440450400802018000700010442102148448200148002100d02000210400c00042142a00102100408240a10500440012300008400000540008252118010900a08000640250452000402402100340a02010018200410102348808440508d4044001020a80224840004a058440a0000014060080280081004205a10a800610440440048018100800102050912842118000a00348000c0280030051200021020000000084010210020020011004201021800020044281044a002050800442010002408a00202110012610012b02040300800000200452202012240018900000440100010300410340448842140010012410e1020040020884244a808040010842e02200008e00100000042a4a20864001081000a110e0880004020061020804094a800110918508c00000002250040010000840400040900040b0010281800000014a440708300402000800910040000c00400040c0001060210035a810410302808050000900e00400140040340808002c18802002010358000c4881a11000200201201005080a440c0094000000</t>
  </si>
  <si>
    <t>A35638_0009_0818040002508040218c18802008840000012008000418e0200030090210020021a010000e00810642000050848440000940200008410002c12c08100100b00000210c10100112010810b0ac00000a0800820880861000a050242000140a0050220a010000002000110202000840400040150110c10042100400b0021230814285810230000a000c0080a00011000010a05011805804000000281804221824004a802b4824004a008600010010402000240010148800400408010000200412200500a02200010000600840900800112110f0061a200010402100518100a0200894000800831220081220a00004011000201000245004014a812242600040010010a0000201a20041205004214005a00080084800091294804800000014880000000020004011005024004040804240a80010861010210004040a408012042c40d00102108000002a08000048240058118002010010800210100200c08002c00542000500a00b00648102300200102210800a10d00000048542800900008102608040400100e4820a10080220021820800a80211010084060841084040004004090804a01</t>
  </si>
  <si>
    <t>A35638_0010_0900000d0030a100400010640600000c40318000000c00010512600002502108c50808c10e00040010910400610000800350200008a4804a100048002340800502c00000400048412308500210500a4800a110518200808800200b00040310752c08800002850640208050000000000b4200071000801800240280a40000850045011290220014000010084a400a00108400c10450400400002b00010818040050d10000000410218208048102a0200825010011060091004000845801054001a44084a00a402800818000800208148012200040812110308850100100008040002108b0000040081041010080000204a00801a200110002208010200410a02052000142210c00140008100800840040000202040400042b0041a90010020080010800040a300010e00410c08000210008200200412240040010d10540000c00840b00600410608002000400100040e00100c0285204824000040080060090080231230080020020205224000014080060a842000c08150500810a0201050074000020a01801200000004004000020024800801040020a400100000a1090040010040820</t>
  </si>
  <si>
    <t>A35638_0011_001841804050200001200050820010000a80205000004a04000060a000000710040202010408b0044080060a808100040940040a00010408450a00218208400002858100a4030a002100912e0a44014010020a500002002050002812200c00808418000400200302910040002910a4000800020000a448452100052242d08340200000000000008010210c00c40408008408308950240010200018548700010c00c00802842012a0805204880000280200030000020845044204a002900702a12800042100200008612440000940300602200008648910008042448a00c00042000200042000a08018858010440008210808500a00900200a0a000010e0a04050220000800011080861a40020020000011011000040014004050820825a200500200002358100642a4014204800021280064000ac1020801a208218800442410000240008000800000800140010508008410252412108048500310c10a0010000000864200821000081010001225041021a45000090000800080890080004040010850a010510408100a02a5211201001000010230021840010810001004220821040a11</t>
  </si>
  <si>
    <t>A35638_0012_014000085010221200a608800000150040902000e0884021a80000080241051004281200244000020820000260200000000000030081044200004804201070000a052c0060804834841810285804204831004010080004804004200a350c10400a42c0020231a60000071001000084010a048500a5000880004a200240a08040000440400900008000400200100200010102208402200810608042040118402042100a08040400000040a08440800008002500800c00802902200140408900808c1200821201240001240044054020a400408342c00110900300000900a48012510a0a208542900c40208410200912300010240050000040010100010000a40910808802242000448042802748900000100100010440402800242100e48800000100912008008c10000000002308400c18000852c0044091004290031a000000600200340008140052002802200500008a1024251204815000001821041204030a84211000844224044040030001050000224284080081230060800a200100040000058908050c1004020a90045030000840284024010844230005244280000800050860</t>
  </si>
  <si>
    <t>A35638_0013_0000408000002002100010f10808002802b40050200000e0a102000808140200510808010002040412d0071201800014a002002e08608058102400210002900c42402940900202202800c0060000004810824001000801210050080201041844004080000a200202108240012000802800402200010202c00402052500810008040c02d08048040210200800840800002000500942040912400040000110000212000402210040000400000442108040600208040618810b00200610018102242010300b0020000090880a10004881204010801880a04000800864250085a850100500850000000840450002540040008900300200402102110000018040440042202000440300c0881010000805041040020080095004800810070004000a500002202700d0080040884200a20a11a100418200000200040008200a10a00052002012412c0001044205204830040a000512042000400010200100808248000102040018500000008900c4005030020851020810050000250010014000a040a0030000080810080884000010011020040000291000000011020010aa00000040008210f1</t>
  </si>
  <si>
    <t>A35638_0014_8042a00800640940218000900408140800810210300718e00002840210050408e02050002008108700200008c10040000040502400a00010100008210402210052000400000b00008000042208800440052002010812008c40d4090030841881a00201204800201070010041200200884041830000aa4050070000240000001820204024000a00010805004280080014a218008340002842000100002010040418810008348040900500010000000300400e0071221240020001004080850204814024834014a010800812000908202300a0045004051204005040280050005010010a048118010000010412040200010800410c48002108002442800450a00d00202a0200021090a408010f0000800a90010040a81000081a10050000000884084091034840000820244060000011000890a000400a02342040000c02408800108142108a1064000205250804020201000260005000a80a35ac00c0881040000004220001880000004220014004201000824884020020020820845080200200014050820801a840010408200100110210c0054254800201001024001a112c4090014030</t>
  </si>
  <si>
    <t>A35638_0015_0500042010c00050250800000000050440008000008a00058402040000002a00808052010200010142c10048c10000000942050908200042540300040600800d1080a402a02a4001021890000010070800040850004060041260810000000030024084080281a01a20000224041030221824040844aa42d1200810a142408a0040090040080005801000240840000804220080030a008000542000408600048a00002b00800012010f02448000640058000410a18400140100b5240a40004240200010220000001001085084204200a10221030a410842848100400410002c0800014000a200a0004025a000000158042800c12010000100040108100c08608800400010210a00640802000202810200d0080865000200880060a100c0001801040a00040000800000040090a300000500800042100308940402100858002800600100400e00c10810040400842242200108040540240008210408000018042002100110900802002510c4010805891021060a000c40112410110902c02840808048610010010002902c0800a340000010c4000020015205061020804840080000021241</t>
  </si>
  <si>
    <t>A35638_0016_0818010400800100042a0801a408800042040440e10000450000500340040418402812812000212408000c0a058400240140410100402a00c0004281000281824a20000084010041801000a80a000500800610000108812000000202140100000642050a08840002408440e02410100000000608012808110800208008a00240018810400a00418a00102000040548108052408008458010000008100200a10218100208008700518640418910500040008e1821044010050810230811080a840052c02a0001040801004000040890861200801a010042800100200200150a40002042908040000552800452708248242108340840400602858102600100000002a00840508200000000000002002000a00410a00040c48200100500852608910002000010218c02040502000042402100408808102302202500e0001a050010600208400908402018000202000300600810008c4000294805240814005a00000231024220020024a80010824a440210d00800002900210218000702002800c0080001040820085000040220214090840040894004001a00aa00802002840100240100c0</t>
  </si>
  <si>
    <t>A35638_0017_8448810002900010040408012e02100700200000810502008050d42000602000400402010800848000318140008000600908008810340440c4010004a10280000060044000011a44040000840a500940100140200b08040902c00200212400110802410100000018a00a40012900000002310a00508010942540840400000000000412808008318808300a58402000000010600700042800040010202300100048840002000040c00240840010000a0215280011084090020000040a410200410100000810440000148a18400002102608118710602140008800000a00a00200010d0004040250040044284280804004a500402412810240242700208000002510002840202100240400002a4010041a200408c0a502b0015010020010821000050810240060050a04810220804045221840ae48010800a0244060001200a000c00210402808002010050c0aa0025000021001014050021060040064080210244a20a142100448002502500008140008002800410308910100018000800802008210000400848002400902240400010000000410642050008000c08200c0234080835041</t>
  </si>
  <si>
    <t>A35638_0018_0218a10840040a00000708800010000a0210024091084001045004200001200004200801014001000aa00400210140a08040502010808c40002448808208200118018000102010050808050040c4020a202040108500040802400048248e0825021800060214241021010821004000880205880000a002840f00010040200a10008400000100400418100200140208218208800c40400012442802702618a00840150e0880a102a1010004010004030000281000200041060000854080835844001000220841070820004090040a008540a10a02202c00000018102400002008400202000000a08610000000442208600000008a02152002140508000010818000902008240c0065061a01000010041060000280005270021020a300500400810540000010808050010140108000050308c00840012200110600000248040d40200a0010a010110842012002800018410400210102548202012008100e00942b00a10500000448000400a42050352008110808000002040300908608418400802010208500502c10800102050400c00400000400800100500810b00600502040810000a0</t>
  </si>
  <si>
    <t>A35638_0019_0800048810040000010010002808040900b00400f10902840800400200410200200058002448210012408050412802000812208500418a48402248140418000402802110a02802008110012002000000042008010800848100002018208310140602000d40040008100942402010000100000c08600a0a812a0001000010030840044010010830051804044001044020200041021205004034214000800054aa0211010000831000010a040040642010400100102810c0054081004041841801040040081250211840001201200001820820084064001000090a018810f5084001020801810010840084a50200a110412300c00800802c0220004080801820a04204a240000810418e00000000a00100810010810040200000450800c4204200000010271240081021a800b00900208c0005005050000010011011804004210044a012048710008050800a00000150200640812400800042100200d10408000942102202308002810802000108248808148200c00102000042d1080a00804000030020080820865005230081224020001020041020814024a10021040000004005000800</t>
  </si>
  <si>
    <t>A35638_0020_0e02058010100a0020020000aa48002800218302808818200402500800008108840a00010d08010050408408248002340000010008a02c10010402058400300802048402002948050500802448102248000110210002e0284004001810860000880284064a008050800100810150002002042818808442800440a10008a00248800000108802740008012242110100a00010000002840440002800010a1891820045020a210242500802450d00900000000500018200402308010052200c1200014080004810a01020820a110842000200508c1001241260a01000800840000850000034211020081000200054210001800034041014010000a510200d0260090200830000a00074800211020885240050824040010080804040000801201ac52100840208800052050040400850040110102800802402000402818008418042440018400000300010012002052008010942002000200040002500440608400042850600700848002010840050410e0000880081004010034810004060004030a848200a00c0020044034000040210030880a040408800100508810a0205030204a04240</t>
  </si>
  <si>
    <t>A35638_0021_0800848d0080280030081040000090044011a448400900a4095000800220051004041044024834810200001a20050000024010200084220200240001a110000410c12002c00202200200440858140402800202100008000050040100000008210802940808b58100c00008658c0220030800000050ac40900600040210008008a4804024020200050010800a550440040518008410600010408848040418a08200440508110400018408602100a40840400a0001044040200024040221044860005000a002310e00340040810800042600300840c50140408000040600800a1200200a000050a00912008c00042818000010210840402000908040808200000942400102640d00800a0044040090021240044221201204210001880070200084284080800250001805000280800041281055880204010080a440010100a0040020025800001041040891050001800890824000281200800810081040201054040081821a010110010042000200148008042200440200000012110400e0210010001204051060041a140902050210208a08202100c02a0000220040a05040004010240001</t>
  </si>
  <si>
    <t>A35638_0022_041804801280200a24080820080010014000040a200110000040408800008000040800840608802040010a00c4044014010814a000412050010a0211020030864004090000200010050010081841030020011280081200a00084011050011000264000064000850810085a800002600202042008040008100342040102c00400000000042002208200402000c1000011040a01030a002000108012000c00008a00d40400318002218018012100600000008000158248002008050050808040612110042208000100200640910540200608710200a12840e48050008d00c5205000224804010220000820840040884224270850000a102900a0060a200200818040200800208918000200400300810010400408040d00a00000158c1000aa1050004031000090805800010040004804081040040051060080804220060004a102140000018310300040900840002500c10800640c00d0880a24a800002e0205010805871020075024a050002800050400a10018002400000742600808458040008800410810408600100d48000202010148040040800a00410208210208500a4010200250</t>
  </si>
  <si>
    <t>A35638_0023_815000041024020000831004800a000940040100110e42802150402802010708108642910000140150000040a0040280000001010000040a400002208040000750008002000100502c00208c1080004014a010100502248040540008040c1840a800000000200400800808210410002100200100050208440200008010a18050008100448310010400a48210040042018250100048402002748142012000448410040908000242000410a00900242042040300602048902200208008c00040400452002a00100a00302208000c08100150008018002802000b0874080000000040040035a74000804080a050808200110308c02440440408800000000548010040242842400010c40000110308002000800b00c00402100000202810108840500008800450200050052840a00810102600b18a00800408800000d00602040c02200000600808542040400002100208500a1a200000040200100000640412010848112042a00010208852400042002200048c40100c0a01021041084081001020800210021014000a002400050410400a0840845024020a41040021280014030010040050</t>
  </si>
  <si>
    <t>A35638_0024_8110010800402008502200412c4004290084020a410000808c0070010a040c0080204890060a34224001080080240014220a20060060a20201090024000290010880a00214081044020880284000230000000a20051a040042b00810000000200040040942200212000858802d00100110602000840250c40240208400000a10008100c4a01021880861000050200010000000001024090020001201a408a4280000010200a008018a10018410400b4210800000a450152c02800240a0000a40000090010030200000280a04000a01221041010800000000084220a000900000800b0030004020800000204000204244241000aa08800040240002a00440418912100018200008008050d5200801021a80020000290084885804a308c10052010102800208400908040000300002200200850440400048800300010000000040042810552100218a00000000100408500010c02452800a4050021010280240024810a00040011800004260890000061060841210020200810880810080010000204a10a00000000004080824a052118050258110008200010000708808000208800000a0</t>
  </si>
  <si>
    <t>A35638_0025_804a200900000002310000a5a00010044084825081011040000204230004801024844a002900a1044810091001241000001004a100818008102902a0040020041084010200000220040031000801020224010a108a02408000c0814201201041a00a912002002500418242450942940802450008000002d00200300008010000418400200000440218900a02050b02002418200c00c0245220a910108b0011240040020894011090010220040010801a400010002a08040800108608508608a50d02202012010500500400c00240900042c00c02012040400110200410402e48000808802348408000052000040100008000010000540442000200800a00242102108208018010308000040400010048118002202400300a00558010218400040942840302a1000000a512200808050000a00a48842042048018000900012410b02200010a0881021000090000220010810065a840348208000c18408010812108040140000a52600110440842500300148000902040310410200400010010800940002408000812402042800010510108008000602002402210142840c02e0281054040</t>
  </si>
  <si>
    <t>A35638_0026_0900a02112a00048002500100c02800640140140c1000a000150100040400410e40210812102008600200902000010a08000242808e0a00a012008012240900210402810102000418100000c08440202300242218000a08000042042402800010008c0200021200041000a04204060020044010020800014040030815800040000004010a21001210020a400400002850018010842c10902000a40218600400600c12048242348a00458010412108000002400140a0805020000a400310e1000201050080810800890800000224014000211001201840004010834000800205001000000a000608c4a210502008110540810102812400a0800a01061000044040090a00000aa0030844201020020a202200112802802248808208000212042010408810210300148002040008340200300d0000881220801024040001260085000a048010800008a1000010014000000834040a10064080234850020280a40084810804290090001a000040000312410040410000800842010810a00400940c00800640900000810100900b42048810b5200250000004060000841804210000010824801</t>
  </si>
  <si>
    <t>A35638_0027_0d1004a40000881020020834a802040042240102010c0aa0080040215014a20005005205080011020000001a200000408058700d10002810800d42000052000010408000400a02008d08800002112400a42200000150600800848208418010050810000900002000e10100a0a80090001a00a108500040400808218000400042040440040002158e10000008402448a00100800448210002840200300000102000850202000602100202000000000a00000c00c1a012800000152000600000458010700040408000808010400200202440100848208000300018110010010040412008058642010a0000000090a80800080810084804044881041a900a00810c00000018108000640400840900910148100900202c00800110608910400010d0010a11824040085001000204a04040040040200014024224a012000900c02110000800600900000408100000040112400240040400002100010318408000150000200302a1020a01005230a108140c00a00448400702110418610408840800842000400800950242c0000020044010034060a80050084224091004220200080201070800</t>
  </si>
  <si>
    <t>A35638_0028_0202c1005240a008640700140000000240100310000e12008140208850000200e1004800030821040001080204800000200014a00820001005050820201201041220894290010800240854a640002340a0214800080000210064221044041800000000004020015010880805210000800041a41040000890290004a310008000000110440048150808300608010900010300900410400002a00000008600540000800000048042000208218800100310008800810808042642000000000008052400a42008208500402202000640140318008900000410e08052210808818000110948a10008c00048010002a48210412208000802510800a42450008850c4014040085030050040040080000000824000024045000010ab00200600818400810200300508000400810402000018650a1810a008d00040112008a08000842042042200150000442210150802b4201830044a210000000100710600308408812902802202400040200000108a08040a00010800100840918000010348c02d0010021861210004200240020a10010240091024200220201000800000004004040200210821</t>
  </si>
  <si>
    <t>A35638_0029_0200002410600110000400910a4254004000a740408010c08c00240958200b00058010812502002302a10042400000c0020060a900110a12802200940010808148200050a4000800241881800201000880200a000058c00c0070004004091800021081000a05a000010302440140c4a952200c08200400d0240000004000090a800052048042208c10610e00400108108008000802602902140300102010b0801201064080030031010004210224000020a90081205210054800a000c10440040442000202000210840400410c0214020840020a440050040000012500410600900a0820a408800718e1000020200225870854a00004060800a002808602400110e08948140010408208150402300108a0040a40205020021014220001a040800148100402108b00048040000150602000410802000908110018418200408040008208602010002850400002000102400402010840a08b18148010050040502142000000908200012100002002452810900a02010d08810008600002400100500000100908200000010840840008a00d40000000000a0800020011881204080201805020</t>
  </si>
  <si>
    <t>A35638_0030_044804090014024020060040001240040824050210080004880240a042040810408400040800b42010010410208802d00310010a08d0220050004011a202010800202100a4800020010824025000284210010001800020000240a810100508140200012440000240900b0004850040a84220080084044800200084200240090200841030005060040000a012010200202442400b0a01010004020000a200310410910002800400400e1004a040a4000014801040020254040230200a00000224090040030050210800a850140040210010908008652400000940442a0090240000080000a210600100c00940048948208600212802400800a1804051090840a400002b10400400100c00000300100618a00002a40910800100700a0820020200004001000801810080891044820000020025040211094020021020880280200020004840820800a01040200010044090000260841204001221280025004204210005004a000300850c40500008600208208002c1210a910048200802a40000800848200600148410450900a0861050024a800852008140002000800600800302140002f1</t>
  </si>
  <si>
    <t>A35638_0031_000800000000010200a010a02042800408000600110818c10010400a40010010542812040c42018100000810000102040800000000002818842c0030004a510008248400640200102310000800002000012450208210802010342002010408240012802008102000910200000d10102000010400a0021a44040801030020870200011000024800000800885291034014a000300410042050e00050500910e4020005090030001040090000001230080000200024a000400208018010d00100a08100408110418200040c02802800200448100608010010002008608008450808000800002008000240010112c4095040880090284290010001840a00040021200250000821210030045a450102148200208a0024800004031804020054884214200015074840000a650400142300502a0051800080000200200281044a208000002a1a10090814020ac02808108002900500012040140808110008810050c02408a52002000240400050e02008110c1050061040240010025000004024811080810021270080000884210201040040800000011220a04000080020080001070000214000</t>
  </si>
  <si>
    <t>A35638_0032_0e00c08802400810502200218e1000024220061810880081810060000230a400200008c00442a0a21a11000a40044280811021010010025090080200a500010418c10d02800848312000040608102048008200608040a4080200030a000008d02050040000240008800840010c0230835805010080001044000214011281801825000250081010020841280280040211000200020021a110408008000400000018050000040300a08140018010002202448408058802510340208408910058002000e4004000010824000250020a002042200648000102c0800814041000205a80004810a40070090244010000200211241061040004274011801880000081800024001a30050021040004040080034080040a000002042210000c00a0a018110200008450100542250902100208102008800210002802800452400818800400b40102208000010058400400350402008808c40000400048008610902240500440952108200400842400a00a02600a00200018002000042200c00150c10000c08208210c08c50418812000a0000061000860805030800214881000284210000030000a20</t>
  </si>
  <si>
    <t>A35638_0033_8010050440108100300900140840500800a10200608318440010100110300c10008858050148818412d00110410142608242008208240202c10002200248408000002c00000140000108910a0080044800004800804025880240a140408910808000052802000610e00500200000a0020a04210010204805044890a402000610402100100350208200818c02400e00a40000b0011804a04040280210881080820890010001800a010002e52010342008258e00200a1040040015810a008442002100c0205025001805240840200804021050800000a000c08212448308408a40d1004800200a11080001044270010025000834040a000300000600018a0284a400100a00100900310802800640040040000208808400502808300400450052042300000100c00a0020054024011060a010810612800040900010a0801040254000230200a200648050100a0a01004a710800000002848002350a08900400000200040010208d0804a04004005244a300c12802012c02100000200002a1000010081a100700f10858100048040008208108018140100002400308e0000011084004800840</t>
  </si>
  <si>
    <t>A35638_0034_8402008840a40848110200008000000d4830201040004000801220000044000010024040080884000800810000000200080200200011024a110040810200110a4001050000280820800010000000044884001000040820800264801040000000a848140040008010200c02048150600040102018a0200004050084011280084820a010900002218c10542812040002040210208512010802000040000100300400402108002012a10348000000800910000110808050c42e0800854a30890024001014804015ac1021085000000020a208c18208c10100442800510800642010050402148148008840e02100208050140e1041800290014015050200894005a90224a802002a00c48050400040908702a00100012012200802302e08400208c10202208210010000000c1090830820080001061a00000a908400110400000002d0800a140208110000810002012010400802a08110202000408008000c0084000024004881005800ac4000a200402500248040000002200510910100212102300140240210d00012000000042000b00040000140a0000204a40094a008d00a0001850000</t>
  </si>
  <si>
    <t>A35638_0035_8a4040085060020200080020841050094880864820001801a000800202010800058812c02000000350000700202900902100152818410602002000800400208800040040c0a848140310008002400000040600b00008c0a15004010a340000800c00100008810402700300c40102100940002810040850400440008010210008808000400802600008302208140040812000008958858410000002408100200010800200248008b00c00600450800202400110008808800100052308d0004244001204000a50021800200810040a012142200c00008042942108008100a0a80a100300000340c00800600440100012500000c12050000842240440e00012c4004000210830040894004800204010210280824240801024a90000811084820081214000000800044861804000a818008100408412400c0080051200015880a400648112200200d4084a01204800821010850000050240820004811020220800000020054200021020080010090004260021004810000030224030814a002050200110102900802208050000008202800c0000084080231001000810061880080804804890</t>
  </si>
  <si>
    <t>A35638_0036_810a202010800802248800340842042108050110208348a02000800048400608a00040040200010202800140040402442010100800d0884850050080810041050200a01210011000020004084001284210a100000410e00010308040202710410400802500202400200248208140440202500008012810002d40a42010818810000400a0214241000024000840084020a21000005044050080800054a008008a00800208000050410502c4040234890a300008400840510c40a02010000000202c1080021a740d10000800000400000102c08c5205080010a010000600000000840640a1024ad1050285000010004001020020a608010b0894044001085880a44084015a40201044040001010a01050050080005a802402800002900000000140c08a10100800012410450000000008600810000052a00000100008110000d00c0a212118000842602052000102210200300e0a000040000750a00802a4040004000a540a1050020015000810010011860844000280290004240840280a000c00040000c08002240000202018000800808440002a00a1005040014244880030000820040</t>
  </si>
  <si>
    <t>A35638_0037_8100a50d00842240448000f12012550202002002110c00040412002000012200542a0a000448802408c10000002410400a4824a010408802400802010012008048c0894000284244240811840285200020020030095841a01220804010021020a000100000202110410112042540600810010a00812010d02c00200040018010010c00800012040708000212000c4004200a200540010040408218210200548802000300848108010802218100200900000610600e42c02040052400100102000010102040008900140800040300050102f00800410900000108408208608008810600100000908602000100202240012410050812410402900012608042410140000010212000800418000200012010900000a00800108140010008218e02000c00048110010010400c1000a11a018400010042400e00040200008b08618040100018048700702800c0014224060000040065210030210811090000000800040021820200880200010060801015200000a000040102042508208000a1200054080871880050000010054804201800031200011224800820080020040284014004201011</t>
  </si>
  <si>
    <t>A35638_0038_0342000010900a48108200a1040801000280801000001224090200205834001800840a810c02200248400208202800c00010440100440418c40102102210300602018000008000000810208002110002810548400c4000011040830201020084825004004084800000085000800000895804a51801205a91060811024050810020080220a000000100900410442800a00000200400800400042810048400100000012800012050c0020000a940002052208400a40000442500240200000302000140a08018440000908040c12140042508008042c0004064811031220000024a000048040208318040000052500200408600000648002100300150010810a58800d00010608608040850100100008450300918202810c0024a01a01880040850064004005801000001010080004010001050025a90090a80a002800010812010300008008100e02a40410a0001a100b0891044a002000818242018048c0004080281010851081a80800044010a10a010008000c4040001051a400158040450000000048400302000010e4a100000000210410040b0220a01a00000840080010a01050021</t>
  </si>
  <si>
    <t>A35638_0039_004a800012508048012618440400110c00242000808040c00050402040200a00400800440a4004001050040240200000220044010830880001000031204021080084000040011240861000084a000600008508100410210902002340012018400608010208a42302118000418000002310202400140800842b4a840408a08010652000a0000020230080040a100142810240110600002400240048058200200800400100918600000810c1081024a008040b00000008840800212042008200000000500a0200000050801884200821240840025000240090010a20010800004a000002b40612010540008010e00002200010042810800008800040a0814001a040542858002000b00c0050000200801001030000a442900950208a0884061040000285000800020284004014290a040000242200000640118040400402040800800002000818f02002040200100342c00c0841000000085200811800081a010040200748e10108242012000108512000802400010c40052200c00010400410308a0864a000258c4000010a048002000308e10c00100050000610410240100608850218a0</t>
  </si>
  <si>
    <t>A35638_0040_014020090020020240810010000a44000a002600400840018840000108050508002000c12140802400308a0060010024001034a010858842900c08002002100210208140c0010a01010051000000034214020a000608400010502300340c18000010440100008408010108448040340b40108818142040c10200800100108c4a202100440002348500110210810402208010008208000100100852300900448608840a0a240240100100202100040b4031211040a80200010084000070000080014234205040200025084005000a00000290000a80805270000a010400012008940042908410800000c1091014030041800864820214200a31005a100302800800808000140400e02442c0080000201280020240010084004000011050824000054810225080010280a440508058700600410c0801000010204000010040090060091000a018202c00810448210002810c02200040948008102600002040c02640100010000c0a04840020225a04a000050c0044010000821060001065a00084200201001024084200210020004020000040001040000220a10805000001024200001030</t>
  </si>
  <si>
    <t>A35638_0041_064004091004030240020031001201010010044010830281a44004000040060030001040240030a000200142000100800000110c00212852010202248200500142a18010142002110808042008052000b40600808900440000100a00002800448010800040248412118040002112602810450610c08000010840000240210a10450502400818100100202208012008140508110408e00000008200100c0040ac18040800a0231040820080810220810a008000340000840800a0000291001041a010800042010e00008202110142000508010108000800800202012108802000442042012400d1804880080200030800220824001000010004010010800004804040011200a11040045040004200004081040204254000211031020045a018812a02040608900e0020041084280800210860025a510400202300210202048810640810012808412002000848808012810010200010440848400008b08040840848900602000950048d40608000208000200640042002908018000e08000000100010202400402402940c40000000208040a1090060000050091814080840000800014001</t>
  </si>
  <si>
    <t>A35638_0042_0c08200042000040410108a08818800240852410d00c0044041210000830810001a810002840040050118c40648110000200012010400050002f02a40600e08150000000208208108100300010d00e42000002808010a40800200200558100c5000204020004030040011280080010000211a400400642802402000618800d0ac4010014004210800004a60001044814004200040220a400002100152000910a00802000810240108458008842c0a150400910850450000008208440300808200442202100408810150450402400002208c08050a00100440110400418010002000140842000b0000a212d40108002000308440800042040818110418102c0000040010851080840000251200000250080021020200004005001010084ac18100002000102110908250002248010008300002010042808040340200000610450c00200008000412a40910202118700000c10210110d02800008108212210400008810212700440000840408250042808552040802008008042100308800100c0a000050408410802400200818418610e0200801080035054a000250000840040200502c0</t>
  </si>
  <si>
    <t>A35638_0043_0110c00500800208400400000c48950200910008c0820a000850400012200500040400540000240002410802002412800042508000042018010000210450100108610800240808042018400a18500002000100008010842552802800000308410040000008048100000040c0a01040a848000310d00c5090014aa02710400200000450100200208a00050010010a0a14200010041080a14000820024801000804010044210000090844a20000034880a000400450a00000e00040500a10042608002008108100800810840410908000400100008000802a02a00108200100400440102200500010d1040084020001225a210510800410a02002108e00200000800402010340c0090220a410348000002300c4a002c0290205010000000a65001010800a500100148052000040002240000a02a48510102008402400c40040c10102200208008200010840208000100008010a18800700002002a00000808d0020a108440200200a10002902800400000142008942200000040c08440202410240118208f10840402040100a00302a00002c12010808000348a08000400100808102350a1</t>
  </si>
  <si>
    <t>A35638_0044_0000210452248010100b08248c0204014820020a408200402400208900640918910a0880010285201041070040880000281000240800000000000200045880020005044220804201281811260084020004015a100c1004a400808100000400040840002008250148408400802c12800200400100300010450202010400100400800810b00000010000c0000094010004070040000800804230001045070001881000004820231220010a048100000100610400840200112042050400910042c0a01010010a002e1000000000204231201280000a010010008202408000458242012300940300a08a00450112400948050c00848248000148800402010202012c00000250240800812202c02000150000010110440400548902602a1845000805014020060040004005a00024800a010410850010000240200002408400200900908140512108048212040d4200a00011800885080050814a05800024a00041000800210020040860811024000a008110900802100a0011800801830260200050811a018100010818400608100010c0024a04804000000271020000a00a04044825254800</t>
  </si>
  <si>
    <t>A35638_0045_071000890000000024060005a440100002202310010d4021084020080820060000001040040090000081800024004024a90a042100608208000a0084201a200250400840b02a08508000802000412200052002210810808900200300058c08048412400100a00750400112000050a0820844a000300818050802948000200400010d00100010500200b00010110c0021044aa18008000000240848608018142010010c02910002610650200040040a50002508140c00452108218640a18100012c0004020011000000881044290a818400008618642002902110100808c00a58002442048340010000000000400250002300400012c02c08100000908402248000000202502a08812e02910340108008110810c00140a4090220051024804a040842202040100400042052800040000010008248410100108042c00010800000e00200418200110200102600000010008748812010a08258440108012600940548908100408c4061001044820201880044280001254800204210080a810002808300102008e0004800210001014000810020084204825a042400c10040002e00a40108c1</t>
  </si>
  <si>
    <t>A35638_0046_0a40c1200030a800018a10008048000440800000000612000040a0000011000890a00205000210800090800000014044091a00011001024040000004260000820024a100002052348008000c50c00008240450808140010110c08042610810108000000a08008400208118018040108848142e0080204000024801840060020281084070094021a400000c08500402100140300142002112000200002810800018c00448a08000d00058400152002a1001801840084010000800204200041ac0000090004061211801a608400000058000a1095000080224230824050040a01250200290000800085220001010815811210010080804010801820280040000211074010a44000080a842000800042450808400408400f0a30224001000020284210030000200004000085220080065841894001281280020201000840825210000090004010880000000200001025000081204a90040280004881020065a010042202000000802840802d0090a140a00010802442240200600a08050012d10a00142040808310c0081060080010041841a41284200080060240040801800030080021270</t>
  </si>
  <si>
    <t>A35638_0047_090005211080004a512a0050a040010100812000810950200c00000802400100710040802b08118502100208800850102248042000300a40840100042008200000a4010200000a010000a02240900842308540010d00410000a02210018108000018000800b4060041090800800030000a400e00c40450000000b4040a110040a42000008840000610008a00942202002200408912440002000848642410302000000000b00000000700c0810280015a10a008600c00040602000550208808200102608110048118810c0241040801000020000000a040502150100100c48000050140200000200500410000140a0060020020a040110400118200d00810400000802a40218500442840010d08040008000848000000000040408c00a0020004080081201081800280010000021a41000801024a440000212500908000000840c00002048210040402540048002118018102050000000200150700140052900900040100210402c0a400200110700a08808208512300050002000010400900000a00008800302040002402840010b00c0040000010210271a80845801005054080001080</t>
  </si>
  <si>
    <t>A35638_0048_0000040100a0000a312100010612840c4a00820a000400240002c4a000118000048802102408200040008500442010300008208000102e12010208800440200148002000940042000110402802012c0224800a70025a008440208942412200402048800448810400a00252412802102100200000e0aa5844000800001081051000095000220800aa10008040450040200400c00042002000a00812210800000c02000108248410000a1080040010a05804060810020201200084200010800001000220a108200208202440810000340000000610a10042c0200000040841880204004021051030880000015000804200a10050200200004000224081040001a150c00000008008102018050840040418810808600502400202540110140c5840204080201031820000240000824005001010ac4010270204820211000ac0884050001804021071200080020035841040004a442810942002408600212800010402308000c00200210450340a00110510000248040048200102000f08840000102002142610812202410000b02600808408042410440010600e0054020000080094000010</t>
  </si>
  <si>
    <t>A35638_0049_000a842540c00908000500008c0040010281215801000a80040220800825000870204805284000025010024000200004200a510508b0001041080201a100c00008008c0004010020aa00802442050102040210900008a40000008302002b0034000000204881200080841800000000834000801010081004000030030a01000220800074024000201000845080200a202408000140210000a00000408a0041001051000204230840041040004040a108110810200008500808112000800c40200800042a50258310842010810700000552800308042440a02102000100d0020200034801064040000200094060024014040001ac18400000840112100d0020050020010031040004a01044020000a00000881200284204000021280825040810010a800040818242400402102a0000200880000210004a808000200040c40900008800448300142852002540118400400800608050100200412508450810852000050400918000a00400700800440100008000000640010140800200408000c42008000a00508010802e02108612000c0020001000200010250880040090040010060820</t>
  </si>
  <si>
    <t>A35638_0050_010800a800e0000201801085000290230004205030030080a040100010150000a00640100008808640400802008500000a08442d10840210400002340000c00100810140a00110200210000048910400300700500712840810042002108808e40802140040840008b18c4020a00080010010a000342400110700218208400012810100c00100008018218010042048900012908158640c0000201821a200200442450a0200010201004260081044011044020040081084204280230a000150010002200210258d00048802050800210250408100210000108a4a008e0861001094240080040a500c42240000040802112018812802002440800502200402210500002010140008000a00942800018000418140010540002008400210100000c02008008440010302040042100002040c08040002000e40300510900800048512000200600000100200410848000050400a1061211010805021010840a000040608200200010400c00100d4090201800080a01204014090205050800820005080080801220874840000010035024280890200080004201004211040065000240814004081</t>
  </si>
  <si>
    <t>A35638_0051_0258802400000808008100052a02010800012000410340800c00800a0200050044004800040a852008a0000221281274004010a800408000400040b0020000841ac0a15204010040280005000215034290000820044200a100402300040900802a0a012000002000400800218d00a00310050408002200802c02800000800100048440242040548018410000400608012112300240400902940000110600a00258912200208400108000010500c0880011a810412200000c4800021210831844881224a840200010a1a00000250810004a308a10802000208000402900210000140300a4011040801020844000000a408208402008542a0014801810094280080030080204090005040000244880041a210348450800002802602010140200410c00048000810010840002400040540800d4080010200894021010010041204030804070010000044a00204220a450a0061a040400400240208810000802042602812008100618002400400240440000550808100000252100800408208012d0000040a80004020810284a000200510040c10102340342058318108e4044000080020000</t>
  </si>
  <si>
    <t>A35638_0052_8a0080240234001821830805081a802408040408a1004a04a01244a10010a81020040080294011024000800a002950842100140c08802212450040100108000d00018100e00302010008448240050402a40110b10d0004000000000801a400018440c00200842242810108410000840810000108600000900808100000200c10440000c08a00700000042a0880200891204a000500408000a02202500418002040d40940302400a00b10800042800348008c08000200900102a5a040e0001040844240004000091000040800064801210040001201200000800a40aa1004080a000b0010200281000000004080a21065200895a01850200800020040014020a40010000010090000ae4000080080070040871220001014001a210008950a40100a4000030841830000080004080024a20021a000c00002210000300942a0281020281820081040881240220004050a210600400012700900550308040402150a08842400410040010d1080030000241010204000074830800010020021890000aa1005080050840050080000a550000302040140008240000410100a0801004a80230a81</t>
  </si>
  <si>
    <t>A35638_0053_0042048c0204a252300918002400800400a12102000400002810840008000a0854824010204010a000718200a0241024010820a000000c4004040000030070000a218000202200058800412000442240112108800248008042900810008000012002c40002302018810340008140d08352040018e50210440102a40208308b0040a842f00000208308400042100040008048010a08c5210010000a040e10240c08450000100458008808050550000000300200010810002100850508800002040840908240310c18218a52040402002348000d00808d52400000010c10110000510602318100018a0020a10214a200600100008210000002850500900c00202810600208700210558000500548008300210400800500a0a100000308e02008010400818040900a08000c40202018010e0020a000500348200040008210058442000818308900a0081800020a040602c0880001a110148002040208002200010542000410808008600842a08218008010110210410200008402010018840102d08110110200700c00400108a0041251001a800850b00000000500000008800000a0010011</t>
  </si>
  <si>
    <t>A35638_0054_000080000244200074800005a208402240300008008a10a50500000208700810800400000340018040100c1200a84204010021040020800210094000a54840080a000800440840202008100608050e00012412410218a4800014a01224200044005204000804000a000910402802300802052000108a40000002100000218500010010002802150000648a08012400050440400640400400408110212b00a02000840800102310d0830280080050801044a50015a850010108800002908048800140942102300000800000140102010210000010010d42908000402d00042000010500a1044240061040000004005a040a1831885081050000824800020004081200000a202c00c4001a00024280025820004200a15050005200241010ae0a042c08200640308412c02c0090010071030821004004030080224001010000280280a05000050001044000010020820810815a202842200208100000110408040c4a11044040801a418000000000408300250248540008210042808340410400202810302018c00008010800000110718b02000100208210458400002e0001280094220000</t>
  </si>
  <si>
    <t>A35638_0055_0942800010400148112800508202002000008410200c0284a142200048200b0000000000040204210a81000000840000804030801041a008040502808608c00448200412000152602000002c08800500310000000240010002102150010a10408c00110000218008100c42c00002d0004020001840041040044800004030010824200000820264040011000800080000860060021085081014a810002200210440442108248242200640c10040040b02410d08200012100400100140008812018000000b0a308200408408000002840708908a0045095070020804280010000000220800851a910800c00012800000200400240200010b0891224000084040011000020030860030024000044035800a00021a81080204001004a40014000810210011060020001024ac0240001240210820000205010800204080024060a10044800000a908d0080210200024a510a18848600000a00300400110a0060a10000281864051000804844224880005a100b00010d40800a0040051090080840020210014a60090041880084a050200808000810c1200230840000080020040204805004800</t>
  </si>
  <si>
    <t>A35638_0056_001021041080221804001881061210040094000070064805880060a00020201844a80211040010010a810042048042040000012410210000010048140400500008000050e0800060810800080a00064000200800080000000210a80811040074040a012500800000800a40a08002c02002110900b4240a500140a0230a500850410012040300000400042840840208010200808102a50010248000000000700c1000254094040220805004050020810040801000001040090220000040010221080000820a04240010004814024200840ac10608e40800040010140100140050042800008712000502400d00308110002b10412010c10440a02000010000248102000808010500c40200810400140010100c4264804024004805041880080a900200202408210942008842b0200000210084800801020220251041000201054090094250040820004080010221a14040001005245004221004011800080044080030814021004a402042000200400000c00000112002002202808c02200110000148010100b0220041240a008002100a4800244224014004a408b0a05050010a01010060</t>
  </si>
  <si>
    <t>A35638_0057_8b0a048450400150402110a00048100142000200c00040600400440800000000000008912a0021a61080805060040010280001a40800200a00250a000602c00200440840002802010310000802400008040118000202442040800008010c08200a02902200018240010800048542000048248c1004a80044040a040110800000e40840048002102000702c10800040a00008400d1085004084220030a400600412100c42000040108002010d10102250208810902000050108048248108810812500c4800a612810000002400b00100010200840000810208a0200a21000a802c02000808000410000408802400200040900100010c00c0a202040c00050018440800110610e00808042110a40148310010c10408800240108000318010450050040b02400008240a02040200a02200018800a00910c4080a100a00102648510148958010000248e00000b02912000000010c40500b0a000008000900212800100010008010102208000002900140000040012010200012310508100a00c0244a04004241080260280084814015810080a40a00014220010011880044001040080000a60</t>
  </si>
  <si>
    <t>A35638_0058_050044280040800040020000040004090080a442808c48048400900040612400018050900508148608008842008040740002010310710c10800f00842000800408240012000010258408212a00000048050002018410c12000808a58018408400418900d4014001020030081000004000014010051204040084084a400008408a10140200008000400a40042100102a0200850024840014020800850020004001a000602310402800200400000802100402018112008810602b12258000108048800840042012000040002550002212158200200600010100010100a00800848012e00002010e10042640800000108242a00058202002500040140900040e0091000080804000890200214000801800801081084000060004050810060064000000004004a61045001a810302902100800d0804040264a200710000000000100102a1000200044004a002000940102018840400002100042000408100c00d0000004804280060221800004080005000040860084080201821001080000a04000030010a000112240c50200912010a1040ae00000408248040408450802812e0200210000</t>
  </si>
  <si>
    <t>A35638_0059_0000200100c00200108800040a08400400242210c00802210840108200110418808008000100800012210458440102408a0054a008848a10502d00008102208d40200150840010200300000052100000950140c1820040000004080a000900802008c0020005050a000000852002340a00400e08a08200002000008300d00b1080a150300840108410a00212100d0a24070221800081290084080000a018810610810c4020a010818240200040300100600a1000040a04290214a400300e0000001010000840a108900640000208000000800402240502202048418000640808002100200208b00c10a00800e4014044050024080a010040242002918012208c40040812000208002008800808850118500418812000d00200308200840808502102800110c0020040014000811205800030000a110100110002808240240800442000552000c0a400542200a0020a210008000d0250091034030020200000000000015040820200a04050011014010020a00884000801021a80050280000094200a242110002242102240048040108910040010b0804050080001004a00084820040051</t>
  </si>
  <si>
    <t>A35638_0060_0900000040b02848600e0001020000034a010100800310640400c40008042608000608840540800108800012052d1200220804a100100202140a02000048d0084000080084890031001040a440800840210458600410802400108000140000102010010342800500400100408402200a5020031891001004050030020a200a10000000000900000500d18240400d4284010800860860004074021841010080204041000a012040018640010800400808002000208010050008840008110102c0000200000a002d0045004280040004a000108c08208502000102102d00258800000040008208000340008000a08208000e10100c00002000902040000202c5010034000005201040a24044094220a140108002808510c00112008810612408c4000820010210000025290084220041250034064004000085000000085200001040084800000010880200080880015040070020200020800221820044080a150400810100a00258010010108008400200000650100b02b48400c00500200540400200100200c0801001280004060811000000014024890a100008c00210412802910510c0</t>
  </si>
  <si>
    <t>A35638_0061_0d0224800224204a048400000e02500f0030a64001001084800000a108500218058c4040000200a24000804080040030281804060801044001000024a418000d00c00040008908242a10202412000100008340800702810140008008212408a12008010100800142810800010052048800200210e4025200074000031010094280290060080010a00015840841254880210250800040000210030a05a00020001800000034004000085a052040008200412400a0880084010010201060854041800044200010080890a002400048148410000052018440e40240000208042410c1000a200600200602000012400210008400002000910508000200b00010440410e42808210010858208142140040002418008000000800810048410248210c0014a200048810408818100900200010010112240c00900008008000910008040c0801a240100c10e02000002340308200a0000000084a802402500408402850000018712800400442112008040252018100000410240012040400318442800000000440108c02000100a02a0044020000001a012200a5011040080a048800d0801a41080</t>
  </si>
  <si>
    <t>A35638_0062_8250040040002a0041800071001094240020010091834000004000a800212008a0804011290000001a208800000010000240508000d0804001094020200800050240805040201850010051024a840340840442000e02802502300008142010040410050400802500800000640400440000308210450a00150800000010200402018000008212608808010002d10b08100012200440200440d4a142008b0800061004060004a310400010200000140048002208800440000402040640a00000442540040a02012110642018000008300008208110200412000212050100100240800708212440010318010140200a02200e00842240400802242100400140008000500052002810658210c4250020260080030a05211090800800880850804010020000a448000042600010900000040008308440940842058008400002048800400840408110000208800108202040c00108418842002300000000058812002000118000108002a00012040240400d08010c10050a02042012118a0a20044040210060a608940a00000400010302000840000802900802400900040c40402b42000000d0</t>
  </si>
  <si>
    <t>A35638_0063_0400c08502242002010000a08440910500200300008010a0001224001200800081040000204210021041020840801000281810080044a01284080800820800080001091010a01810041021265a040400842000000c0040000000a010418600002012000000142700200402a4a100400902502000048200052202b40010500158010010000118008810000818040140040000000002a10800808240102408548800052a4000a30080015000200000820040881000220250004800814a810442400850d00040208408000600900342810640d00010440100140202102808810400040008102100100808200400100140010010d0a052950002240708208a0000000000205010a000902040c42e08808658808110010000000b0254030004020215080a252502100a00808100042008208500252010100002940108108840412000c0a210302000400c1001004020065280071884a050840800600c10000008110040a08408000900802042a00150100008810440000200b08548700402000d02042b18202218050008402300808050008902218400a40000640010450812000802900058a1</t>
  </si>
  <si>
    <t>A35638_0064_800804040010800220200820084001014000005000854205201024020020031000885a402900800210600218600850842100602608810000000008b18442810a0004040030025810801090a00890010031045801860aa00000c42100240d08008a08950200100200000c4021005080820221a800002042050c4a800000408448c0000000804000290801a21241080080260a100942c00400c0000001020035020850000021a20000070a418400008000300200a00c18000540018102600302418040000358400a0010241004200031804030860804200020010244280000060001000800204a600000240810500200410800302000110b4a00024200001024000004080800010870004250040880010200041000210000884220000885084000050004810a50885084a80000aa50558a00008840d4244801225041020880a800c00000050400808002c4220a30004010030240241000020030851020000a80000810001a400040c40000900248400000400840d00800a4010001040264010204080840091800804205080001000001805801200000881000a108910c4080000220840200</t>
  </si>
  <si>
    <t>A35638_0065_0102240102140810108008310a40400602800600400600210910c0204040a000d4201200030811000010000820204000a042100300100a48910000202000208000c40902000202042300410c0a040e00002002300818008100a40100000410c08048000002908308100202000000240908442300608000400e40200508800012e02542800202108200850040412008110250c10002800c00c00800210a0040a008050042800002600540010840000248440600d00840010000800240000200c10102100910540010800402010002a42448010240042550100908248608000a1200030080a408e00610450400140a40400000102e08040f0030800000065820084080200800010080000084060020801a700600200142802810000a00c00a10900202010240110008450000848108218a1010080801210000004080044040a100248a02010008010008000500900600f00a50412010048000152400208808100508842252418048000010542210200008b02050002e42048510010a12e0080020a31000840801805000204000210a10840000004070200011031085200090040090801a80</t>
  </si>
  <si>
    <t>A35638_0066_0b00042000208040000108840208050102002648200348008c10800300500d00010650840000b00000410010800c00200842400800108c1a00040010004020880a20000024200045090804001005000200a308200400200812100340002008842050142008018012808150240c00440002450200000000000108008012010408608d4230004001a200200008400200b00040200802012c00100918508210e00010442840058100000142800800302108110000808800c50440040600800a4001215060030011840000004210040804020200084a04201204001a01a01040a000c00100902000000842a02050242010012200600442440a0000a002108400c4005000825010810811004080040801a002b10c00410800402102408000240a0080000080a018500b10000000208108048100300000100a40a48040110600418012040140200300602840002c40200140308000250000e0000831211885080a002440010410810858200102840002640400048c0890080220000001020001084070080001010010204040040020804040050884000200010211000010204201000015840080</t>
  </si>
  <si>
    <t>A35638_0067_0800400000148a00118110408618c4250000071800000884a00090a810012800100040010100340002a08d08008000000042402010608002140b08b0225040080000014000281050000810a600000402140440010210200940900b0204880834004000050001041000835080084020800a110100602208850440000012800400400400c40910400810a0a808850802208640800010400c1040010815800065a802000040008600100c00208100200048000400008002900e0a94050a91000241041000080214000041200004020030a210c00102648900d4200231800020080844000801005840800040090080a85200a000c08000c40500210000508d02000110900042040208012802402c48102000110140c0a41204201060200091000240094001001210065040a15280084814011001240a842400a08102800208000802602002010200250402450040a0a740800400002140802018202800200610c0084015a00080021201a502400000202a00540210002502210148008010a4040270884811000020a048042842010040a0890020880000010a400210000c1041000200804840</t>
  </si>
  <si>
    <t>A35638_0068_000081ac00108110050200718618800002000200210000a00d00540200400c08700810110e48000400800200c0a010842342040e00418040100000100012000040200040300240318810802002102500200208800148242440a48002002810800c00c40200012000100e02808900508140202608a0001201020225204080010ac08d02402058018400448018400602210510800808050010808010002000d12010d0050014200800004845204244000211081044844a100448008500210c0025041020004041021084a208052200110300800200800012202a0220231801004a80200230804020884aa00010400a4a00800021860090080280800a000012010510800800010a0004200004040820804001095000004010800034a10000a25050090011021080850000800000880a200818010012800548b40058a18402050050b0814a14011004020000010080200200834a018802002248402000012200000140000058100010c10100142140508000408000c12002800258000d0a840110008040108500140600110a00218000410040440042c0020240a40004060800000824001240</t>
  </si>
  <si>
    <t>A35638_0069_084a01200014020224021810080a01064080200000000040090080a800008500e12c10540208948540900008000400200000510e00010418800402a0205a018108010112300010010500000848c00800000542908100c02910400802200008042400d0010800000a31084024210084025824840844a000000000000608010400a00400b40010142508608202842000010440308300400002700050208800102808050648802018200c18c08400008a00100000018000802300800018000950000c4020004274a408910000510208018200c10400000000800800108908608c0201080000a042610000c40010400042002a08900e4a000640052310800600a40c10102112012110710012810102200200000a0244800010011000081001000080024020810001004084810080201064800845000a11000034220801000281081004220800201044000851040a200400c0020004004000800804ac08148600400a0004a010008c00002040a00010000510040040102808148050100452000402600008240300100800800100040540110400c1044010a30000820810060a90084030811000</t>
  </si>
  <si>
    <t>A35638_0070_8002010040040250548410412810040800210350c1085a450140c00340110a0080220004010200a600e0004804040200034001a80000081810024080041220021080880000a812400000040802452100848100108908802000042040000000000000000640a08400808740008902000a18550b00002812012640048410d00310400000a48100300010010240850000300400e1090040281280000004a100840442510948208212000008a10000000800012a08d50040502800000408408202810810200000040208048a0a800100048452000012c40140002242400008148400c0050010a20090095200080200a01031040054201090004201220081004a010412c08000402708c00000100900202100418800240400108208000110618000000940952042018248008100040208408010048052442500800602810900040002002118110c10300440c0000a900608000200208040e02300000800512010400408000312008400a0885024005a200b00200010002808850100d00108800000040202048400910400802348008050a0090860240090081a000510400c0240200800004220</t>
  </si>
  <si>
    <t>A35638_0071_804000000030010040020024025001004204010070000080000260005a102010002000040c0000000000834080a000a48012012000010c08500002102000010000000800002802408500842408802208008008400400200502a00000450018900010100548150600610318002802808108010000c0800a10080011070041011a40205220814a04210040a008102140310400000400840110100100040500118242910402008208408040200000802240340000840010c0040a91001801014884010020004040020000881040220820200200080240a010d0200a000008050a40510000212010010600010512400000042200042018402102008000000812450c0280081010080041a85800014000070040890880281040a012440000800200400742a0815a11080a200010002912500000448240000c00240312910100002900440202212000010008400400058002100208600952300050200008c00c00c4010a810248200100610010408102008e10c0284000000880a548800040600442c00200408200102a02500842110400010800808c00140902200b00050002802542a4060030</t>
  </si>
  <si>
    <t>A35638_0072_0000008000440002200c10400040000200902310810300058000040940102000200c4281004010024a000010c5090020090000090000840040200804805810061020000090285020001860281000040090810020860800041204021004800015280081094231000810084a21240284a810000400e00018810140a00048208950002002400300600910850410450440040010e0015004805030210840801824a000002a0000800210880221000240211804040030004040024824000200840005294040001041030014084a400a40018040000e40a0010020001a24041800800a100108842712810800800000b40000000208408640002a00a02100000510402000140802040400000000110002b40602408002010400c0a000042000142000800100108518000c02200000d0821000280031a040d00d40112608200610800402642208002008050a1044010805200250000200a040000000210c00642e18010c00848108218800000410008040440210d40400050800108100d00040000d4000005a20210850284000040021020081801000000240080010280080041000000800061080</t>
  </si>
  <si>
    <t>A35638_0073_0408800002a00812510200c10058800048212008900002200010000010040808600242540008842010010308840802002840300400802842002740002342218002002402840118500008d08a00000140002012500010802800a00040502300210248050008250400b00a10000840100800202818108c0a012300000040100400248000648000758500442202900200110108c0004a20840084a002000c1080aa48802500002008100500050c0014810014011001200001000080a102500240008110848110250200500808802000a58000200248000c12100802040410800400800340208302408042400c1000000200080800000015204810810a90001000214034884001a900000442010c0204000a20014a040100000a12010a00812600502000340100100240018042442802410000118200802802000448200108452d10302018400600108640800200100150200d10210002400200008008008440550c0081a65000024081800020010020210030020a010800000002308400650150008100008810108c0084284200025050081000210010884051200810a04201010200060201</t>
  </si>
  <si>
    <t>A35638_0074_0318000c10300a0a402400a4880000020081840aa00310812842402050012000410e00040400042412008440200400800012148300140000000800348108410840410c40c00a02000200808402400000010302000a40858900302010140210008002910600302040810500810010908102610308008802000008140452008050842000002a10000800100218000340250000800012a00842840a0200800020004044004280000800814085080080820000001000000240090a00a000a0084060a400040010300308c4200a800000a0041a410448000012108040142908242200010000140012910200c40442000048042510702010010a0a110402210a0064204020000010a310102800140000002000008018018c00100a08010900150000540200102048818110402400c0a010050010018410812808a40508400140e00152600800052a18c40e02400040808008900008008402d40050200600810c0841280a21005840050801210090895000040010064001000801810291020000000010081004061041a000400100208200000400008512a4015820041801041800030200200241</t>
  </si>
  <si>
    <t>A35638_0075_0012202002002010008b00208c12002800052412000808210800908008540218210808440a0004a000100140e48810002900640008202c1a81200035814210004001a042408050010200102c08002300102650400608400852740800008100440010840400100152110012200100602802100c1000a212840900802400400840048040800a52508008100240812240802018310600a00000840118100100c50002500002010640010b08c42010102900142010012000402242008140500d0280004004081a558210300818c0040220820060800021080284a00030010810040240060085220031840804001000020200020004a24800000a84a31840045804081270080840a008a4021040220290030041001000850010000825270004844080210824010881880820001220a208400200400c0010020885a30241800005000284010a418800c00040d50c48000510800442200840502148042000002050910100b02402818e0040015040000040260011000201084084260801044a40010000014055000800020a410002200002008c48040412f00000400c0001801000010801041030</t>
  </si>
  <si>
    <t>A35638_0076_050021000044220201280850a840c40402800410300948802100e0a008118010040200100a00000048500200008810002010000400900000050a4a210408808008202110240808010008302808150300118142c1844800805000095004220004200044000014840a318110800002002b02018c00412210802c0080230a000008200c0004000a400700508840100000048450000a10010510002852340008010000800900000108500242042000408a12240518900842012c48800012200508610440000108200c08810400800200040050100902000d00400040000310200002002102310040600602a10100c0010844a800058a02000100a00010000010210012602348410000940602000600002218c08240202140140b42110810100440040a08842008100900042c00000002010200e1220811000890824080000080001010000001000080a40084040021004080085800085000a000110400110400c40200110642010040008002902800100908e00800040208000218408850000010a4224810800060000044210201060200010001800000081025230004800000050000000201</t>
  </si>
  <si>
    <t>A35638_0077_0450c40452908012010218410c02140248008008408410402d00000340600108800400000000302058c1030000800220810800080831820250000011014060080801a00200004874010010241000020010021000840065a400800800012018500252850802008100c08000200c00900908400918042000140140002240200100008542140a0a040008b0000041240000834001021004040000a81000a000710010802240150300610102002040502910740000c1800240000204001810811220a010b00a08010010a0860004000804030a50020a402010002040102000800400000f00100408008d0000010020201800080074020095214a002400010802002850c08018008818008840040248b58000b00802c10040c0005201000845020a402500010100b0041220091040820220800054200854040a112002000c00000010000000110008600e42000840a0000071000a01241000014000080030080200070a000042100400a42450308a08600500400052010900800100208040448402208952440800210200c0050211021201021801804290010014800884200080240020000800</t>
  </si>
  <si>
    <t>A35638_0078_0e1040801020000005ae0044261000000014000841890080a000448048600300000000c0204020010030841a00845280000260220000824080214814020a60044004081000821044001004200200034084a002c00908010540402210202218100408010040800458000040048000002000200d10010008100c4204211a000010240100000a50110610508842140048058340500c1001040000004035080820a40001094010a10081060040200020a00040a100b10800800202108000218800242050208110148000808840840500012008000000642440240008010f0011a25a000c0200001080831000011040295000090820005004004000061a308208602102140a40012108d0244080000004871a21025804a100440840100200040008412800010240210840040500100048600810002602040008010508e0090a800402100b1021001001221a040140200408208848800040442340152408e0200011000200200031081200005200200071201880a040800502000000800800e1091284010040011840801810234001a44090041064040200284200251840004894090001804830</t>
  </si>
  <si>
    <t>A35638_0079_030004800040aa02010c10902600042c0224210080041a60844220000000000004885ac00848050600408102010040000302208208240008142c42200108800400c00000548a00052a0010000000040020a50a000452200100000902700000a50000c0280280005041020841880260a01004800005005040010080804040040220000014804805881071225040020010a51020000000090040804220080000040a800100148052308442242152140210710000f0820004210005240011011a040002440000250010c10a4204080a900210000158a0a00094225201061844201000280004050a908300412000000802410500410c4004084080214a200002000010000008008608202a00952a4211a042808000800110008208348810a40200410000310402000908402800940010002008508c0281014004a400a0010080204050014034220051000285204201220040004041a410800a0040081880280005010014201020001060840250a008440000000c00800402910200c0805820290080800010a11805001041050204201801804000001200294000010820021800060000851020</t>
  </si>
  <si>
    <t>A35638_0080_0400050410c40240040800000802440800000352900400208500802908040200210002402300340108708208008000000a0041221040200000020a10005a000500018940b4201a208400c08040102202118250800850012010000000010c18218218040d00110010818d0001210000200245a600800600402440940010000100a40400800142100000c0820a04014820800001000000280090a34034220020804200230820054081001065040260024200a808010048052b02300148000408800050c08140008400800808500640340008810218440d4044000251000000040a14000201045a91001060000090010a04890000225004050a00050041811800ad0020004024000010200ac02808010600418200000c10402848050900118210840048208612a00200200400040118610808600812d0020010214080030240000014015001a30040820a500400940412b00800a58040a02a00108008018010002e40048100000a10200402900800400000058408042900210042110640002002000000600018100c0884044014a108100202450500a40a0a01041014064804000080201000</t>
  </si>
  <si>
    <t>A35638_0081_0802002010840158000008400a12c00108842000a18802240c02000100600500048410040208042300a1880a650110140040102000040a5840000280800080050064094020200000a400010848040b00808202600110442c0044a000010010308250802d0a81040000035084801084200a018000840040912600252448008202a0a940540900150100408002040500000000c0084841200014800820261040825000040030860821040280200004001054070080860041024000024801000204804040085810a00001000005004825000041020840804010a908000010100040000c0280014020800884084260201201a010602202d1094a010042910402210100c00040100000542c0a110100210012210d08a1240204830054820800841011080005a400208610002c42208200440300800400000100940002210a40a0204054004210040080a050902040802310c08108048900a00812640800100a02000808100252510540c10040848140010210402210140002210108008900040002800012040000050602802c00800340810a00212140042850602500048a08c1004a15020830</t>
  </si>
  <si>
    <t>A35638_0082_0908000500000200000d1030000000204081014a010500408002300300600200000012010100200600000158000100042040610800d12210810002208008000a18200110840000208200400402842000a50010818008400c10008200318000240408112040002240100840800800800018440200e0041214000201074821001020080204a248058300010258900002b00040e08418c0081000001a500800d00800000c02042212000000a08440300000250800010040440442042002000142440800840010102400800200000600902212000148010042000040102a0001080210230880800000004080a41000000000a008250642800200200508c0020a208040d02140758600018800040000108140200a0204085200201264210041280881014885030200080040890080214020a01060024005020880004220080001240240020230801850a01000000815021251890000001010210a210208040400940300308008000242402400608208010510012840000e08850010000602002002c02300100b00442a0000040004a00ac10c4061041030000011050000205001010a040000c1</t>
  </si>
  <si>
    <t>A35638_0083_000020091024804824281040840010004000020280004a440100640002340700048008c02802100000210002000812808948008500808000000708000040a10008048d40100802100000008002c1230001020010024a200002a0005830040050080a900002312108400c0a000510500240210a00140e00050208000210008440002900000140500110218c00100000140602218818002000108310000310410c40500008200500a08002008810500202010000a08000102808308250018000808410842000050800100008802840002440818840412400e0200004a510058448000148012302118202008800802208050a00100202500c40940008810008200400142108400200040800000b0024001240041a450040000800140400248450810500900012000418200440200300252810002840400842010608000a5221801224210014041004081ad0060080804841000021804200a81000a200102440100d0884010201084004000090084800010800001800044280014010020844054200030841040094840245260811050200020a802002040140100b00f08440500700000402c0</t>
  </si>
  <si>
    <t>A35638_0084_8008818910040212308008002200150c48208118500400210800f02050202818040000850400a10702000200e0090020800820260040060010010080a040000202040142802840050100700a0010010091000a418140042102008040208508008800052402040018b10012008c00640000400600002800110240200200008218000402240000042810900802810c40300008408042008500808002210210100840142a00002010000c4805040000820a100008210e08140200018400108050200802902250008008212042412500040002200202802850000040008000800a0040020011a25000060a452412440200140000808208400842340100000900800c0034a10005030000801040040031260000094004805000801011890840021000070030240830010a200152000902700a00440608852a4080040850000845201000a20000201000800a000408300112a0081001090000a040450200448602140c00100250400e0085011220201a41080000040a840048800200c00200218c10100040000a08242002802902a52612000010a1000010800a40281004800205200a05011000</t>
  </si>
  <si>
    <t>A35638_0085_8c08c40040200908600110908012400802040300a08a12000000442208400400018c4804050820a00201000065200010021a450200140002012e00002140110c5240204030000a058018800000010000002200118000018000040000100110558e0040280000000290820060a50000800201201040000000014880024021001205001220020004000804884840030020205060051280814240201031a800100448802240018448108a0020000020200800a00800000a440008258040318840202500502a00208100208240042608008000600810210010040200000108900a02040008800000400440802000a48250648408a08808100800200202800018000840000002400b00010000142008002000a00242c12100b0000a400400048a10c00402142410808500200400440902112100048240c4044030000081850060080010a050440010540012802008248000008008c0855040881200000041040010020814201801820a402500900148008300b4021841200211040a000e18a40500048200042a0040000204070020000090000200204024014004840824020a00030030814200</t>
  </si>
  <si>
    <t>A35638_0086_8042008100002112002000002400050800000158100052650c10608100040a00010810000100100002300808e02000802000008600e12008140408040300100142810c10000008550510500010000c00b40000210240a00040c0020051040004000080200801260001800020201040000830200044a000902542910400608002040010402002258800018040512200840400018900000100c02050102800110a02040002000008108148800400e00a00440208000e0041210200815a600102040040a0a000200018150002100840a10200800002a4a402808002208400a00000010940010342e00000410010908210400a18902002112648202200000040000812e00900210908610e1a040148000110108118000500002908412218900410000b0095034040084244a040042018018610200c08000008910102000208240152b00a02140500840840412802000102c00442608100800840000a00008640800040902418810608010850002200002d00142012c00b4080840030030021010000890200201010804a000048942052208008000050000348308000008a0200240011a50a21</t>
  </si>
  <si>
    <t>A35638_0087_0412440440902900340400110c40442800210010808458040000000218410000a02810000408200048700612400800c08850018810200c12002c0205024060000001000294834045821021020200004a050240808300800402a08010010400c00008002200808002010a4044284210000010a200410018400900a02408200000058d02300808210008110000c5040001a202810a40810500008918208808000600c00540100000a1090260084240020044011840024290000090a00011064064241080000230051080800a102800802050100f10818040002250602c00012600842000002000800900008800200108200400502002010202200458e00452010040608002400418000812500300812200e00400010102040800118500300202802f0800a218f08040400800a40108442a10840c4014080204240001820020a000002000042100002018400202900400c10842210010142050440000d00808000f0214835220040080205230001000010040a040040400010240100d10002150040942000700e1801041000020220a00880800091034004220080014800040010010030000</t>
  </si>
  <si>
    <t>A35638_0088_8140240400c00100040e0851024a002108000040218f18412400000810502100052200402240810000200810208c00040018340c08440602012540318440800050812800a0a00801ac00802008510008102010a00212010440048000400c08800040000902252108608000a00010000042102808802240000200800400a00410048840002000002018010440900100800400408240000402140142000800000200000a0aa12118000608208802240008218200e1085a810040212408900600208400002340200110408010002802240008008142210100048048110208018200802300100000808642810100240800650008200000100300002452610450040810802a08600410208410050302840112400808810400042212002a08400018100000800118200c10002512008002308410100000010100140152100800210812440000410600400018840508018058c0001281000020000024080001005000204890824210800844851010021020220005a802840902010642210000c4801050024210250090080040040295001000044060090084010000010001a01004204000000010</t>
  </si>
  <si>
    <t>A35638_0089_001000000064004001a118a1824000040020241040004044a040008010040a10400e40110040002248808600a42152c40112010110100800040042000200100140800c5210004840001030024280000881a000000d10000000140a02418000002012400000800040500400048400c02040512018a00600d00b0090210051024801285080a800000a0040000a100a40000000100002a02400408a0041211804a002440208040010700840600000800850000010840042452008008048f00118602850608200408400818600c4024200000241860001a050000100448c00800012100c48102000000040608040c0aa48200900018010000402010302210140240012d00a1840010090201080204810000a01805005040004805a000000140402902900a0060800040080241040a840308208800840410202110000b00000010500400050218610010008c00200100400000f02048440a00200010000800a1a10060094004800801044a000040040518008640418000202800010810c5280200004004821000020a04001010000224081020840000224201800a208140c1804240881010830</t>
  </si>
  <si>
    <t>A35638_0090_0000802442200848040100202c00042848048002c00100840902440b10040400248a50010c0031a100000012412c0044010805000065844011090811020080050200000020000030a80014084010000004231a000802050140a48040040800910200400900800218008448000000c00100000908210000450100a0800a100100608542c0000244a000008210100800812210200108208100400002148800002200100a08142250010402402900040002208000400802002d0201840200005021200200884200210080280010034014800060030004015000000020210840041a400002240248408148210c02000812002c10410000000242240308808248050100b02000608800010840902400002508800000602800000002100418212000950802000008500102400000440002050310c02042c00440200200800448c0040030000800040004860201010a310000210c0884051010804040aa08908c50002508040000000000a10400502302400808008848002040100000c08040010c50008118040900902200140e42100202510210048142508b00002008802412810c0801070010</t>
  </si>
  <si>
    <t>A35638_0091_0400002810b0810800a108240000412040800600308b00840102040102058400940008800808100448008808c1801030231200000020a810840140840440800402040102200110010500c0020045080814a40a410140002c00040010210800418048000c02a42200900800202000d02002248200010c02800000248442800040812102400000410100948040c12200008218200252040800000100308c10800800840440a08058000308810002248140508808340000402340a1250030000020000040000a502c0040000a100c02b1205001000024000014880030020884281a900602a4070221810a01010024004850000080024a51064011000241000840894200284a012218300810d00e00000402008202840050608002040800c1041000000034a150a0044260280090011850080040a002002400140458100012010110002040240b00208440102408a1200090080a00004054224041a01005860200054830070820805281800064084010260004004805200220841201884001840000080040071800004ac02400b02408000418000000802048002010008808c00440900200e0</t>
  </si>
  <si>
    <t>A35638_0092_825200a410008108408000900c00910800142002100240002c10840340200000a0240a800148208010818812002402208a00100008010400052200812100808a48640000048340442300412840800302100000c10212000c0070014a00a110010200100402008008600008642400600a1204800045a202910000008002510440c0211040a808100608a00402100800352010218242e4004280000020201081001040034024835830815200001090a000050500208200912200010200000500458102a08000602800002818400000000142e0091821050090201850280000000000280001244040011884a000600008200400300202040040950058800c0820041200280240201000a00001030a818010800810000000000148400000040a1a100c0a040702310840a00c00840010002008f1845010000a040000d1010004a042200002040a10310008902d00b42040c00000a02010040a0254820811005241244020a308000912208c00008108042010802640d0210001040280800020004014201a10280000220040010800004010014a800012008048340000500e0ac10a0a00020000</t>
  </si>
  <si>
    <t>A35638_0093_0840040912002200148000200008000400040400000508000142308a50110800300012842200810040600f0a002000048042050018e42808400108248002c0085001004200021070020084021815004005055240001060080240000064830000080a140d0210a002300a00002140800840240118100002550602808000310210442412200000108a0030225800010000011a000612602840400000218b0040804890024830a240510202c08440000010242008800000110c00012318000602840100200000048d08d12812800a00240208810310608502000040450110048248002a40a00400000308002802b0800000011801000005220021a010100f1084094010a04800281050000840000000a050308240210010c4225840010000040284080220001a608852048900808102010210400042810008008408800d02c0210034004240001041801a450002800110000008208d40100a1040001840004840000220024251000264a05000080001a800008800800002008002000248412900102000018408342040d0000015824051014080ad1000031001880864a00810014280230810</t>
  </si>
  <si>
    <t>A35638_0094_0340a10042208010310c00400412400108900042b0050a208040400100302318208002000800810610410000058010600b48400000808212c4244000801040060861000000890214080014804214004000a408408600040802400040010118010202540602202140000208240410c00852102000100640102048818618900800c0080204094800a910142210452400000000908b00248400040018400200002410112408340200a0880000880214090004221001060040020204021a80810020211010020a000008218000000000200502818000410900400910248100010412c00040200110a0890004005000200800a300102200110900142148218440c0840040a11024000020844244080a04040000001a000050902110000100242802840308000040600e1281890000804814a00001a058150442200000300252800040448000308100400a00c00000200012008410208c00c0210000841890a210112000a12000000058400502000002400a08202210442208050440000000840512800008040100e1080a912600250008910b08848000142040050a1030800004220201061020</t>
  </si>
  <si>
    <t>A35638_0095_0000450000000800400808608840d00008302700000200010100108842308010852250000d40100408400000a1001080000000221000061010040014201a008910440010700108000000010000d40902948042018450052000402208548000858c0a800540000002400000850800808b00748c08700e18040000a0a300000d40a1005000a008512100a02802400940048040200800600910000000700008b4040201020020004a51084060041040080810a21054220001200094000200000044000004a058610010100048400402a0000220000024044074834001821001ac0000270281000061004804a800042912000108440a08c12208250440518540012110148100000810200010040002100400000c00008102208200002a00408200000008202500300008c0800210805030200081080a54094880801000844a800d5210021030a010800010440402310412410a00408002b0000000a810418200002042a00008a00410200c00002000040500c40008900100042300c00a0205010040280011830810880000080a010418a1055040001040834000020030a24200084094011040</t>
  </si>
  <si>
    <t>A35638_0096_0518600802100140400110202840900200a00108000008052040700140012100408248802002040410008408250850500000048500108002142a02208000d00410400040408810012a08050400002100242010608200600010100040202000042012400800000018018240050050840808640200110800402100108050208642040450008110040408a00c10c0230005000091000a800902600040050a08058042000402300440500000812042402140700000a1260084050815824000080804010010280000a11004885800010081801a118008c5040020800201a000540202042a0000020220805080200004a012410600402c02800508008000600b08400410300150110200808400000002952150800002848802200a0820840020200294084230034851000001a00000014011210800a210410800300400c00b08408900308a1004a808002042c1200000040811811025200070215004080020860095000000a44810020000004240080000850801080201044a948040400200448042102000610200352600400200100010300b18200940a02012702008e1061840050805000090</t>
  </si>
  <si>
    <t>A35638_0097_0e40008800500a4211a418442000140348200410000002810810900040018800000418010208800540c0804000000020a00a24020000805080090011004820030240001040804a008010200408000040002302000500040d02a42200140400140840002800150640010800c12000142050048800252000000040800400810500202100000808340408450810100400800240200600052000000000200f0050020801030020a002000848000000000018108800012450010208108042200400648902a08000042008410210910102000210200048040c10048008218818900600110800a0021841064220a44290285010a30090200a000240008142000108042800140b00010910010418400400800100d10708c08040808a4221210080200811080800800070095a050000400840008a1011a01094020025800201001220280274030864000804085a00020221240811811000091040804804040001000204084a05001021000021a000200002140100042202910c48840010a00a18c10412d4001050010001840801020a80a04030001005051200081000040080041000010211200290</t>
  </si>
  <si>
    <t>A35638_0098_020081000000004800040850080000280280201000000a218140008100340c0814080040040801220091024004210054034011880064ac40810200840242108108000000b40102202010c00402002a4214801040094000811090005024a600a42000810800348000100b00018002040048102010212240102440010440000000802812800000108a08058002400040000408110002008040840300000e00050408010c0290040040000a802950848010208508448240c00900002112a00c0080015060200a64011011084000220090800040814000841220020000021800080800000210245ad0000061800064820061a00060081014000021a00000020004a140008000100410200018100c08010140d1820801a400808142100410948240000340210000010c12000000400a4a000000208002510600012210410008a00902a4091840210011a802540500848642218200240c40008808100900210008900000852408a10108840410400100350000018002002a0805051210845041000020080000000000021284200000240040000084000000204260090001a61001010080804a01</t>
  </si>
  <si>
    <t>A35638_0099_8502a52002a02052100c18108408100a00000408000300000002502a10642518110a40002002100008310a00800500e00800000000200448c10942808000808410208010000040040400440a1a91040000210011024a00004000024011010034000814024820030000080ac4090204000204a918a4a41a000200042540008a00408010a00b0800801000000a052102310208600002000412008a02540400210208800908902408408418250c42302110440000010a12000c0224224041840040a840a0880000020805004011244a242100208100800840400800548200000210010000240710000210400410a48040050e18208040c0010000a000418008018000000100400e0880884240000a24044030050205000000020021a41044041845204081864880030221204004000021080800001204064280a002100c1201045250a000300110040442000008000300810102212010840308010000000440500000902612000c10202002008140200000512800802200040402400a0201001020010014090000a810002848210000000408058500800a00108a0880200040004000a00080</t>
  </si>
  <si>
    <t>A35638_0100_0150400150808008218008210612d12440110000300248000100200208010210102012802c00202040010042a4210210a910240a10a00648d00a00002610018500050c0240021040221080821200240001801010001805040020a04200240820061a800100a08508a0021084004044024061010064240001020020000841040a050002400850002400340400010b00800610c10050212802c0020000201824885200220800240021800020291000a05204a11050a000400008050300918050208c02040208000110802448140802002442200152400000840200240000040a1044000800004080030201881040800020020881001205214010250080000a04a010000802008d0055004041270024a510000040040050002100010400108c0010000810a200310410402840808100140118208200040100008512000500a40102442102200600200002002000300000800100a40150002000100910410812040802008012700400408100040002410e1860080a000540a18042e0880280001080010021830000a212540840808140000040a40c00940100002418100040540e08050200c1</t>
  </si>
  <si>
    <t>A35638_0101_000824001044a21041000010001840260090a110000002002800800002400700000848102c4000a048800050c00810602212048410000240842848000100110802200840802008008008c48210402a00800702000410a4240044000030200034804015014001041060821005200020a148008d00010a00840600340400800800210c00a0221800281011040a850240802240000100218000240108110810402802440808800012000802202800c0811200a608002202900c00808000200542c5000000800a200000740418002200010000500a10000112040850002408612858402208048240100812042000002b0210800081aa00440742800040000400000400900000210408400200050a4804a04851000041204080081021010040000050000034000010044a00081260885044a208450a0240244000a202808a0080200080000220000800024085004001061a100e40408042800148008000848c0244000a01014001020000004004820800a208040002900b40200100700050018040400148402108140000810802112302a00040408900102a0220080030004004040a21221041</t>
  </si>
  <si>
    <t>A35638_0102_8400212100040900048008c4260040000081221050884084044220000800851840080a402202018208310102242452048118010510300000c40b0034055a000248a08050800110400a00100012012000342302018810000100c00002102c00c0044051000800041091040000005060204001000011840091214020260080081080040280080a000800300048002000b52010010a0040004210080800a008002e0841200201a05871020221000040091a258008408610802800908410000552008000200100200000d42018950802202100610018048000040a00402c00502418012302240400300000800410508100618908010800110102902400000818000440840a0005010001040295080290800a100050a1240014080050a010408440c00c0020825a400018c02450202102158800900800800000312410408640808000c0a000200400a48408002540010010e0050804011024a80021210810044000000020200200040244800280000024071061080011004a34200a218000008142d00000302a1024804801200880a002010102040000b40a10008400210a00c0284080040800</t>
  </si>
  <si>
    <t>A35638_0103_0400a10410002040400410010808000e0a14821041001240000240a91270031080021800000a840652800400800000b40000118000002412510040800002008800e0005000081000820064801000050085010080000a01a00004010a05010041a040002340048000408250210d50000202018800a00042100208100240000210410800400202110018602000042400050100108100048052142850100600000050802c08000100210d00040102808840300e00018400402000200240200100002102100200402808810058400040818000410c1884884000a00011a808408212400342000018000918048000a40348010810400208140a00000300410010210800c0a31240030000884800004a20a50a208540c00902300a02048310550e4011204200a00281001084200200200800040080001011080a110000300840000402000010042600a00a4004004000201080061040005210010840090051884a102400340118518002400450a40a00012410800002040802340400e18e00610100042808100410840050802a40808048010700008440048008000008f00840c40a0080840800</t>
  </si>
  <si>
    <t>A35638_0104_840a400110300840240018200000c0000211200000080060010084820041040024220085224001864000004021010084201004050831000000040010020011081a40000244820041890060801014050200214000885020000220024000a21024045000240a15841290011020ac40208808010208210812800402008400a0010a010c4070a80205810080a208000a48102000c00152040002a0001a618400800208840802318100000410c0a400b0214820080800000a500002210410000708a42810008050542a0041a00010090800065220001020800064000a200000008000040a4004220a010c1205000020085820010800a002000340200402c00300000102900900102010050e52000100000208200442008800640040058008702208800200352000b10208402040000040600200200c0200030824060010040200000000830234021010825001020881814021090084001034021240020800ac5a00030a100440008040008012042b48000400008018000700810300008118442112500a12050e00400008d42002008008108a1201204010a81020210804804000000211020a21</t>
  </si>
  <si>
    <t>A35638_0105_8840a4881020004021050094024080094004000a010008602050008040000100b10c0214010a010000200c00802840408200248600852408802302342110410818018400408000402808558040510802312500000b52000c0224011a002800900c00c0000800001821040020200200280001220000061001000820265040800084080030014a01281070024010000011a340c0810800800204000a618400a58010402000010102c00018a5204204830800020011001010054810004041021a000040602102108208240000540c4a24020000081200045004091000820004a008150c00800402500800218010d00000212400010040100040140052100848410000008802040100818e00c02040842050408d4205001060a14800001080801844054004010201011001800000a210140a00610600400b0280810090820aa5091004800a402c0820041000064805000021084a20000000210020a010848218100500050010000c1a00080034884251001091881045200880020011801804244210a812402200800410842800a48500100350000000400852102700012800c00a4094201861</t>
  </si>
  <si>
    <t>A35638_0106_8002010150d00008200300210000840408000050100100a02400840118010400408248010500142308000a02c08850502a00018818042242000800108308800050040002200842102c0060044081090814024a40025040044000090800830800044004060200801010020084014080021020a00014800091210211010000014004281000224a70000804060014050805a318210010208800c4005041a300402040800000802002300c08002800600008042b00800800100700940200a1040804200004800061001080a04a540000048300200808440000402200112000808c40000602000052a10108c48000000800500a00140802040208040402008d10c0215080a002040800252010102000000210b08540e00012508810140c00402600400a00008110308140400000042100000c1010000090010090200840050044a040200050208c10200a1000040010000801091a80880000004001a01040200810004080021050830084001020000800a81861060a840448800102010408600000800842100010800e42000200010112218c00202c02040100500300440208102d0085210021</t>
  </si>
  <si>
    <t>A35638_0107_0400e0a80200210004020021804810210a800300308010018002040802000010808000100448042200800208648000940a00500400110000012002102400810010008c1034220a002100008000540408200410c1824005a04034205010a000918a0200220000a108200412408102e42040252c00310002800042208608100a0a00085000a81040091000000201000a000102000208000040000148112018612440000100902008100010840100200010410100012a0000070080021280805821a04210094020860050001000050821a202410008c10100208b08208108310018100548040002208b0804050220020200821834a00244000005824001800080040240884a508700300808040100b48000810042000000200000640008250002112802018542c0800081851000020220ad00450008010802a00618800c08000150002008100b08048010000200248018000308200400e48042452900058402c42b48300610000508800800900050500200a18800012000a52158000c10a00802448000040008640a00c00200210258408802040900802058400110510400800f4800021040</t>
  </si>
  <si>
    <t>A35638_0108_8c40208100900002502a00f08000000240a00400d18002842002500042048808800602010008102010f1004800055210235a01a000800010d02902900100808010402450002210040a00400248942b0090254000814aa10000b0021a040000018000100240000150100410208800c4235005080020205201280080010080054240a81080021001200004a440510040002002000102442002000948202008040c40900002040658308210008400500140700508102242000502302008810318200100040202400800352c12400102b0000030000000a40284804a148010240800000200a50018400210002852148840202d00242210802800800040410802000010100808442000342810440842048152600c0044004014835040030000a000c12000010500018048450050300010450700410208040c02a00000200000a00442200000410c00a0220044020000a252000940800140000a10002410608408402808a12008200640042102300048448400100602112108000018810110648000c4000a040418908a48100008000000400a40402402c0200014030081084000204084844040</t>
  </si>
  <si>
    <t>A35638_0109_001841004220000000280014080001204081020800024025a40020a000340c1040281084090020001200845800800004001001080000a002042808000402810418210800900302542008200000500400000600508340000910940800210010300002000608100708410a0020a01010a000100100702a00000200100402c00450848002a42000210408010000c40000040140c08a00802100f0084204200000a00811080204021a20080001a90044000041841000240091280800800a100000a4254000001a012400040240100b08010048008900040000500200142100000e4844204a110010000400408002408200540a0850044880080201a20860080aa00412048110200d00042002000800918300418818408d4040024070211880280091004804060a01001a052400908000200808518040402a0085011200040000084080011800241030000055010000044a610000a02400300b4a01030021805044040a200042018540040010000010018400d02000910842148500100800218c00c0020a048410810018002448050400208100840140840008150910410c1081000804064000</t>
  </si>
  <si>
    <t>A35638_0110_0252402102100842000c00400608000142100212318410012800702200000c1001a41000024a100000500108848500040000040408410058040640218108a0084020011080005860a010000c00040008850042000800040000000010100000a0880a100c4021a400010050c12010040000240000c00408040a00018512b00310808502208000042210440402150200210002e18818c5004040010804820000080804004091050020810005004060200234000004004a90200020004200821080044000a800040210612600900400a02012010048040802c08800100000852412102208a4231021044824810010005050200045860a002a00048618000c00c10002100818440000b12242440100210040e1041280010010005000200805a40000050280a000908c4204a50044000040040084200090020201a308008040040c4080001200040000021284230200001091040a800510d0000041011800060200280800a040e00100808002842000400508608810050402340208800240400400740040108000c1220040210884800060850024011020001220890870280890004020010010</t>
  </si>
  <si>
    <t>A35638_0111_0000800010200208108010400058102000a00108610900000110c00858212118008802802740808240008040810440842848052308d0004050020881061070060800881000814824a000942c02000400210000c00200648940008010240000010610412000008040000048a0281080001264250000240800000820000200024a058910400000400418800000040800002102408110800000a0090801200820201040240881014000804024804000a908400300710000000e0200000090084004001000021a002310c00040800a4894220021840020200004031020860890080081004034230290000040881064021035890020220a500000050512c08c0ac12000608000208a00100410010000142608a1041a04040000000a010e00008840c50002040400000448010902108908148400000600c4230210245a91010040084070225a05000030001084030020801010040020a000408110008400040008010e4294a100518208402140848200202800502402000c0a04014860801a80241004094231000060840040064000830260020880280080224205801844044005080220010291</t>
  </si>
  <si>
    <t>A35638_0112_081284200200001a51881030a01054060801064a010100002100e02800040200518000942400018000800452412c00008a0830021081a602000100910010100400258802040002000408840842812400102110100b1880800010804065010084820880010a140010210102010902000a4824061030800000200000001820001220814020aa42018618142a0804000001200800885021840080021a41a81001080a50080080a200800000450c0200a000100800840052102208848110008008800d10948000002a08202608002240840000000c40000812142802608000452008c4220200800250011880000000800a100200a0a010400008202000200012840010002900110000c40040440a02008040000040a00500900b0221800025005044240030220a818008e08110002000408a0004024000244014811831820040254090004801000881000200204010a008600250802002808308440708040058c40008000040100118008400a00140358200202000900a00202050c0091284004060001a402000142c0804010081030051860001201050010031050010220210044001040200</t>
  </si>
  <si>
    <t>A35638_0113_8040200000040040408000908040102808008050910248440000800100050000258002410700040408510048200002742802000000600c10002842000618c00640812002100a00010500102208812408200248d08c42018840200900040018012012812400a4040840010840805084000260260000204200010800a24020854000011010001a41201020804090034a24204001080801014010a008200f08100802c4200034a112010910440900000240508600750448412400000000800642012002000040158008e0001090000021004a100a1a010010000010500100940018012002000000a00008400000100042402000a40c4810240010005020004840200080020025a608050808812300a5050001800800045030000800a10010801004004290005841075801094220280044090064081015060221040801021280850020805014031000200000084a110000a10208602800802a0034041080a400000400000310308c1004045020a00020080840000004024004000240040004000280014020051001064a000240800000e0050a000c00c0020820021041041041240280221810</t>
  </si>
  <si>
    <t>A35638_0114_004001041020821044080051080290030090a11a810800200802800002008000000848110a0200014a208010252110200800100b0040824a14010200a410410c48208050b08008600600812000042200300400108800008052600210100500102440842400152500600202e18040000b00218400500000000400100200800300010000d40802310d00048400040d00800212608108410102908010400100852240000500042142000c10248052308040100c10a1020880220094805001080a800450800140040210240418850000050008800902c0094030014a30081001000a442600000100300800800802040050008800400c0a100808000302418018048510140102002000c00200900108202240108100202000e08900412808658410040002050000100910640040008042452710842c40c10802808300508050442c00440050148510008a00002808810702c00140002000142100200a0814801840200801800010821220090054080a008410e00002842008000410100c0a000100402000508a1810a00240094000000001004024001204080034000000024a01034081a21031</t>
  </si>
  <si>
    <t>A35638_0115_040004a040000140442010000e42000202a10448100100040540300002310408000c4a800c0000a010300300a00000c00008510400d0281881020821805a20084845000200095000251000a408002008808448008d12010802048140448110052812000108102040018d40000452002808002600b40400810f0004010ac00010600040100200008010200210d0010014240801824a84081250200211010831224a000800010250c00700410900200018008110440012810148242400010002408000400008008200900c10c0020014010000040025201000891814020881084005200a010040000418450500700040602508048200850302040010810400010d40800840518000008218510e00a0004800000020a440800048148000c00800100002218002008012008050402002102c00b00440002000a1875081004a00040084000870000084000801000214024210080000280080021a000500a10000002208810040b0014005800010a10010201081aa00540202000110008500008842400312000200058008400a02142010000150a0a040048002200400440200c4000225041210</t>
  </si>
  <si>
    <t>A35638_0116_0000642002008000202010002800800a0804800a000802418000202802400200848000152908012408300300c10002000048008a08a10202800240100402100102400140400900042008002010110100802110a00000010050800000050c18400010500a02200110400440018402048800102900048a1200020000a450008010800c0254024201201041005200010a040010000410a0240030080000010090244a010402300500800242a08400402248008100b00010c40240010008400608202102800a08140500b00a42112000340140500112002800a08340000500008250050448000118810502012850402002102408400000010600808410900842410100240010412b0000004804000280240a210150400140608000040000348400810102000010e00b00c40c0040820040040030a448500140210300100c08002400042000408000440202810200212000110410250010508100000b08000840800708810210618842600400c48102052018840040100800940000200248248c0010234205211080204281000210824a70020004840040200040a210400010002a0225a04240</t>
  </si>
  <si>
    <t>A35638_0117_0100e0010020000a210a0000200081284234814841090201814040210a040b00a08200002400100008100b0045a040808000552800008402010640102140218408008142448100252110c50c00540048248218608152000000900818100818a4801001254200240880081204014000a80a200400710240400640908100808a00a5000200001051010814200040040290200090040024a100402040500b00600000042048a10108100450000000b00340140b08800800000a00842302800008c0811030031264060830041200000224004090081040241000010841081040201804004291031840810244040010000a05000080020a50280a00824a90045021800070211014830800845001090800040221080244210250085021080051080000204884864800010a80210040010205040014820a040100000612000100848000b0800074291821020084200001a40050061044004000a00030a00021000000090010000060091800a81000021000201084060044004000220a900a48408000000000400700048440140e40008450b10002210012300002508308a02000040f0000000220</t>
  </si>
  <si>
    <t>A35638_0118_8400a0a002800910410010148000500008a08100600300c1a002102240402800000448040008908010e00608c40810640912400100b1000015240034020000881061000024004010a41005024040040010001201030224081034800810a808900040100800a00412108110a0000084205050021880040004290005824a00881800a91000000820a80085000001260000a150000a0a040040c0a01a240c00200000050202100308d08000250c1080020221080830080a140048042008818008018100140302400b10042a0a010200202040d0814a000100d00800508008410000102140900050818010242842808b00210410148858c00c02a00000110b00400800400a02150000000200c0000000a04a20820080001084280200840050020004000220040a00020200844094031810060041240044280201010071800004a00034884850821801a400110e0800210210020000050090a002650000800002c00240000400000910018050608050448100000c0805220011a44821050000080240aa0801000870061005040001010050091004045000a00024a11880261040000080031800</t>
  </si>
  <si>
    <t>A35638_0119_0002050542100a00012000202a02800302210000008808a50910800a0a140010518040450040000400600810800010902140002400e5a048100200140502408050800040002800018c00218040902d0804020800001861285280210820020031001800020000845080884220284030021830220020200001080a800002108400610900040008408d00000802800100b00400800040c0204280a100000b0080840810234220244010010a402412600b5014a10880ac02000240240410010818e00000c40000300a10102802d0240280200020864825045280205a002118300010540742000000900440042040000100108018000402102200010002400808800902000808310110e40008110402000000500400008952000800408400408800040a00048200200318050440040b58010200510248800440b0840040005801a01020000001000801a01014080800220800844001004020205200aa1040804050000030020ac18902210000148a00208208500802000300800102800048002402e08050142308910848100308000000400842000910400250000810002c48c5040025204800</t>
  </si>
  <si>
    <t>A35638_0120_0400010002c0021831240010884094020290a400e0061200880004000800a50020240800000200224890004800215040a002208e08000042142102240200000910450c1284004021800011865000200801220220850824010014021241800001040001040000060051880244004030284814a000510010900c0a040100000100000100000100008500840200002e00208448900450000000002248100c00a12418410400210008c18b40c4a04000881020001000081040040014004080011284a540100908010008600000410048018600100118c1201220810824020014044804000a100408800e12000c02000000000000450c00d0254280004820000200a80220000825010060041204010801a01090000a618040008040018900800440850002848000d10c00c5210214084820200040001210220005021090864004204000080204810880001a410700010008a0830220801210024a40841020a400040000102018800610a12142400110000008048042500608002518108140400c00000008048510000240100040002100600502850900500010212200508012010408208042a0</t>
  </si>
  <si>
    <t>A35638_0121_0110c1200084080a040c00000040802100150402018250848100508800442600840200000108340010800802800402b0001201200060a610002202b0055010831a00841084a210608000600008000800940048210c40410142800040202000400800150302010052200840200010848100208008a0821204080010a050410018c00400248008010600018000040008910200b1010200880210010240031050081810094000051881000004801010000a348808042208842242300000010550000850400150000008200052100902010408c00040a40802002000400810810840812008a4200800805aa00100200118100400a00c00402800150050208008048400402800102a0000040200064a040400400700a0844204a21a41200800800a852100300240c0064001a80260025041050801200055000800200200080a200950042202310a0080000884214880800040004024010000020a012008000618142408852140000550a02440000812410410600800400808810000910002a00000002108440a0020841094040214800ae00018a12042b4021010000801881a00004220001050</t>
  </si>
  <si>
    <t>A35638_0122_0902000800448802300808000002010000200602608000c00000702802202010000000c00a00108510008800200050000840402d00208000440a00a0240a618018800400e00340000808200402010208010000100000200002800100202400600e4801004010850880000000a040c0221201a90081060a040000340100008218210442100802212200402e02010540058202300500000800740802040010002a00040702800102d18008000100940300400018540400410800850202018248842012400808008500110000100000040000208600810852100808110000410040842040052118418000412000002218148000248040900040142700510000010040c42200002700400800900000040012000208212100008000640208c00008040800200210318c4040a100f02000148c0001801000230290a010a0090a018002402800448c00202c08000040110200800050012000048052040100150e02000202000240418840000c1240010201020800200800080020060001044845000080084060a110800c10400e40008540800d4004050000021200230081800a04010031074011</t>
  </si>
  <si>
    <t>A35638_0123_000001005040a802040a00202448000040102102200040a08410040110610200240008810c02000400000210a08410408908050008418442142102802400000048212000b08010202600502242102c4890204810814000811004000a400800640040002000848040110810c02002600208208300012c0a000042802112400400010402208000340600208410050600810400808c0285a400c0020810200014080014024020a000210000208c02d4001040a110048848010748002208400008200800a4820000000011ae4001220805044241014804a45094201204821030004001060815820820090060a040500840440600010c1084080801051260025020a152100300110000908058400608110002008000010110400040140010a00608000502900010700902a00100c00242418a00000000100848940540010000000052002000012f0025020a40090211a00a218600400450208800500408000000c00700108008a00212c48800802200040410548400402000810348800658a0204000201014010800000284080030811080020841001044801000201004800280084804230000</t>
  </si>
  <si>
    <t>A35638_0124_841a84000090080000001041080801094000040020020004001000804004a500a00052802300800008908110a00802300218410310002440900908a40240018010a00c50942100108000410012012800018108410042812c00108a18012810040402452440200010600408018800a40800010100000400400748300400900a50010000408000640010810a02400842908640000800000010a02100002010018400440000002402800100800802040010610200700a00000002102010300b0a24004280a240000000a40800440708942200f0045004251280221030840004ac08000c4201044a200110a02000100300008000410800452108052000200908e08110000048000008110c1880200220004280021240800004800a042600008208402300040500800112408d4080080010850000824210084a008012810340a08000100018102308c0241005050204001a000b00042800042018008008102e02002000000010118000a5a052400050112200010208800940100000400c00010802002808240010a1044000004091a10a000608800900048000008600600a12400140a0064850</t>
  </si>
  <si>
    <t>A35638_0125_8058008910842108000c0825021800080aa4001a40081244201210a100400800200002900a00848100b10c0041280280020a048000010400002a0a000112400110000000808b0040071000081a550008118400000102a08810100040000000700848102a40200100008118c40c0000001240800065a048800008312440d00c40202010040b40350c08008208040440240208000e00040850242018102110900200002f00008450108508018000000802400b00c0880081000084a602010118808142e0201000050000284800020001205830040064800240884220040000200200290200800880030281285004000261001011200241040890a14801021004014004284031ad0080a04200000000a14a408010000400040100008010100450502942100110c18300208010000010640018440842040c0a00804880884040085030880a000110402800900a0080a142000400400500202000200000840000512800140748400400012810a0000830a208818202400048a40710a00002000000308800108000d08c0090054010045000020820841024004a402e0800804244010004241000</t>
  </si>
  <si>
    <t>A35638_0126_8c02000d0200230004880091201a04010800a400b1000840840000a110508008100850402c0020204820000000010084014210000801001a000402118200a10202208000500110008000f0240001004a200212400052050502b08148240018e1a20840010080030030051000a100300250240000048808050102a0024040015800a000542800412210b0000080060814204840000a042012300a08408a0000080810004001010a00024001000080aa4034a708002000950000110000100b00c0201200a800750810548c00c0000800a410010c1021205214200801020040800800204230004031030284041200021010001890845080210830000a800610848140508048010200042040500a00b00300800a08040d00a42110300508012810100042302012400440040000040102400110900040100100812302000450040110000808112800602048000440000100900000200c5200094005270005001205210824854830805040080020890001040081a600000100002002010002400150c00000400000008810100a0834225a000000818840402012000000242618000502900600c1</t>
  </si>
  <si>
    <t>A35638_0127_8240408140c42000000400000650000408802002008002200100d00002002410940242142140140010108040412900000240008200a0001884200a818040810100008402448248012c08002212542202200000d08902800800200342602000a00410900200002248310002000500108800218000000042852400012408e0085240000004010040090034a448000842010200200118202402340008458300042800050108040348600210448c5200000011020090224080044015204040004880004014010a640d0090880200200224800050814201a04004a118110000a00042000008842400e08b42810800800210242110440250510608a0a10210000020015284010200001850004885284025a400408810408150200a0800a00024081880244200a51081020240084060001220801001200214094090000050800281240040011a350000400208000400858050310848202010400150018b00442208002800a08400000810440010040202200a08440400000308002410100410440540b4020000840000885290260000020800821a210800300800058100300018100602300608c0</t>
  </si>
  <si>
    <t>A35638_0128_8100a02000940a00000000310200042c0021051240840080011050800010051804000000040030250061004a400842142a00002800d0820000200020860230030004840280084a400410008000500000218042210e0004a91210800010000880a840000300940000100000050042200b10110018002448950542002400c00318a50110000200608010640002500f08000000000000000500400050000000800408802248042200a08000840802240000640910d40002102042058000100000c0801000a20005210001800214010001004200821221081040000000a800218400000c48000058608442000510800100110200010042840a40140202800600210850008140342810200012d00d00002010008400e4214040024a45820040a800000b00a4805000880240010200a848042c08410600810040000008000002c0054000801800240000860a400100100500100818818000202010610200100008500000a10148b00850800152042012210118c1060a000440840040110400008440540000402608840208050040a0a402010948002002e48000008108510450400808908012b0</t>
  </si>
  <si>
    <t>A35638_0129_0540840002b0200a000008008040050d0a100100a0080240a00200880210000040a21010080200014801041a80080020020024080865200000000025071290031200050030810024ac1040a002800108940018c0004000000060aa4864a21080200080000024250801091000040034200004000821864840000200021060054000090040a00000ab0801020244010021041a000c08008040000942200200340802902200000048800408200500c0220a410000a12000800000108208d0080045a04080205040000070a202140240200340910102800010008000040800040410000400940240410000848040000042400208740040002400a00202018010a0000070281001000020801840204881005200041a000502c0281044000880a24a450c48150000100d0020a110602000000110a00008040408002118000a08808810a48208000500848e02d00a0014004030080045204010000000041085004015280080024041084801050030800050831084000204020035200a41001020014004004a20a008010248c5010090201000805021204000a24a102800b4060000080001210230</t>
  </si>
  <si>
    <t>A35638_0130_805200850200800001081080081001020024224801814805000200004861210001a402000000000710900850202902200008040700000802440008808108008042012850402350450800612e40440600008208e00040008540542808310400000040812008000050100a0021a010602300010510058048102842042412a0814060004010820000840810800240014004814881005221010224890240010030880080090034801001040200201010201844a400308400850202240052410400010940000118002810150c12100402100218400c4004800000020010a01880020051034285a200800040200002040210002400100040842342200010c00000040102c08042000a1060a200000e0080a00221800040a40020200221a010840002400c08b00540300200642050008800500800c00c08400508350400e0011241291034021220030841225a052600008348008000410810402042000000e18408110802800002808848800002000008002008042600400100000300900248202000b0081804040000060810030821201011061201004280004020821014080a04004a80000801</t>
  </si>
  <si>
    <t>A35638_0131_0e10a00500600b40550008702008c00440810300000450000400400010648400a02012540108808010b00002600440000212400200448040040900802102500c02050000a08100140210808208040100100000008150240c02b08312010110158002450e00310440900000c10000400842000900010c0054000880004a600310a00002400902048c00140840900200210148108600812400c48852058100002200040c00110308008a08018110302a00700b0000004000000034200820835040a012a4090034200840000000034094800051801200804260000000a61085a200002000800540d10012c0010280a818402a0864801800090220005020000020250000000800a01041220201044080214860804204000000000200010054080214000a84020a80014a810002400340458008710c0000080a00031050870840050024094000040085081800020080010000884004204044830a148b10000a40102140a02100210602408812a4090810090024020050244031001210064080084014021201021024001054210000000a500c4040090060000231840081061240204000815081</t>
  </si>
  <si>
    <t>A35638_0132_030820a010102040700a10208600012148000002008002050000800158000210010802c5020024800060090205004010884221820000805051000200220030094080041080011220a81085020040080034800a008252012800d00800018008208a1890230800240280040800211220080071a000800400000900900100808e40c40d00000840440108400010050000048242600800000400140108142200408018142042200200c10518a42110000818108308040840010a40202640000410e1a11050a04220000004821085004001010001870005004260004a10050884225280200000a658100200e0844060205041000040880080200200801000004080a940402810140408010010800200050058110900200d4010834a048600210800052a4000820060060081200200025a14290001040005000820230020800a000902040200700b18a42040040400a4040061800a010102400008202810840010500200010202108108802000a42202018600300850040802900140900810010410000000400400108800c40002000210000012242012c00a10400008e08210002402102402c0</t>
  </si>
  <si>
    <t>A35638_0133_0342000440900140050908000008940002940210010c0261081064000000040084081200224030020810025080a540808000612010010a40050802000012008102040050100208208c00210800812140000400900118c40400202100500a00140400c40a0001824830001084a840002110252d10500000500640050010218c0260800040ab00300800d40018000608008500e00042000800100302240200400a0001004081a000400708008940208a12210300000800450500208040c00002800440142108100200d00210802a0885014201005004a40080210a40020010020800244a042002008c00212400602010118400650408510000000318100402000900a40040640800002802010c08b02248000d58010000402008050d00308840150240808602400208448000608000200600b0280000210034011210001820814080800224881010a25001200081031080001a00000200030a10a000150c1800024ab10202d00418040800900202000000002a50102100248050218158002010240040048a0020004211040a14000080020044200014005201010014200285050204000020</t>
  </si>
  <si>
    <t>A35638_0134_0008608840340b0a500000608408800500140500008010840000202800110e0040021814000000a400000510800050240000208810a0020810014820010841020000a14020000240a11001040240014000a44880074080005000a818542008700a0814010811a240000b4081840200011800001800a04005044880000001001001044004230044060000ac00810000a0005000820204041240004860240860000004080220010a30061260211014094040aa0000a00204290004810220005020041000000a00090001205a110c08008002200048042400802810000200900c1080000005010040890080000040801a01800090004090000000a008210008c18010942208018900102012402e00000002008142210100100810110508c1004080204000060230030084000200a842050518048050000a48008150308d0284a000600110412808b08040c0080a10044011820040a012a02208000c00100a08c0234084040a01000004094260804045a00001240090020001221010835004000020a000000018340008000800208018c10212008c0000201051a100800000040b40050012a0</t>
  </si>
  <si>
    <t>A35638_0135_090045000210080200a218042050150202140010f0000020200020000000020851a800812c00a00002400842008400040a08012400118240040208012208818240c4a400402000148008102042502c0224025850020020044044891800000044004050044201030040004225a150800858540000110802c00000308502800040602042042000602d08810002042100808400118000400940a0000044800000220201010010a000b0010a80084074204030a000200008442140000310000000200502e42010000000040e0804050a15001201085841201080001200a700e02000010202040208110800202010e4020014090044a40a040008010750110a10608800000040408500c50002100900100140310000810042108050000800100000100340a10000e0844200a50070000a410800002a02010002348500408840410c10702040210100a18410c52448a0001810004000a80014a040142000800c4081000000a008018308400010740942002b10010c08800040300600410200840002108000400100818018840400308408300010610502102a0020000041221004054011004840</t>
  </si>
  <si>
    <t>A35638_0136_0248812800000100300008240002010d40140140400800040440402900500400800600040c00802400008842002900540200000210158440002a4010a050b00808800010102802042210250008850c0804010220814041800004000a140a00e02200400800100140010708810010540208010e08010218110242250040800902a0044034004000010860004880050080021010800a242150000a4821a800508000d0024094a61200884241044040a002240900900408402002800600100000440c00000340000200310240800002a02440010008200000d08000100410200c4a500042812010400002840402808002052110040210000500158100b08202010812102100312108800240812200810740100802000000048040118018842208410040100042200c1000011020024000a000908048500100208448c00010200010508010412300008010040d02802540008250050840400010208008648800050000042300900f02800000040910040110600200002000b00100700000002840a00200040100c00400410800202010018910002000640142040e18000008040a4001200a01</t>
  </si>
  <si>
    <t>A35638_0137_0e1040a41020014000890004000ac00040a4801881060220040000aa00410010048e0885010210200000030880804040011a112000500010840302040310008850202000800000000800440000810e0000a11000004a402010008002450800e12000012202000000400818000410102008010010c1a010002608b0010231030244800074080250001081804000030aa0010021040801a000102a02400c00040200c12000000418800012000850000100212f1860060a140000040500a1024200001280080244060844240210284000015801080200a102040018300a00140a42c40100212000600110c1204020200000800014000081214800a550000600050442108002102400002812100040100200a0080084810020020020251851000210020084201a40840005080080a040210508000c10112042810040400150242c0004834a542100208202040402052402010100a4204080a942010010012400400200150600400200000842002800100c10100c1044054224040880011a040910000a0844010011801000000001800a81884081011080830011a800008200100c4090000800</t>
  </si>
  <si>
    <t>A35638_0138_0540808002540a5020000000a010412f00248050800142a00000108100400100400c0040010a81041001844084044020a000200018802002c00002010158110c00418d00602210100810600250002800808540000b0021240204800020a800842200410040110140a0800000005004030030880040001a810c00042610608808050400300000710908840048500200102400010118200c0094014044240800000004090000060080020801a00224000010020041a20004260824a210610300408442300012010200010848802800340640100400210110142a48048010c0040001084a01020080000a008800108208302008802c10c02140a4240ab0074081a102100010402818858642400302200600100912000940c0090000241031800000220884205050081a00880084280220a000008800800440a00000000310000000000200418510e12000000048040218600a00012400802200608000c00e08012902210012000100202002c40108550800412210010300000040110208808002048100048200a1ac08802500000042910002000050008008100800010208440c0210000820</t>
  </si>
  <si>
    <t>A35638_0139_040a21011074200211000005a01084200200000ac00400a18440100200102100200240110c0080000210054820081240001a202610842810400000000500810108c0005210004a51090094800280224010000210004a008450300040600e00908052c10308248100010818008000940a42752208440a08100800900448000400200400000208412018310000850848000050800800618000002a1000000820000210064821000a818858000002000048200100940200100842112202c1824084090200201820041030084004250020010280020240000014810054a400e08808c42800012500200418e10c00600818300100000008800602240210500a40002010a0000004870000200000000281030a01814801885080004240801890280001040880a408a00418010040e48800010000448000800300000000108940402800100110000d0800220840004a14200021020ac0000084824821040010a81204284000041020890884001004030005200881001a00060801000281820004000290004241ac00400600050100200048e08100840100a4000250201881800801034085214200</t>
  </si>
  <si>
    <t>A35638_0140_0110408c42348000042118440012000000a0010001011061244010000840820010080804014801034801860081281060211a508b00140002800042110600110202402010208350212a0060040200284001030250820200800050001a00080050000001240024204000000845010010004001200000800a900100200000200a0a01041020a910440000240202450400a0200021020044050024021a050a00200400440000010040400008008000c00002210410140818800800000040400a4805a50000021241a00064801a040b00008240208d02250400000000240808200e40100008008442008100000040302b50258608602c40000e0204844020001001005040000850820080844004024225a012000100000800900a1224000821884ac02600000100008a40000010002050102200850000102842110202200e0005a000e00248408c18040000000908900010a00048402412200008540000800602500100300400008310042c4010010810200004240881204811214820000800010014080a050810102050810240002700c00118048450040100048010802008100a0221a250c0</t>
  </si>
  <si>
    <t>A35638_0141_8008000802408202500818048242000d0200071a000410600d00100908008b00a00600002802000000108540440c00102a00018200108008000008000340300a10800c42208010002500e0060014250801040001840005880030210200040800a800100000340018018002a00850900200100a0880a00850200a30020240024a24a000840008002600010c5010080000005211824885054040a012050400300000040102900000000910452810c08a00640008008a5a002000348102c00b12610002400150408000400400940100810010908212800002648210240c08000c1004030890011800084a058400802042102210048040050a0205810081000000051040024210001801200810290a90a010700640408c02308000412200812802800900208000308210842010002040110500202600000c42002550a00048600500802008050600008800000c4010040280801040a55080a312010010400202450500a00000500002410042002810040608848052000008940218000558048040042848202e0840820041200210a018000242012400400a0000041010804040210801041001</t>
  </si>
  <si>
    <t>A35638_0142_0c00240940000002500410050200010042010118100a40a0a110a00058400d00400002040440848048610402208000940110300e0830800a800a00000310018808600010008200000900e48400100108102540d1860080804014004840a018802010102e0084020001004004800050020001040001040840080010201020021884080054000000820060000091200a200402000d42000440742140308808000000000048a00408500902812802140000752800002200810708240300108200a42150100010000800e10400000048850408518c50008002a0030020280024020a04064220a402d0011204004010200a202000052250010800008200000b50a52400200000642000040408840c0204800020001a210842102800000300408008910548002148110100a00000a0880204080080085010040080a50060080060081204a35040a608102042140008200042118200850400040918000300818c08000848b02040808012a1014090000820890855801a000a0004a110000c1000880000aa40008410a02240c40108200410e00200402040400010412908040010c0000024230a11</t>
  </si>
  <si>
    <t>A35638_0143_8802602000800002100400b1084080000a81264000020805240090000020aa00818c0845260031014a10041204000280810840001040a01204240000270040860880210080010010a10000200000060090800a200800000c00440050112000640208142440040008500018440500000902018010200a48000c4010250200814000250020804860040011040a802108950148900250602c12200108100810000e1040050284a242e10000802040442208110c00700002500242008142800000400400108058040108840402040000000100210808a1801020220025030084000090290004000800015004001040814201081000000285280200a25210824800814200a340440a10258400852000a0811000070244040060081800241001000ac02640200040c00c00800102c40052048400050010410440208208400240600110000302002a1880244010044004800a20884041201220000000020000204a400100800212d08c0824814220080801241050801085080200830250080840040020811200021061025044094020014820851200280050020200800050000a400a0800800000</t>
  </si>
  <si>
    <t>A35638_0144_8a5060a00004201000030000044800210810200091004800200030001021800881220280000814861011031220a00200814050210024084001004a110000000000010440c0000010071094081a00214281800040000840090220000a012818002a1090220001040020800801280024200a44880004000010080a812048200008008400100052012508702858000000200118a08c02800010940108102b10912e0004204214874000001800004220a950412110d02040000500340100200150c50800208212042700600200400048342102808140242400102200008208010050000200142040110142000950800002200a10018018500808242108000240642140208052440200002400d0220010000881041020001200005051030010884ac50842000008010400410842c00110302400240c02042040812442410800e0010030811a40001020884081000221000010844205000020220a51811004020a41040081810060801a250800442802018008000040012140802200800100a0080000090a11a110742842002602040502200200842100308140010308f10048000008b0004080</t>
  </si>
  <si>
    <t>A35638_0145_0048848400000040000900510c00042002040508408000c02112300802100a0061200005204000020041080000a840448840040c0040221054000a000418410148800102002040000008042610010f00008610018002840452548008210210400c00c0084814240801800284240040201024210020ac42010440840100400e10000d00200140400018308200040c02018110000400010402000210300000c4060040090280000000080805210014004020021804001205000a202612008410a5201000010200080890200014010001a200a1004000010000010204000804080a510a0020800080000044a04200a11244211031a000100008850742408442a48400400000200600500a4041020831a358000442800810848a0001080041000a80010801000000084025084090aa02340b00410600110200142200900408410140440000052c00e10800400300200042710108810d02902040000c0014204000024a800040800a0840040024020220a000140218c0070021a500308000a42900c0021a500000050002000100010352510000050000c0830060000000a01011240200000040</t>
  </si>
  <si>
    <t>A35638_0146_0518402000848008008200408e00000200142400400200240540308a0024210000044200200205010800805840a01050a008100c10000800042c00110602008208050c00442202410c08018250d40000010042010150402100842110118100442202c1010880011040090200201200a000208b10c10410410408000718008a0020a050448000040100b1860800094810821200044a81001230080000031800080ac5040030a10a800a0800080000a110318010050a40000902100400400008802000242202100408e0000080040a042000110800052050040000400700008a4880010080a000908452010002108a0034a308158200040502818000418100440002808000000400808418940100148200000a0000001220000000a100a00018400300b08600c08010c18000340202300a00310000800440200050010400400140808108258000418010c0200000001280000800890090024070880000044001204090840201061040800034091004200034880001000a00200040800800a00040a00020a018050002000402900110110100608c42000140002e0004a20004084001011890</t>
  </si>
  <si>
    <t>A35638_0147_0808210802208000000d0021080084044025210a00040040004204ab50010500a02810010042002150318100040110c0080240021060000810200001800240034024291214020a01a000010048400308258108b18012000002102a10510110800800c40240000018800240608400400008300a00002840940048150600000200202000348040042000012608840040212400200400a02100000850440810402810012a08202402000242440110408840040400c5080884024001a00a408618040540208800008000018010000440800042410010210c00808a4001880800a002052a00000040000000040100040000100d10902400010202902000c08842400052100b0240851020020a802d42040010400948c40000200000250018502208402608110240200410440100000002000018a4a44245000810830081081000a41030004201000001020000010804805000020245205050010204080030004810000011241880800021000020201220a008650042140142842010000d02602000a4a208500108108c02000c4020234090014a800000100040640000200e0011080800820011</t>
  </si>
  <si>
    <t>A35638_0148_0412c4800050811010201880200801260830001090040ac00000a4014a410008052042c4004280810800891a040110200200258100800408d0004081020880820800084010a14000001000041085090005240220090220200000804a158b00452c0800080001850031084004094280001201210060041004000a24864ab00808c0240010031000200080005010040021040a61040a84a800400b02618208240012400e00042040900940200400242a0021000801265000010090010a000900040042008018002010008002102000040112a1030841051280880055000860800a50200000a042000440010402a0a010000100040a1a800042202040c10000818000408200240200008808900140118050a0800a212c4000804820040045041880004801024a800240200000400800610000d00800000900002102400000200800b00800250008808810012c0200260270041080214094a00844a200248050012d0a00850840090240281000805a102200b0084000240880010000024020080240000230860080201805044014045a00040000085080020210250080801044214081010090</t>
  </si>
  <si>
    <t>A35638_0149_000a002010002210618400802800100840a0250021841001a502e0001020041820840800000221a400010350800100000300040500100040800600840412000a18600c40d0801020000020860844094201821800095081a000408042610008c0201041010025010270060021a000c00040102b08100a02002040250042010102640000040148648b10400008040842940500200a4044204084a802040400010000802000208600400000640c42008010408100302648000042212008a08100200c00400108010208942800910800002218018542a00840302810300010000608000c02b12010108e40410050100250010410818200400a00208258000b0280214004a810000218508208800208110208000d0884a11080024040a81000060004000024841000040080890200030241020811020091060010000800880a21854220000200080021040200024010000020020200084240080040261014064801024200820840010000210020000065000000001a00000a14a400010400000c52040010050100008000040208110042010200452002008800040000002c4090220215004a80</t>
  </si>
  <si>
    <t>A35638_0150_8018250500000208040108900810842002000400008d40210100500100300000208042502048010002918100012000a00808510000100242410a00a00000000612048400700150150600a0000850280030a40010080000045080200060031080860840064010001840001244004094210874000070040000034000a400c08502842100240100042800000c00400908908010300042048c02500042110a1064800880204000801890804ae00412200200000010040800042a40840002800508600c0020080000a51820a40090030000010a10090204000260821800851070801010244204010a200210000040b00000550500318202000808142240100800002900440118102a1021a01004080884070a108c4004a040042a0260aa00800852c1000080200080884a200000a40102410008a18048140a02002418008050018900108018000218000c1040040020a010200110208900800100140000412c58902040200048400402240100802008048000c40808040e00000050500412412500942100002c08700012100000008242d0844841201214004010200841200000040a00245201</t>
  </si>
  <si>
    <t>A35638_0151_0100240510100100210400412400402e0091060041805800841060080a050210000008800400a18518810340840d0030000800010860220044000a00a148000a00000910800900200918448050d00502350210400002010040200208400200c10800010140808552200a0a60841200001a440f00900000100b4010001011820280a500508000140208058010c00540800000a1080800040260201000000004001050000280000000810004a10020200a440900a0080250060025804001020840055040201210a00080284201084800830060080065281000000020a30005800a400308108150200300602910908010200400118442442308850008110842c48850048902508400010210440a0a800200000110010040c00008400a00010018840200202040008a1081050060a810042110010642140c00210102010a02010902800010418018140040810800942000118750240012040040000810b0060040010000041040034800a042200200040800018a1a012002102002900a00040902440b40100000102448002202202240d0020020850000210831841840201280004204820861</t>
  </si>
  <si>
    <t>A35638_0152_881041004280021001001810020881024a00000000005800040040034810200805080201080a858110300410a40c02208800242108140802412600148000c00140200040502300150400308c0800000201001200824000a010a4211000010011080a00000024220010024080204050a840002a1000840801080800220ad0004200014290201a200600000040c00500a40450010840202540200002200f10200a0a500240950048010c4044045020204054001010a24040000804810890000004090264800050820800200ac0010011801000045000a840c42200100900150410010100a0001010860a050812000902300800e00008042300250612610408602000908000440818118202000140040300000d0800014004200a408108a0005a000a00808040110050e08400148012058810802a0010200021020000031a000810802800140b0054001850064a31801000000281a010102902040210202018000102240508000f08a5010030004015010000a00240000000070890830801204000a850112a00818c4000004014800010000000000000224000020084000081040290211800</t>
  </si>
  <si>
    <t>A35638_0153_0902410940f4080820840040824080004021205020010804040040201200241011000204020a05000080060060881080020200881814000a84000000011a400042a10400200048600808b4004044024080050241851064041000881204240020040a10210211024a300200c48010640100110800d12800c00900100218a10040000c0010291040000000aa1a81280010245081034020800004280815010885224011050024060060020ac00800b4a810008008140640402008948010110b00242400902000100010818802c4210814004800000800a010308058200500200010040708010502100500000800200010450608440e0a15000220001060000800895284204a108000700208000a42012040d00002248002848110600600400210800440000040010010402500a0020004a310800040542c02800010118050c40410a0280201000010241815090814030210091020040230200004a800000610802200848000c10018208100400008508608002840000a0201070a408400212400c0080000a00841820010084004221801070201004024801a11041000ac0081240820265830</t>
  </si>
  <si>
    <t>A35638_0154_0008400500002100400000100040800208002240310800042900008008300010b1021a800000910000e00c0044000000001a502010008c0a800900000048308500210800040050140100100010000000202200c00042058842502a12400500802840050040248608010810240012100002300010100018102002800100418b0040800204a012240408140818000802318402800300002410000040110300d10448800448008048008610200900000018000400a42000952440118640500202400800648240010008008400810008810712b00800808140008012442218042400100e4014025821001ac00100200842402a00058200002800b40610608240418000f00b58200910210410800148100010400000000002500942000810740800502402802210100308800540240100042010842208800042b00040318c0a002c00402a42602000240200002008008000808450052502000840000210f0000210054001a10200005000281010210220001801284010090a10040831090a24a05000010850841041a20040004284014200004001011010001061880040001280200815000800</t>
  </si>
  <si>
    <t>A35638_0155_050220091060020825800020800a440008042110408702802010000010210e00140a00c00440a08040200310400000100100110400140408402b0a24000010040a40091220000064040010a00a00230080010a010218000400000002600400012008410f00010500800a0004800204021030801024020a510102200052a1800001280200090010001800804280060000041a000800a42100a08842010800500240100640008050600a0804240000a05a00a200400002412a00200100900150848c00302200050500b0224814040010020080844a01001210030204020081a05240064810000811084201044004084000a00860064000090a112410900308a40100448210008900140200000440000010b10c12800500702010502208208640112a4084000060005200a81040084050810830200000200a008408110002018c40408200202200602252c00942000500800f0220844024004a000810800402050340210308800800400100d40840118410400208042b0000a000600000600000400040340108942a18000240018440218048000802208a0800801041001010020000040811</t>
  </si>
  <si>
    <t>A35638_0156_0350008002240040040f00910210d02200818400600500402410c0200251000001000004284010811a000200608000840912152400a00410d42000240000a08140458042040002240e18802600010a40900602010d18a0a04220004a01080024800000014021060000820a002010000018640100100000002340a4204880041a800c40908010300400010042100c02118108608812a4040244a350248400940410910100002108000c5a40800200a04060010070a450000302042440200112800012400a40008218b0084801040284000240004080814084014245201084280241240024010820025820800060030a040100000008840148102000c00010048000000212000000e0a240910a0801a402000242602010900000348c00602250500408852108208802a1010084a200240100102010802408000002808040440052902902242000508e48c1030025220210044800201290230010800800004200040090801a200008018c0060000031ac10102058c50c0020a20050005020000040800000881074020094080814000820884000000200084051221800800a14220004805011</t>
  </si>
  <si>
    <t>A35638_0157_810005010204010200820840a04201040091a310000f0000001084800801260894004a440000148040010908418010008240402200c00c00100c40b5051040024aa00050002000050800550a00112040000402c00e02610900208002200d10200202040100910010908400a08840c08808418100048210012000240250100040048102842110200100050602002202840600500d00802010002200000400940a0281010010014830020a808802340852002000202c1810204020004050890a000902200210010800010200050900042240308408010d10802210012210402450002100010102918040410902448a08040208600450442200040042008000842002800000400000a00c48d02002848202700200850002200318010800000410840002918048010040010802a02300050800302042010202008602010610010410400a0800020881201084080810241a100040240100600842308a00048002812900102410200000448040a08100200d00850200840000018002500000000402002110000110000c50040608010400000d00a0004204084820020054280281080080211800</t>
  </si>
  <si>
    <t>A35638_0158_0040040812400010502800400800800800000010e00410000140148102400510108250900140200000400c08000002340000310200a1025011024a140300b0040020200204080800841040800804000a010000810900c0a00064830a000000000808840040102000218408a00400402010348300108808002402042040c18450418010002108218d00002202040048840000100148a0285044a00000200051285010200084004020081040a040000140600018210408002900800600500600040000502048108508800240410542a12400000a02400442140012240c0801a000142100b08648000448840002800210512900102000c10200800008200a4804800010a850112d18c0001080000001200800050a640812908908600200842408450200110502500a4000a002240208042010c0a018802000010002400a10018010000840500400800808140d42048050a10008040000540a0041000044201881080a242100918200400010402a00010c0024021090000014241a000d42000850000002600708008440400700002002000c4044850000a800200708340c0050004204221200</t>
  </si>
  <si>
    <t>A35638_0159_020200a80010211054200804085000230024a00210030220084220804004001861204a042f00200550100a1220000060014055240881001080044214830881085a400010800a00000d10002c4091220000020231000825040000020200a008110410110808850600010148e0001280801201011810241080240280000020890280281040285a102000402c0844000a000008000302a02102300000250c0050000a40000801050051000041a010440302048318800248000002000100410040042110a02000010600c4005091200020040a91090aa0801084010000290801000840220205a042100008800902202840440610a00040410048818048a0001200000084210234800020880205010000001040091001805000200034800080020015030211201000800001204250810200050010240a800540012052208048800000400b00240210000010110e0091800040854804040280280844a010a18840400400900002300040210000408002148310508010042200a58112610440240840a4080004010040204201080800a308c00800010c40840340100f0001040800000200011840</t>
  </si>
  <si>
    <t>A35638_0160_010045000004a200100100100200010000940100910200010000040002412818000008010202302248010852808000400250100200308040402000152412000018040000800308000600000600840002110418a08140800442002012240410342802800348148010208002612010c00012410010600202102802a0800250000040000060004031a800240800042800110112b0000000281000091804850040a80001240080034200824045a45030800241860081820084020220820820010a60041230281010000804201010040020a010808400a12d00308048012910800200942400800410200102008002200008242108400c4010084024001000000a000110008140450100600802802100108000100850842800108800342118800010400000010008c00008858042d00140600000018400410800000100000802a4214004024810a00884000080020800210a008210200000500a02608b0030801a100100040140010100410100c00a00200010540c02000002802142408240c40000208050408618408010000002010600010802000810100200510e0030200040080880000000</t>
  </si>
  <si>
    <t>A35638_0161_860000085010080250890054804000220020000801081080004080a042208c00008000800800a00012410402008102e42a52402500808810110c00100400000408e02000c4205040290831004280080204a000000100400840208808000c00202608000040918458400800c00002048a4a000a00442402052000018200200218000d12a40000152010500400d40648000000018a1800094004214200000040a05a000102800440308448000c02800a08302018842610100042042500800a0800880000aa1000840010840054080080010a11894800040260884010a11060004090050800001020051285050084090a100600e0004810004005a61000020001a050802010058800048008040800012000200000408002540802408310800802002000200002010812610510a4200224040014004a00214001040241004004880000034054a808310a0240244090001a800108410500c0211801020841085205010221a010408058048900000008202000202400900440018010108208010d10448240200c0000880200014024011040050a642400100802200900e1001805240000050031</t>
  </si>
  <si>
    <t>A35638_0162_0240c40010902800010210400012540108848048008808000810000208010e0040801094200024264a000102010402002202418c00310210900808100408110202010150108002040210808042000000002000800100c52000408810300a1000200200080000020821030201840040800010050854080880080a010602500908018410608848040a0005a400002200302048100000a5000094210845a010050050400340010600400f42000040800310108c0081060010000080000a00800040840214814001a310c00400040a00052218410040002802000000108100a00810402402900240e00d0020840000020020240045ac0a010308010402100802012000102200400410a08e00900600140102a0814204a140040b02208000000a42040000240352818452802100000b00212008002000c1000a850018800842840850442202000000000040c00f48808040008710400000200802240308c4004240220000024041000080841000220050080834004a01210094001820030840044030810030020000021081000221040000801a84005040800040000010000214004200200270</t>
  </si>
  <si>
    <t>A35638_0163_0a50200100008000610a00400848050c00010702c08012050d1220000045810000020810260a100010900440e0240280281044010051000200080080824830021a800002440048052400200410400800810200010100408802002010100500640010400400000100d0045200210090030a24220000840a050000a10008208200040810200810508910c4200041074080011000840a010010e40048410800910000402000800248008248000800a0080004091005860800000080051a800308a00100100042400008010640010a4280201000051001800220a11001090014260004050000000221081a40a05044830000090020001814204a01800290000884050000084804080820a408002240010002500800e02500048000202108508800802402948100008240000000102002000400810008000008a0a402c00600000840000810500a00e5001010200220001a508a1240a01070804004a80005000210284a21010020000a440002108800100800102410000748248248008100602440040100502110908a40540340002600200612c50000c00010442800a08a1200050220040010</t>
  </si>
  <si>
    <t>A35638_0164_041081014204011860a000050650000a4090811010015281000084220804811020000040040204204220800004080010800230811000080005000000201a300440050800c0000000010804ae48400508018000200200808012200018042000850048410100900502d0030000a01000001040801001040000204a01040841020884a110442100618400918000442402000100000802018c0000a20201090825a202c00402810000200100a10040842042448008c02050400400808208000048200442100900350018800240400200018040010e00050800008000508f10000a18010408058140e00900a4000204a210412c1011080210040001810800080000801204824070851061061a050a00042140800000000910000200412610b40018100e48208550410008812002900908040000008a00000202002412018800200400302040050000d1a000110100000300800200400c00002810410c00c02448002940a50042a00400800c00040210200200b5225000200820021000000000854000001010210041004811090a810208810042002010742208002318800a4200080024a10020</t>
  </si>
  <si>
    <t>A35638_0165_0e10200410e00000512000118400100008b10048008000000502d0094810831024080085040a202008000012240940002918308410740018002000802200d0004801200000020a700c00900210c10300008200300002200c10000842500418602400842000000040310940040000408200050b00210000500742000240700408200840800000200010a1a000140800208202000140e4040000a102452510018840100640900040008100c02400700002418008950a0054044004800000040080801004804a058210000402c00c4000001040034801005240000821050081a052102000b02700000002c50140140908040a0010000090014804220a21800281840040090820201804a840410602018500c1060044080280014200001831a052102842310408100408018900400008040110840010500800208012010010242100840000210500040200010240a0035880000000010004004040a100e0840a04010801841070020060a400a00100000000800000010200100008410800412840400210040810200010140340048100608050200000000810408800408240042802012418c0</t>
  </si>
  <si>
    <t>A35638_0166_0840408c00a4800000220001004884280a00051a90000000200280a21000850010a600400200902240108f02000000000900200c0804064000000a052000000a4800041280024000050011a658442042040040100502840100140040008c08110012852c02010540e0021804200080a00260001080000280080291a102410050448142c08802012400840412000000a0804a000000400000008340018308450252402802010600010558200810100100000110242000500c0221800060000841a04044a102408a00012208802c4820064060010064041010220a05080830aa42140040342148408442800810240010002900602400000040902000008d02208000300a5060841010a040400f4024060010090084040200a012000a00208240002002850000108f12c5000040204050a01080840a04020804810020040080050040010811021020200814014080050000045221a840008108100c00c10008c10208110240100800212c00000200400408d0200a812440840010200048a10110548a02000308412000400200848602a0880004010204805861a50020080091010800000ae0</t>
  </si>
  <si>
    <t>A35638_0167_8008002400742a0011210030260050050880824221001840a012802000110800410240100800000200808800400000040242218910c42018c0000a200502b08942a0a002a00840000408402c00000400002508200150042002848042550900a08400000808200210200002010052000100400208a42000c0040215001a400108408402700800010a0805000284060210841810820821005280200210000040020085084a050100400000018512008900400c0090a202840500208100d0005060000044020025a200408c48500900002202200408200c00308a08600010040418050a00000602418212208410140300102500412008402040940000000218600912442802200d0885004041060210840001820020204060200004000084a40000290800220011810884280024804a00a600c12010510040148108308040a42000000910340700740000012800000210208112c08040808110002808a10040010308108400b0011a400002400150010808000a52000440b0000030800205ad0000031030000850000000094200804241000001a55290021000040020061814224000050000</t>
  </si>
  <si>
    <t>A35638_0168_8912000802400040510000c1840000004081a040808310002110202308208408108400810000a00200500b02a08800142008402a00100210040002010440c10000452012200200008a0081000800000a102010000442a0044020a04800060001801284210201201a408948200942008a40002410002c00810b48100058108200c0000070884810000040840000020204040260040000a00020a850142110010650000000208510910302050040c4090a100400058000400c0011810040080a008412040000300900302408100040800242800002448800000000000d0064885010000000805041040021080010020800a21020a050402948118610010000800100a0080244001031800ac00600a1040001004000200010084000810030020844220080a20001000081200000201234850084820044080025010a500042200c00140000210600648002802102240100300d08008012448002402210000440002a48040140010852002040000848110b1041000a14084000821860814804800010204030211020a000c10248200000400510c48c4010000810880044000215000001044020</t>
  </si>
  <si>
    <t>A35638_0169_0d0000051000011a01000095260040000021a210e00040010410008000200100c08012010c0200850830001a040000140100640108102800110548848000000210048902a0080041220805800211080a240240c08140a50000400350100a00108408042b42000408008152c0a00000200a448000408a0044020821251a000650610450800810250108040002100d00840000610800008000c0a000400000448a0250080814a052a00b08208000a08000150000408c4ac40000352600200802410050000210400008148008002002000002100a0001004010a00000a000552810900000110210800000000840c0815a10a000a40400c00400b10002210240400800440102108910848200912600000300010c08040110000842018108010600100800050140108908800452848300018100400818002402200000300002c0a40024284041050000000000240000224ac0014a00000000000004020080220011084800224800050000004090220001a80880261840000811201040000880885010a010002400050a12802808900000b00b0800040020000861200010060055030201005040</t>
  </si>
  <si>
    <t>A35638_0170_0850840002808a0854020080040201000284054221070a010842c02218300800318000110202802010000300a08450000002408500800402140008112300c00858010010800002400e00140018802000000208c00c08400010240002700900200008452202110450010048440000200100010210802400c00b00040202210850840400000052000200402000002408200240800440858812100b00200000348000002048000012808b10200150802a4800080881000a00014021000a010508c10102002812102408c40200500608840502100810810550b4084801260050000000224035a40001024000800060080020841001081200064024a552300800800800b08240110408148000840e0210224880041284010220804221040840000004000a10a018010a1800a800800110008200042e02142040a40040818112202800008248602800542c02002140812000b00400848400040908000300900050410002208200008000400042200050150000a00a40402008810642e0800024a802240100100000e00800400400048108100100a0214010a80001ae08000200910c0810200010</t>
  </si>
  <si>
    <t>A35638_0171_8200000840140810010b10810002410c0010000880095041210204010814020080044004010010064000044844200050010000a20001a00800040000040a00090880880080200a700808058000c50400212050408b1204814040810824050024000800014084a018008c42010110000000118410742040800e0a040000700102240900040b0264021884085040040001000080035840a00234801020a30800001a91000010000050000000a810008248048100c18810040b0281004a408010800000a42102540000850058440600310602010440600c00002140002c0004060880090a200612400000a00002d4a04000a200118812500a00a0021030040084201290201001200000000080004a800410300e00018c02000110448400112800050442010118800800048d00100000600000502200802540100300408202000040448350008110840000000200002300e1004005ac10040042402a1020a20804030001a748100002202c00b40808600010208050100108040040818a4000051280021861a000010800500100100342210a40000c1024010a000810008200c00448a5851820</t>
  </si>
  <si>
    <t>A35638_0172_050261a800100010140100640a4040080014a202c08110802110400102100a00848410010000040210810000010010040842310000140202100340208012008552408500000800200100a00042100108018042300400010042d0001040a200000240402000a00140700e02408040940008340000012402512000110640400040840050802200500010710602010a02100102000a0004290000201050000040080a050340018342808c0000090210000000001080825040074800010091004024084090080a00200001240885240034800810001085800200810204200020865010090001010201004a002942000208440000910800812408040050110300212000a0a04a000200840010512000a02700b00300800000d4801005800044240000004000205001001221a502600910200300a00040050140a0065060880800014060a00004a00010284a01200080a002410a08440500142010010c0021a65851014000001090000880004080000041891030040204010804020001000a00000000800021010050040000040aa50008e00048c50902000a08148000800c0804020800864070</t>
  </si>
  <si>
    <t>A35638_0173_0240200402002b12002610810840012100310208c08a08008002448242110200400210440400b00012818100042012440110000e0820a018942440312200008910410450000000002208608210000402110000900800800050208018110308940c40900c0800220a000000052100800802100000400842902142052418000412400840200200000c0881800001004280814240000281040030001040801821200084030280000880060220040040034840a40005000a100140240118000200000800040942208c0004800200200001040a100100e00800400308442a0035a80200000004a100300458e00850800100042108902408002a00348200a1814a000442000102542200802018802000058700008540048410200318210a08208218450400018040900412c18900102100240810000058010000b02302810008040100402a02300008548040d00208a02002908208210402100900010118500400440040148002208742040010400a1000a21010a00000010280a002310e00840500040800000000202a0a802c0200a000800448002002600040002c0805020854000031805231</t>
  </si>
  <si>
    <t>A35638_0174_0202048050508800108018600012002808200402110408010400008000048100002810140d00040202800800408800048242008010142000000908210208a00108400042502908540300712c0010040001a75040820060044014001200020830084051004000224081800000a900442810018400040000410040250418108808a1095030200a002a00000240002508840102018050048150442902010a10800440110008b0820801040200a440a0024830000004001084270800200850090005084004800a052a00158200002b40000118008d08010000808042142408610808000600110208300050210802c00000008108240240802508000640010512410010908108200100002e00140248000000000908c0004220034a00041060804a100002200300010210a08010202802002c00818000800500208300400608040500102a10100808012a02010048102008018740008000000202048b0080260000090081011051094a400150048008010500c00010d12a00200018200140240040802800402300400402050208350248208c00008802308b0030081000881005000820800020</t>
  </si>
  <si>
    <t>A35638_0175_0210448040000042202818240c5a000d00808610200542a4010000211800a40000000050044001224a808002250140848110000010400840102100200100800812002002308200242010848248402502842010000100600510008010010710600000800400840040b00800412052400048002a0080a040042a0894a04081010004040020091200030060204090204010010040840041a040000108008608818040042402240512008100200800800200450010108812000708a0a250b00300c00102408812142a08e1080040000a208040000802c00502008808308818a40608802002008050300200458802808840312800102208040400208200300400000000a4021211040000041a010240042002308e58402910000140102100400410000000048002208800802912f00200208000000200052a00000340d00800408050340002408018248008d00008210402000000040000200818010010c00008842a02850050800000c10010c02002340108048040800448000440400510010000442048010000810012050000200000900c0aa5000240881050010010800080074020000000</t>
  </si>
  <si>
    <t>A35638_0176_0200a48400408802600c00000200512000250010408842050840608818102d10940840c12040102400410210018c00040a4800820020a04290000000a100500e40040c12608000042c10040000010040010118208400200540802010110c00d0201000200001871000801004001080004000080060261000060005a54021001040810290a242000108808010040608140640010000a0000020010800a000002640040408800140410218808500600200010c00148048040a0000800800011001004080000000a600040442942842000100c1810080a000200240118e1080840050040000870280004001a412040000400408310208012002a02000010d08842d00200108140008908850040508012412800000a1010080a900000810010212510840800218608318008800a08100002110810808010402010200500450040400008802000318e42012002502a10300500548000802900900250100802600512040000010908000a0805010a24804040031800a400702240002100250e0004224221a540700800800042400a02142400252818810140300450000002800500408048000d0</t>
  </si>
  <si>
    <t>A35638_0177_8802000000e0080210221000000804290810000040080a410040042210442008400c10800c0094a50080885a25204210880a00021840084a410b00010040600c02c0080080280020800800261041004885045000070020040000010800080004a602802000210150408400a1050204010214a90004001204010a000148300840242110402242008000500050040800808008e10d0a60000010834a058800050808000642900210c10050402000b0014005220800041094200800860040010ac00c10108812012000500a48800208200500c1010a000000842310140000502010010240150000400152012810800a4000040860801810050800260870060000810014084064a00040a00010004800815200080a05a400440010500010c0840000000000041000014881000050080000250825085a000008210108a0050021004020005004840840a808c0084010224000000280a010c42242258000a40402c10402002000f1040821000084230001860094240a040040050012000000240410400000140800410412040508002240000000a4810010810a04041801005880280011070000</t>
  </si>
  <si>
    <t>A35638_0178_0108658800102008548000802800000742a02648000540a1240020281200080084001010200201070000000020200044a910200510210000410848040200100c08008150000250002200100602800e08000040008010240000140012300000008c0a41000030220020810044010050024000020004a600040600902048a10c10008140300110000200200648410042008518000108202d00e4800804080040021000000a84a000900410450002900012102210642040000000002100400800000802200b00600a00948212050140002040510158e0a40010224021040850a052100308810400a10212800402448040408210b08410100242050312208000002040e4080211800845024a000000010008810812018000440140312408042000100d0010261a200000408100c02a0004280041020050210000820810000020200030214a00041091000001004230a05800004240a05000834050851020280a000000100110800100050102040100400a00300a18842000208008400902800812402000202800212008100402300310608018052800042140102e18140000800102012040c1</t>
  </si>
  <si>
    <t>A35638_0179_8140842100200208400010110210002a0a000050910008400c0080801a250000e0000a44060085004ab0820200280004a002118500002600900800100202210440808840000000210c00240048100800340200008d02a10810008018000218c40410852108000408610002c00000a02a08000510810002112c0080800a800100000400000808412008a5044290000a80a042008210002000100148000008a4060000210000041210071800894200285a242000000e40000800002100a08102018d00402348410d1041080044060000020a908c4a010c02900100710e0080204084200000a200e1810004200260090051090020a840510000800002900c40a02500000142608600e10440800002108642100018a4800250a810018200000e40002400040000218442440010100800410200158800940600052040c18012c0200044a15210090880021000200820030a310142800812008000048400110840800948242140810008040002008002000508100400012908840052008010002500b00840208b1800020080204031040841090805804240800230201830001884000001040880</t>
  </si>
  <si>
    <t>A35638_0180_0008842800a0000044280884240041080225204000800240000000804030210014025200240001a00001044ac1241000094250020081881a00240000054260001820054204200800031041041295200890800001820280a00000011040220001a45840080a800010c08050212400100802008000200010402448058600400042200d5014001000000804804084204031000280000000201070200244a40000080290004884800001065220200020000021080020840a910000012218200100000410608340540e00b00240042100040400910c08010000540948540200140800050000800200800a08050040442040102100002218550200800018800e10440402c0800020080010005810270200800840004801210044800004030804020214080884244030090004a100202852208410310810502808100100308102248810100b1801020000a000c00b40018058a00300808000100008240000008002900208108548c10602800000a0a000340900a0a008000440342700000002002012440040518008902010000c40000400910110c02050d0090045001814040080010201801a20</t>
  </si>
  <si>
    <t>A35638_0181_011a840010408018208600b08e00440702002010000000250000440b48000608408450010102010700e00908002010040000408100210608000008a42200900c00402050400952500618208000010840010150b0000840010010020040a108140052400500808712800410400800840808012410000008800108800402400100c10040300308042000200e0080000a05840a20810004050014090220840074000040040820000090010001010040a05014840021a210c10100010410000a08610810302202010010800a00c00008a00200010002418010608850210000010a00100040040048108410802110002200500200042458000708008410400200808140600b0040020801040a00004000844030084000210000004250a418100200940c48112110500652040812040142708910200c1a05040001211061080a600410400100510000008440000a02042310018710200040200940242618800010902400140702408010218400000848042a00008240400b4200000800840204010044000804810815001a01044a012402908000808040002108100a0065064200290284060000</t>
  </si>
  <si>
    <t>A35638_0182_0802802910640848152800410842002000100400808042c08050d40102000110140000802b02308008400208410800208308402410108a0204004000a00a10020a81014000801275080001224015000280a348900450000c02442042300c10200010c0010a212000c00240402850c4021020280860804880020220204a300842000910100800018008a00008000608018000010b00048500042a40440410102040000902100240600040400410048000100000e00808000040210512a00002848010040002048008c50002010400312000d00800418110d0a200212100802002040c0010000800024220815210084874081000a210c0010810044020800044040060805211000010004050200881004000851000200010814820230005000a000000002100500a00408002148202402410000412000100210048008410a18d40800350400008d12618110300802248100000000142440250100a18208a1210020024000ad00500200900000002500000542240050500000500018018e0200084200a210410218042802a0200810001001a040402000200150600100040c42a0085215801</t>
  </si>
  <si>
    <t>A35638_0183_054080a00020000001040820825a14200a248050000452200440648048050108612042040800000110d0800a00014000000820850800041000250010041011820264200000204004001000004804000011040060801a000c1240284024a800212000402300102002200018000000b0080040a010440a02002200010548700210000912a00048002c08002810400c0214a210210800048000040140508000d08400800008200000600148010812a08008610100c0a008440200018642808c00400102900812000000812818000900140048000018208812402202010000b00200140540342050000002a0051000020000880000804000260024200a010002000800902248300418002440802140010002418400050800e08000700000808c00100848a08302200000c00002900008400300440048d00100100012010c0000a10050025010061001a002850402000450010008600040c08100548410002010c00a40108100000a42008910a40002502010002402140c40a08010310000200000500950000100408202002a0004000050014820001094810001800860081801240090201050</t>
  </si>
  <si>
    <t>A35638_0184_0a00202040042350010000d08802002a02140040700148a40402200a10140d0021080890004001a540600118840042602010010400c00008500000302510510850000c0004020010a81020201001210200250200000280a80280020805a900000000900008208008110052250440102000302108200c00d50042110000000800000000000250440100808408010000300010a0021a800000800010242408042412010000008500008100010150400152240008400012000e40000200400202002000148040300710108010112700a42418018c50210410400140040810948202040448018400018000e08140800950002210040440d0250821820201004800001050080a00241090204050204aa08140810402252812040000240f00008818002242000102d0810281a00004a048142e0020820a41010804050800000044201200a000500c08400210000008100200800d5a800150040100110600a5060010200024a210100858040c40402100000000018000440000a10000010d0a00050240a24005000014a240042100900308008840010002a0800a018118402810400802a1200840</t>
  </si>
  <si>
    <t>A35638_0185_0008602040840210002d00802818100002840100208010040c10100340000808a0240005044011040201041800001000a142452018048000000800150008c10212018400540a0000a000102818102042000000000100a12c42202b0851030860aa40140c0200200210020020800020011001080045044040040081230881000085000250000800001005261041000020070830814004800020005024040890020801000801240a208000858012000840100908a02e00400148800500510008a10500000110600600348440d40840000400d00040048412048002610800000c0200000091a010b00400400810c0a002100600500000942448012040200150402100a00a0814000800a85800010084821241080060084200801840800840284000000824060200000264240250891810001050a01004220280065a000048448400542100110700958850150640200200018200410000448a4230810000020040000801200200040040214200820801a000450c02910300a48350018000c02100b02808000c18a0004840000800a01031000001000080091840811010000800054020000a60</t>
  </si>
  <si>
    <t>A35638_0186_0008e40d0024294030281000084055240001050070801a042000002040200018210002040800800008c00808018402502b10402c0004860001230200231201094a25080050000800a010010000502640810012800a18040450902200400310e08008000402800000000252040400000a48008210208008142540240400000018c10002400010618900002000050240200410d00902202840000000148800800018100002852000a08240008000a0a04204061810025240240004a300208110400100c00840400508000c02000a0000205271030040800090811000030814a80040070000200a210500a0050014a840248c00110010c0020281810840860a25000200021020a010e40008000400100000200800640000000800302010a0044881204000800a00081200291024000041001040860004034290230000004800840204080020800025005010040880004280084001001020a01a040910708e0094050230001820040a802100800210400100458000050208010358008002002000400158010010a0220811244891000020020a20000064004000aa08002a5010284030014001</t>
  </si>
  <si>
    <t>A35638_0187_0808800000048150602000500040002008a00002100610040400300000348908000012450002002010400100200c0014200850a408100c00052a40908008c08200212402e4211045a008a02c02100800808002210050240c12400002002210000a0010004281050090800884041050824005200080041a002248140200000c4000204020a848000000502c08800008040000e1810040004240224200a90000841044060020a202008440010150002008208008018208100040150000410a4280050030021204031864801804010211200020044064015080881240050010020040090000210880854004210004804001090044000ac40042000008010008010802000008300a0835005a85204800a012310000008140008900002200208048040e4030010840081a01041024804a050100140808010900000100c00410008000900210410d10808c4800084820240000001080050000020004280010081045020081834041034880090024091001a208b0200a000800b10600500200800810000040000c00000c18000900010210208102410c0004291044060800220010000805a30a81</t>
  </si>
  <si>
    <t>A35638_0188_8212000000400152208810a1a04a04004020010a308040200012040218510800802410002a40102000900900240010d0011a440008210000400a40a4a010100110040c4220a05074000005044841210214a040800100410800802200558c08500008402040300058c0080200200020810810840014021214034031015000081060840200805040a300808018002040800040e00800a12400148040500908012a08540542840012408a0820085030821a00050084000844220280800060020000a84004a002002810210000002202012718010048a00000000800058700800050900042200200c08400400440108010002a10450410840408110400a0830064000010805000000040801010204000a40a00040a80815220a102400200200c00000002100008008c0804054010004820000884840001224800010800010800040020220a00ac08708000402240002500a00040842142e08208052410042402010008918200100050402012c00a1200010090004885050a808642110842400800640200008200b18808000100010000a10100a02100140112240000012c1a01010aa00608a1</t>
  </si>
  <si>
    <t>A35638_0189_8058200040440a40540000010250040900050100200302040012c0081a750100a02840c1000a00000a110540000400f08802000000600012402500250700200040e08000600800102300000202102240002440310c40210140d02000110910500402052800010400100102800102200a48542000008200000040950000d0000240890080080224a218610200100042008310d0000a000502200000610418c0201804080004000240001a002d4084001000890050001000054000a010108008c0001040084200000040884a050140140300e00210440012000140040608b0240084280200004a01010a200800408300008500a08a18800300952600210410018812000b00640600818000010000240200918c40600540c0a102040418840000040900340400c1880000000010200a040800842040412c48000402908300452002208010500810240c40840100810408010440800910000140040e08002c18000002a0a400800502810c0204034860021011860a41200020844000094020211080200245010061060895000000a042100840000852908000200810400a1214044a80030250</t>
  </si>
  <si>
    <t>A35638_0190_080800040000090230200030000010014800a600000040a48040940800002418400418c40500100448808108802c10108a4244011001820844054004000a018310800002c00800040000d0a00080000200801080011201a440a48000000208200200440100210000808600200100148a4000ab10158c40002d0080001080840a240000c00900012000808008100100050600200e08400512300208000100212012800202312000100410c5800214004800a218300212500700010100308d0224011240015000840015000201000800010820000004280084a102000810142800002000048440300c18c0000014080a440000300002110600800000c0044004a110002112008500252448050308000400c10948800050102008400200300408100408940050008110642440100208250508300018000802042502000242e1010040800834a00000044000204a000200400e02010810c00a0205801800a242500000208048210652802400140110002800510200d1000020a00020080084a502708240602000202812012400802018700018000040840808440208402200450102a0a408c0</t>
  </si>
  <si>
    <t>A35638_0191_0002010c02400100210110800000d5080a31a24830000805080010200000880840200290020020a042010502642802b40000050210550418500c0000000041820060000280a800210000100818000108150140908a00008040002a1040091010025084004810814a00034a000840042010100000450010410c48100450010840208400800b00202008048008110400800002d10840c50800740212052110410200902f0080845880020a400050300040400700a0804000210a04021a010600042110200908208a00308400440140950048000c02210000400240142c00508002c00302b10440000908002000048302000100002808000102b40310700810212000800a00412200040a1010024080240021001844000010020200210011000a440800910052000318200000a08100008008d48040000c0280804060821080a01220281a00020020005040080a048508e1004044881204000860050004800085020201051800015001884010a84015041020200010044801060801080241881010001034a000000000400340000708810c00200000200158012000c50240d0204011000850</t>
  </si>
  <si>
    <t>A35638_0192_0010c12040508a00000c0004025080000005241080000041090040a00205021020000210214001001010024020000020034821011000060000050015015051000021080050a000200400540e02140000052100f00500410c1230890050091001004a140008100100800050a0a55020024220240084800ad10900200102418a48018440042002040100b0a010040200008202200000800000802000510200400000c1240a20a112100000002c10048800108800242448002008042210200c40c18142c02010448400048000012600200418b00410010552240018012c08e10c0890020080000040021841201220280040200084804244044a80240221010020804290004a408a1061201095200031001800824880004060020200800820041080014080800000821a050c12002200000600102202000208808002000040250c00a0094a300100a4020a10040200a042400310008812a42348408208910852c10002010440c1011a64a41000000200210070080010000021010080065841000034000a01050004280080224024811040064040010060224010201801a40211000810260081</t>
  </si>
  <si>
    <t>A35638_0193_044824200280204a100110d00e02400500202118200110640002c0a808040e10850808400048a18400200040808500500040100a1001800044014820804220020000080084000801021060285010000011a200800a00810150008112202800402418400b02308010010c12000100402052308c0020a000850c0201851040010801000084010a04220000041000040a110040208008800d0080001020810001080a40280210010020080260a410002952018800800000140408b10602e10450a08000540008210f08900048800a08000400908802a02840048808100610200408150040042000100800840140c4824204a01010204240000000a01001040841041000a85a000400000e00110942100040210210400500900818548008912250400200000400410210008802a0215a00081845084091040220a21020090a008010440008412100000c02810348008040108442240002000a4001001040a440910140a40300c1040080281204000040a200200202440940000402c08050000802800940010410400000800c00200040000010208802200900400400100008800c0000800001</t>
  </si>
  <si>
    <t>A35638_0194_8142640000a02208048200902a0800000800014a00034240051000214821861000a412800c48a00110300100410010a0a018210a08140042c00200802540000008850052000000500808a4000080220210040250864ac5004020200014a500050848000240a0041a40010820090010215211800000820a052202810048200210042140042008000800c10000c00008050010010010402012008000108208c00200810800040410d00142800500008000218300f0040a01200000021080085880250084284840201000040014000810824a000b0085000220891040a900012a18400000808100800042000c52b0090a00060030205080000021004010011000011004200221240004860214000004000290044085010250000801201091824000004800020a000042008400440140500500a0800044210001001041091001085000a00844000024a002040000a10000a00c0a408042700a42448400250010140000a02408508008040040208100148c00842210c0000010200240040064094040024251001010060a150502012010818048842100e0090210820000a05000220004245060</t>
  </si>
  <si>
    <t>A35638_0195_0000c40042840110012600550040100002000000610908810c50448a08102000400010400008010402408450c40810a4080244060050280000060004a400018210018000142002218110010212410c48000018108d0a240000e40850618810440000800b0024840880034880211010000201040011800a540a42900010000200042412b00008002000040808400300102058000c0264880000801021000040201215240080005880045a008c00000110010900200210110042b1800080020040014204021000a000042800800808250008000040040400340908208100440a1841290210241000860804844230834820040081041804210800020a30830080a400000040050100412440042408a1a440600008200100202108100308210012c00008140400518100002810008002040000440200c1000a000608400800242000808040140000408e1010250080824800845004a05230a85004020800080040020824200010885000a000002240000800212008c02108908000010018c1044220a20220000020080894044081000000031084050240800260000015000041060290814000</t>
  </si>
  <si>
    <t>A35638_0196_0e00450010840012300008000c4291280021044880054a802802940140200300048a1a010000008712010000800d10140208008010c4a00a940402800100810800002050300040408000100008040142110602a1010800840080001231080081824001200201044801845001a040a0220204090800025081250080020260000a84004004001a040210002800010448248300108302200440000010540500800008400042210040100200840840800340002000100c4204254000000a000610808002f40810110200048800100c4010a300200c18010110602210210810010008040202a02100918000648810c00902002c0004024a042302042002008102212410408240010208112000400c00148100100c1040a000040a10650200402000440400200402200a0220200200834801820040a410000140318000e0800000214050001230050091a04094000014004a400640c02010600000000c00400010c00800942408218940410100e00a08012000112a00800d00a0a00801035084814044810014220825820250000285025841084200014280a000140e0020200000004001215080</t>
  </si>
  <si>
    <t>A35638_0197_010000810214a152400400000200810e4210000000801081054020820a240108100008000300a4000090040800004200281041020000841001000a04804880085804090060020840021031041011044810024040081064000214010021200840880050230024040a110940a5080010001000a010200e00102c0080801040010241850240030055800880820a40084014804040000020000024034000a40004000a000800140302018700442042040002342110542410002048102012a08c0881000000000834221041884000000024800020850a410400000040048010000202450702000000100018a0094010015844a800012600152000000208000052200842402010000110750202000c08100000600200640802040002218200a0200001210a25014820000861041080800051080010201240010000240061064004284290800065860825200000000000040a40881881a000000a00402a10200010c02e0080040a01021244044280201a440c0000821090040205814a008500a00100000802012110402040040008800110a00300c4880020aa4a200400140c4010200080040010</t>
  </si>
  <si>
    <t>A35638_0198_034080040074200800230811000094000a81820041050001210010084800870885045280004291015001001a800100a0004840201014020041080001011000005220801220a15041080081080a440600112040300050210402800300010200808810940d0804201031044a000012c0080a00a100800a48010802000500200008040140840140202400d12000840d02100340800012440040000118110400000408402400912200a0014001a100400a00010200442010050048100648008902010c10400b5811881000a20000214000021251884a210800408000248110408810d02408100540008308440000900000112118600240000042040012700a02848000208118148610808408450100900110a00b00000400100040210c00000450410842008010c00118040840040000040810a00400000e0a10011a000800050000c08a00400100800a0280240021a00801000020080010090230000010840a000408808202008148240842100802002318f1a002400300a5810240891a002c02040140042200000848402000200218008002040402400a02208800c0081240000004000a50</t>
  </si>
  <si>
    <t>A35638_0199_0600412100a02050040b1801844800254094020810024280a000400052000610050840500200102340210018212010002010200200108008100302002200418840c48510402310608000210440040042800010110c0001004010280000000824280801200000000060084201a90080004010090890080851010210a008000008002010c4804001290884800804280a010742418400810410148102402210800048012808000540a00810c0a00080004220040004280884210205810a400b02000452640140542510000c10800c0080805ac0831800840040020840010841000005000220850000010000a550b00808012200a02600100000000418800008a12000008202508200800010402f0800004010814021200220880270080841840201004084a00820004241801000a140000000200640000200b42008800c00210000d0010051a610250408410000310000108800800540802000402800050000400848010000810a52000512002012000400b0040210090085024a100000210010600202010000a0a012412c0890041010051020000000a100412200750010c12900040700b0</t>
  </si>
  <si>
    <t>A35638_0200_880a800840000318102a0010040080004a200502000412c12050440308300808108000040200050410800c42600000108158042008200050000442002408d08000002040340a1a140100100250000008800040010852000002340810200b1805000000200881860070800800200240800010a41010021080000800000000020204004094810045040040061281030020064080091801010040200001040004021a500408002040800802000c42042140008400e00000910408012702018008042412100302018108008242440c40010000210110000c4020080000260024044a852100008008600840808c0000a24045010090825010090824020001031000a800942200648008650a02902002052012810a00200050600010000c08210010100040012308000640058010140048500200108200010540802208210a0040000224010014040021000014024000005201040040a90200a008008000018202410000000058500600e40900140048100400012040100040900648208002a1041040200a00091020041200030a21804230004240200004a040412100400c00800000a1844010</t>
  </si>
  <si>
    <t>A35638_0201_000044000090800225a808258800040a0a800050008500a4a012a00040408400018000110e08208048110100c1005054881801a910210808000a08842040000240800040f00008058408442000100800142008800202000900000140058218808200450000b1220070054a800002240010102808408400c00100208502a00810250002100042440808800048902102040248100018012400102108200c0000a240002000000000400600048c0070014024000020a040400300902010500240048102e02308050000010c10000c02002000100050042000402002200d00040410010800048408410000002000140300000000e10602000000050440808a40802050040942042110108458000200100202100a0240000004a01200040061200004024080a018a1000085894090001a600400e10048900208018210008042610110340200200008040200000d02800102018e48000042008808002000410200412448900200900700252002002902140100d08040440808208400200000002c10f0a01020880020a05840000084004011081840050260080010800000000a90050020004820</t>
  </si>
  <si>
    <t>A35638_0202_841020210000014821a100002a10040440a0800061025a410c0080a002108008340400012000a08200c0004080000220004a50211864081001000a05025200010040811224001821201880040010040000050001020085080040221a152200712818000848050342000700818900240102200400d12000810400042042910e0080014020005010011800260000014810210a800840210010100040308800800000000740242018810800c1000000800a012110008c40100200110008108608812900002a10040710800840802402108058c10810250900848900600600408408902040108140300608012410a08110400008012800540000242340a0080020054000825000870064a800840302200310a00448000010908208240800010040442002112002608800040910202918008000012408800402210008418318800400400a5050000031001080280a010340008418e02442002010000008a02248000c02018408010702000440500a10202b00000010810102110102100242440940040208040608d1804001000020050021000200a15290000220271824024001014010800000</t>
  </si>
  <si>
    <t>A35638_0203_0500000850b0005000a800902208412008012110400200840002808100252810210200002940000400008400a1080200005a210100300600400740010010800410000102848200518600200410000040800042f00018210400200000508108040208102008800010008210800902208100008210400042142200900700a00802618050540040010b10000800540f02002702000008050042042b18100000800200900a4a000202500600a0084080001214a000018000d00102012002000108c0895010280201000000221001080034a500918b0ae4000004010260280090040084020014020210895044200200014824280010220880010035800830020280810234200004080060284010044080840800000884004080000200200040040081084001204000005804ad12100a00602300608002800802040418000800842100408808418000740402040a00000350000c10a4841000891a01840024244814080a00010020020a00804054200800030011004000010a100050600012600010200202040000510010010040302108d08c0000000020a94a01220000004004200035220841</t>
  </si>
  <si>
    <t>A35638_0204_0148050102d0081000851080260050240030020881041001a10010a002002808200800010000200400018d42048400a08040100408000042012040258108010202808d02000102118000100c00852502208108000108058402802010410510210002400008942242000842002840800010008a10e0880a000600000112110158240100000300000018402450412b00808452900900002800808802650200440c10040008050048908112212012202000100000408c08800348140042200640a40012400210448d00b08048800800212248500800208000802010210308250008040148200100518300848900100200600010850402910f0004261800080a80005000094a140610450008d1080280800800035000081200205004200820a002c0040800040a21010800054200205214a818402442c12100218110300010a00040a0814a10010060201a100c02a4201000000a040040000a02200a00140210012002000112400110e00800300108042008402800112300900140e08140008040002a42042310a08450140402200000100802212400700a12108a00410440400c4004021040</t>
  </si>
  <si>
    <t>A35638_0205_824a410440402100000000000008500202102002900900000d0040a01030201044224a000108812008800400008800802000108010c0041200010004060801000800a05014004024000000024080020811a612600908040010500050600100048840000040310000800410e10500248b0a100000050202800342800500208800000110600000442400010000940d00112040000410050000c48842000000140a1284020000214070081a042100a0094a050a0881000a10004080214021810004a412000a0040060011001800000a30000810090ae0080020290004061000805840044814020020060a04a050040910408800010208000e4020074841041201a400200012100a0884204015080034010090080a410012202810450d08040410000e00040000100100242000e02810000000e5000040004004005020880081891040a018608a08108402440500012100e10102c10402002250000600040002040000200400d00e00200152240142102018a00402000000002158010012000040008800500510d0084800210200020a40004024040004020020080090a80800044201800291</t>
  </si>
  <si>
    <t>A35638_0206_0140402400100b18400210340402c02800a08042410042208000502040050000402440500040000440e00042242040900b1824800021081000280000021a008e40008c0014a84011200001800014010005050841024080200254224020a40844001001030004a40a100010a0a500600110210018808400900102310452110812048840802808400010210018c4200211040000001200000080a01a100210008242400540100050200e10a12500008200418908042800400040040200110200008c42002110012408802000052048008240a08808a40510000100642918c08842100000800010900808800040240000008210440800102102200402e1800021000204890240810020024844290000061800000060890090001050090084a800410000052050108010408410a4290014000804001ad0040010011010800041880280820a20aa10042202000000040410008b02002410208008050800400a0014200020020a100058010800408150100c00240042040400802040d10002a0094010010810040000a008040100202400800300850500c0201804801005000054024801810010</t>
  </si>
  <si>
    <t>A35638_0207_0408210100502240400000b02202100102042040c18400842100c08a00408318f0020054254214054240031000a402b40310400008040c00410200a10300100a0844080024820840251000205000080200025a60021004a150100002200d0014205841080010861080060000815000210000890001040010240880000061844021200020a018410a10918c02900408048142200110448140000050002010300e00000800240040508d02410440808800000010952018002100240048400912008c4030821a142410710200002200a18000000c40008840200050542410050802040108208040008412000140c0001220a600008458012040208710810102400010c40300012200008440440240912140000408602800b02248018000308000000b02110000200850440400402202050000708010000d00048600810200808002000208008200340850502200200642408012600d0000001a208c00000402000400140018008048058100502800300000c48240c00100308400008058048000108008002010250800c0230a80200200001084200260031000091004041241010281801820</t>
  </si>
  <si>
    <t>A35638_0208_0a1004000060090001081010005280040000250040064805084080014a148800400608050848200002000200200d5210a00050201880241204010881a400200150800002000b4230000880244014094010045010000800094000234000001090000004200000014840020881a400602100442200100050002a48002002810440010002800012740200400802540800000202910142208000440012050900000402410000000008610e00c0800020004030870005841291280000005280881001a102200800700800c5004a94034010004061080a000400900100008800100008400400302118800800008400c40800500000158002010902810050500000008940842248408008d40200850308840008618010002442008110008008640a4210000a008200400d0a002510408800112900412200400642100002300200808100000240412000200c50400400b08500910000c00000400050112000600000400302000710c10140802000800008108808248250010a40008200800012010800200102010100000012000542210002210008812800000a1865a01890204050020010a01820</t>
  </si>
  <si>
    <t>A35638_0209_8002640002c0a90a70020804064080090291000a200c10818800300208208308008640842040142010900400840800500940602410012002012800312210408440000140002048600000d00018400d00840108408050018040002242402100840400802000208002818440a10d0004020854a80000801010030004a110000900408812042810042200a02802800000000500800a4041000010005a04041060020800230031870280040aa48502040800210700500800002400248102c00000c10000840000012f00608600000102042002100d00800040d00000018000802000400800b00012018012040010848810002008110808c4080804004a100848000140500000408400a00200000700102108210800a08002040000050c10000810400002812308300108000000c0004030800001061095080891200200000044a010100010200010400848040408000010818000412100008008000a08150a0010280210a100210210408412200002212008a48c1094240200000a000108200400642348400a00a0864004040000824040800a600c00c40000050108612042900c4821210080</t>
  </si>
  <si>
    <t>A35638_0210_0940a00100c4024230041025000a012c4200021a600000442012100000100600000a0041074010a008200c58818000142800000e00050000410900a0200020014800005080080000261021a600000008900450000002210040008108402a08018648942c40800000900400200012008208310510400000440a02000142008652210110848312400f0034081091200201245a400010800802000200110100d50210502a02100602018008400800040050402608810008850800850100008840c02040008840112800502010c02600140012400650400110900208018400208008140200010042010150002440040200012008442000000008202308000a40c0891024881815a110042250010008340018810800442442400100600210c4020081084001824030024040a400002008040108902a48050508012500500210448042140300408400008052050100308108400010800c00e02000512000d4221000044805001080001801a84010800020061820080210040081041aa00402012c1060000a000000000c48150a00000010400a4000041020084a00000024280255010824800000</t>
  </si>
  <si>
    <t>A35638_0211_0000000050400000418000c0a610002202000250000708440910440108008c0030080204240000204080040001a11020a24000001000a202c02c00000412608002010810040a0a600c08018000000640300002010040800502802908152810910c42840208010242400702048000900900108418912a0a41000004a000500708650442100000002e0000080ac40d40200000b08900040102040008102100000000410200b5004011884040801000a302612a0044a202110008800450610000850000a00008308000948008400c0005031080881000014010821200201804800a00020294804080014a000002100a12400000808a00142800842210000142218800440800240800742202c02002202010010012a12000d0a250348300000200902800812410000e00040140648012100a08010c10002a00800602110000012010b4000a012100058008100140802010408400010842600100200808b08402840642000408d1000041004040010205200001804081000201a718100208842540048110000408410212400c02140318800800008000000a0011050000a002800408000442e0</t>
  </si>
  <si>
    <t>A35638_0212_090a20001200080a21020081a408102408012000a10858800012048210240108212448540800008648118050002c10140010508400410250800440208048c08100c1000000020a60060820084a40244234a400000c4040251080021000a500210000500942952100400202840812002002010a00500210c00000108542800402002052200010310108800048400b0004061200020a808810008a40100800840812852202050008400410450400608b0021220011004210290000031060091a01005000201a252500040002140802200258500010200000902210000208000840102808850110100840a0040220800000aa1815020a00244a80010061000080815000004001a00044840004260801000280021ac1080220211a10040020a000100108002002200010000800840b02140c0004020055004800800800800220a940102008202210600410d42800050418000002410040242000410010410042000000800102910a00252100808818640000048800812000110052100800c50500c00b4020801800200080004014001270011001800220800020820014a00001090211840030</t>
  </si>
  <si>
    <t>A35638_0213_8918850112040000108108b4200094074005010220804220a00044084050ac00442a08042a4201200240090000090280020070201004001004020880840001044040810090a000448010208c0000050025820a410808048050100058058010402000102000200310a00502600800c00102000700942210000008208650000940000050000a02002400c00612840140810000110002412000902210002708040040110000b0004000011a052150b02112200000040040000208202200008100410c12a0000044880000864000000000050ab00208810040a0024205000004040a41050080001060040004800080001a000000202e00540100012342100a00010400408000408408a00050012240048440308012000c0210010224800021a448040200812002010a0020201000014000a108008000002000008000218312400800548202052910300448400500018412200348040402c00100000000050002900202052402508110000100400042300810400448c00448100008818002402950100248358010400402002b00208018100802c5800020800811020000064014200881204200</t>
  </si>
  <si>
    <t>A35638_0214_0b1200290280a840002c00000012040240040000400c08258100040200012218048000c02a42a00010000000000412a0830a00041001081a800100a10000000440240402000000018300602200100e0a000048900010002500208948040308a0845800014000264290004800084000a21060a400200c1a04030224800000021000281240080a440600a00c4080200804241060004080a440042000048a00048850002400002300000000018910008b00100d10808052452800102018c1010800a10054001040801051084011040080a612008442e0a100502012010908200e4080200001a41010090204a812102350302400150000c02000040002a00d18600500802802052818710408902600008008408448040000040300602010402800010802808200f00c40008040d4021241801800020010060004000250001aa00402f40000250000200a0a040500100110808840000102b0200225011805a400800e0a00000241000080200024000004061000aa08540500002402200010a1a040c0200851000080201a842000240140810600a0800050030a100110202448940448840202a0</t>
  </si>
  <si>
    <t>A35638_0215_0008a4000010280a40200094080001210090230a810118200400100900242100000600100a00010048418710048c42000200540200b18000000200a00400300210040040408052012018512000400240b02100200448208800c02218100510102c02840108340000200650602542008810410800a08400810000010708018908c00100148040212000800a02010200842400010018800112102200408010200410010002148200c0815844000244001204880011044884044a252000810402010150600a0820040084a04010284211001040045041890000824220040840024090010a20000021094060001260025820a008140840012140800012818000040510300108100000610002100100902008300a08400000000a0004a00005a00a040442002010200b1261000004281861000004a858440a00000400000510818902a00100408010400a0090050a00800860800004200090a14020010024080000200a24000860004065001000000a202200b0a202002b08108000500410008c40000040010510218408912000050302600000000840000110440200808000000602042502c0</t>
  </si>
  <si>
    <t>A35638_0216_0400010812000202000000d40200410a4015a10a000200000050140200218800010058002900a0040890030a24000080200234a600008400000200140008a08200e42500040152000000000c0810000081a608110412c02442108218000008208408400202040540000810650800148142400408108800002102902210808a00000100800040010000040a12000a00258218008000648100408b02208400240040910102a00042508010252002b08a4201890044240000020a01041061040804a050940902200208a02800c1200090060861024841a40210014840010000800804024801054000010024001220090005050880aa00c0000800000001081040a040a4880004811084820211010004030000000800a850c00818402210c48010902100102000000048018150608010400a1815000200204a102018000c00c1080280800040050025200a800300002008100802a00500802a48100400208800000140008000100b00a1004080235845240850220ac0020805a342718008400000040010002c0000080010010000041060005224001000810054081040080040090015240001</t>
  </si>
  <si>
    <t>A35638_0217_074820090004020064001021880844240a900000300018c02800308942058010210000400702808112018612c00000500110300600a4220810064004225000800260004014211030240024000a040502000402508008a4a812042212002a00d0285091200880a300210800418050c02810400300610048100a0aa40002400000802802800240408c00002208840100858510800302800402442b08258210200040900202102110200308810012002048008418d00402940200002140800c00200802400040310818000610112040802310910040000010108040540800518a40010800808202500a0000040000000804031831004014020a310108900242018040242048048200402008000000810208400440250c10100a10700500818a02440602210012810300000900200b00048808018000800400a02012018008402042c00008002208150000900840000548100a00008440c0200031091050800085200801805010000a400d10908218142008800010000540958102000008410842040202108008402c4841010280a44000040201a850040000012c0085020000020ab0801811</t>
  </si>
  <si>
    <t>A35638_0218_020024050244811000000870800a04030880801020000020000060880001201015084040020a80a00241020004a40000a840210200000802100808800400500050400000448308002500a1081804080014a35000811840201200080210040040004200044011061a100000010140840000058c0000220251004021230840040a040840948a10308008002810402a08308400308500410042f02808400000948042140902040202108502008000402940042000040050010642208008810102a0000004200001061030240241010000011050001a00200224005200080090040a510000248008a00c5241210090a800108500e08400000d00800140808018010100400940112800040400402e00000600500b1800081000000a44040054800050010a00804011830080041040804a408410912000c00240802012a0844220a10280090210080004aa4ac1280a158140010402218800440000050c00250010050100110210000102000040008000200d0080880280080004015800004a21200024204205200890804894000201840a200210440540e0204840800000264081040201045a80</t>
  </si>
  <si>
    <t>A35638_0219_0708648000908110008010408610442100202218200a52002040840148312100850208410008102000100848010d1084014240071054280201050a04000880801a400900a0004a45200881881a100008012000210110c08000008b00042018010408000900240600b0011084005004034200081030005094080000800200020884a40024200840800814000000284210010a000302a00810600040040508818440010500800210018e00008012400218410400100202110400100150010402400002040140610908200800110940108400200d10040000000810400000002810800308812112c00000c08000f0220204240010a202c0260201840800050804000284a240548008312c0080080000a000108008448002440a0201a100102640102200052402418500840d1000080a240108100400002848040010010a48800900800010200710c1080800020a25020aa00018818000000812400d0040020000204024014a000002c00040200200210008a08810040c02000648500100800010040140202200202050050c02110000000040800940100000418b0000000080060020805220</t>
  </si>
  <si>
    <t>A35638_0220_0218042512302002002000448808840908000000300040008810400110400118300442050000340100b0001a408040500000000000218010000800800100500210010500408058200500c02402010440a00118a00012018550400042102e0004080800234001a302818400000402040142048018940842010848810040b18000000c0084081804810015a812c0000a00840000001824a852248110002010000600402202150450600000408810842100408200112002800000208208900c02812c50a0010215020821000840240894200000824084810000a050252200042410000408000442a10048210042d00102110408940000000000a00018500902040400a0a10024aa18100202802148210440000f10010100508a08008210710800002040008048000d00240510c0820a14000800040094040215020281020a402802002040100a0044804a002200a1820080091084211000004214020000884201084010010041801884041010210a01800080204a412b02b40608a1011a200c0030a052410400808e00902008200018200048400c02642818400100258a1004220204010000</t>
  </si>
  <si>
    <t>A35638_0221_094000000074a008000000a0201880080000061801810a20a15204a040102000400e02010c08008302108000218000200840052200610048012000148040110008000150702010340810a40810010048a02110400918000800000a0020220020261004014281220090094880ad10800010410c1010061044010201a000010408202810008050400718008c00000102000250008040252800000b0a30020084040011010001801090000080045230025000810000a040000100140240308000c48000308902500800002000942108112242000010458000002008010300850000d02a02010000008300400150200802258810002000000840210402d10340002040100008408000040202410208a00010300200a40440802802202c00000808800002010008210308012110002218248000158008000402050150d00400808002102a0221000870220885204081040010030a81090044000040050021001004080084214010084a008000000b00008000f08000800b4a212202400800252410840300002008718650002e0081211000051040004000800841230020800294060010004880</t>
  </si>
  <si>
    <t>A35638_0222_8800212400200300408610100818400008b4204aa00040010802640008310000100842d02800000110808700008500148350142210408000000948100300918c4240000020a202210410412840010000108200010040418002540000000000300008812040000058700408040800900018142808318c50040508008040400000448400c0a10011000010280a000842308400200640212450040212000500212600010f48108100800240048c52808000510a00402a18010600202042a00100012100d48042400b08040202010008900042a1050000a140a00000002608342000000008140008800800602c02000818458000008840802800a02008000200050402e0020000010021a80a040002010102000850800010000a50040d08600600500100840008400208c1000204800000a400542000102a00140640310002852510100002442e08840000050a48850002108c50002400708808108e0081a000802040108102410208000c4050010064ac08058800840800a0005080044001000240000201090001060000080204224020000a00285080004000001090000a10284221a24090</t>
  </si>
  <si>
    <t>A35638_0223_804044080050810250001054240801200a04024220804860201204831005000040a810d10500900002200040c00012040a50002000a00450040300000500008140000812540100718c00e02040112008210602518300a0a000c02808210410010602500c40912008300640240002500000048100058a00d00040842000110942c02400a4a00841021040840840084001a052100408c08040908140000000948800000142012010410c00000040308b00540a0010801a040c0031000020801aa0a010c0810044041005200800080024a10000024041004040a14061051800080000060280820a800500450c00040008100010650400412300000200418b00008840948040048600210c40010c0285050880000045000014020210aa00b12200c0004004000a808600012400242818500a00810058002208000440810d1240a85084820200040000001240004800211050044281a01044220220280840800091210000000200800261a00084000040071005004200200034800020004040201000280810020004084804204a952052900810200100a0004000080020060800244010810020</t>
  </si>
  <si>
    <t>A35638_0224_0348008c00802340008800800a00000100300002d0061045244200025250080854281090200820254010844a440100340008540110002018540000840610410a00000d1220a80804a00080240005000a10060830000820240010211a402000808a40540b0000041841030240001070281a000000440010c02200018150900500408800c00000350700c00002050008000602000b48250142108a02210900002000112048102042000e48040000e02000300010208e02000040b02208010c40058942800200200600000410050002018018c10100448000b00908010008210000140100110408208c50002d1000005810000001040081090014a31280021200a400000a02008810b0000000090a050102200508002c10800140050000b0800804000a042502110108c4010034805820050034000881280a11060240001820001040a900148900810240840002a1000001805064055200021020040800a010940000200640118300a00c0034230010a11824020010000824060000880804800000005001a50004000000000824840011800a642052440110340100600c0800094000060000</t>
  </si>
  <si>
    <t>A35638_0225_0212c58540808300040410202002050240000448210108c58800a40102052c1800a61a100300200008600812852810e42018408008000000040240940008518248052850102000602008100c0080080020010000015864000240004040a200802200140600908040000d4020890200a950050400d4041200240801020290021a010810008148000800410000540302a4a000000310a0004004031004000834a842000c00110208c10400808500042002110018008040000402100100808500250100a0800a600000110c0280014880a050800300a5810000000000200001864210220084241a010040008c00000808300218350a0200000a000040210d00000902d08802240800552600800002208000200500840040008008002800200e00940248050002008018008810c00910018400408018010c08002242b00118040100640240212810d00040040c40840410410258c0a110808008008208448c12102000248540200908402000608a40040600a02400102000008300410750002c00040110208900208200040c0a000142010810002440900100110000808050800140a0220080</t>
  </si>
  <si>
    <t>A35638_0226_0602408012000212102c08c10400000100040500b00402040450342800452618000040442100848000000900410800c00000500100900040400242012002000008800002840242048200000c02012b0200841830010004a110800000148108012800500c40018208400042202102142800008010802018802b42040110b08d40610402808100002800b1260254010805060080080000a00000801220020821841a440508208208200100010040040000400c1040a04800240a20a512010050050952100108048008410048000240150000000040600100400a0804a400440048902900840010400c0060200004884034080810a24000200020814a900600400410a02010500d00810e48900a4a202452300408000940008100300508000402000002a00510910000c00000c00142218a00102058100802000010000440210400208100412800140012050648302010600208600040900010102908800440840000048458210008440802a00000102210100a4000080200871030030040010010801020200040040204080025804a50000000a40204281054200021000800020001204060</t>
  </si>
  <si>
    <t>A35638_0227_0002800000a02210000108600210140000042710100d0021005074014a00820041200080010004270a400a0040a800140000618000008410d02100042148a0020020050000001051041041840281290205824021830285881020020010801080000840244a108042000008a0804200000814060800885000210031204000030200811000010820040850081081004204020a900e00600550440000312408002818000800818000008808650012b40100200008a10210002000900242400610208440000252000100140002452a00800402408b08202800408048002800400600802640112100200000c48110900200418500b02000050842008050000042010000202100210108800602940000200300600d02800100848002400010810050110b4800811880010020040000201a000210140008100000b42452500212040c02500100448810000600c0010030a04a910418000040802a1800200054260091020290020040081085000284834000800014041a500848200200a00442002800142200012408200200010200800642910002010500040108208300302800040d00902642a0</t>
  </si>
  <si>
    <t>A35638_0228_080824001024aa0001801084000a44000001810840084040044030011200a400a00810000d4800a44020810880004050001011030010025201040a010400110e12000000800042040108c0001811000804200040880041204000000224810084001000044800875800090200800284005000080000020a11230080020a200008058102002000000e1021241a01010000a51881050020884030005250a410452000000b00b08640500018002d0020020224a100010000000a08a10012800208440402000042010208f02200000c40000042a18810c0290084030820830014200244050085a100100440c00040a0010001050804000201080aa4064240081060040054000040aa10a1284080090084025041001280040010080814050804aa00510440200008018040000100b0800210891020000800010a00001031024020800000a248108800840440002600000442010202000410842800100610240848812808102400000a08002100002018240000a08c18000040010450500000800000942100500210110840802640018340a0800800004000021024000845020244000a30a00081</t>
  </si>
  <si>
    <t>A35638_0229_</t>
  </si>
  <si>
    <t>A35638_0229_74cc32a998d900511232092a341c0822c80c707342a910f47024390387804039018e6a228ec9520014202c90ee5112211ec5ad074012a18251732ec551e0d098e0a0f23307aa4d51c41290205850a9141ec488e320d1fa88028b5581518189070a3ccdea4447a22611c0824b5e145a5a09a801cc60815029440af2208aa81641462320143846542c29828a9021418450ed118ea48f4582925e385814019c16c266016849f98c254f06b9df0a004a9545403b009667c2a1a091216820325a2850890c7468778802334d064350ca3400803010380ab1064e8a123070e544785814ea578f42188284ec63038c008505f54a77103a02293990400ea521ace036d9381018c00481f80fed104e1402e100a632b16810202405271d088024283b314072308380c028c4424e0c5cd1681ca6052773604d7844991a11184308e0089415c4c016824d4608318a0d99007e1123a293808001dab846457834dc006e922941a18ea105920e018c23b8671064514d2c604a29458a02288210129127100404aa29c1882a20928354838448b9b05c863310f48a0094c19cc1c45438090b8e0727102c0c222a</t>
  </si>
  <si>
    <t>b</t>
  </si>
  <si>
    <t>b7ed</t>
  </si>
  <si>
    <t>bd7e</t>
  </si>
  <si>
    <t>bde7</t>
  </si>
  <si>
    <t>be7d</t>
  </si>
  <si>
    <t>by parameters</t>
  </si>
  <si>
    <t>c</t>
  </si>
  <si>
    <t>Custom init D:I3..I5</t>
  </si>
  <si>
    <t>d</t>
  </si>
  <si>
    <t>d7eb</t>
  </si>
  <si>
    <t>db7e</t>
  </si>
  <si>
    <t>dbe7</t>
  </si>
  <si>
    <t>de7b</t>
  </si>
  <si>
    <t>e</t>
  </si>
  <si>
    <t>e7bd</t>
  </si>
  <si>
    <t>e7db</t>
  </si>
  <si>
    <t>ebd7</t>
  </si>
  <si>
    <t>edb7</t>
  </si>
  <si>
    <t>f</t>
  </si>
  <si>
    <t>F:\hsc\SC\A35\</t>
  </si>
  <si>
    <t>F:\hsc\SC\A35\A35638.txt</t>
  </si>
  <si>
    <t>f7fbfffdfef</t>
  </si>
  <si>
    <t>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fffffbffffffffffffdfffffffffffff7fffffffffffffffffffffffffeffffffff</t>
  </si>
  <si>
    <t>fbfefffff7fdf</t>
  </si>
  <si>
    <t>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ffff7fdffbfef</t>
  </si>
  <si>
    <t>fdfff7fffffefffbf</t>
  </si>
  <si>
    <t>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7fbfffdfeff</t>
  </si>
  <si>
    <t>fefffdfffffffbfff7f</t>
  </si>
  <si>
    <t>ffbfffefffffffff7fffdff</t>
  </si>
  <si>
    <t>ffdfffffffffffffffffffffffffffffffffffffffffffffffffffffffffffffffffff7fffffffffffffffffffffffffffffffffffffffffffffffffffffffffffffffffffffffffffffffffffffffffffffffffffffffffffffffffffffffffffffffffffffefffffffffffffffffffffffffffffffffffffffffffffffffffffffffffffffffffbffffffffffffffffffffffffffffffffffffffffffffffffffffffffffffffffffdfffffffffffffffffffffffffffffffffffffffffffffffffffffffffffffffffff7fffffffffffffffffffffffffffffffffffffffffffffffffffffffffffffffffffffffffffffffffffffffffffffffffffffffffffffffffffffffffffffffffffffefffffffffffffffffffffffffffffffffffffffffffffffffffffffffffffffffffbffffffffffffffffffffffffffffffffffffffffffffffffffffffffffffffffffdfffffffffffffffffffffffffffffffffffffffffffffffffffffffffffffffffff7fffffffffffffffffffffffffffffffffffffffffffffffffffffffffffffffffffffffffffffffffffffffffffffff</t>
  </si>
  <si>
    <t>ffefffffdfffffffffffbfffff7ff</t>
  </si>
  <si>
    <t>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fffefffffdfffffffffffbfffff7f</t>
  </si>
  <si>
    <t>fff bdb 999 7e7 666 5a5 3c3 242 181 000</t>
  </si>
  <si>
    <t>fff7fffffbfffffffffffdfffffefff</t>
  </si>
  <si>
    <t>fffbfffdfef</t>
  </si>
  <si>
    <t>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efffffffff7fffdffffbfff</t>
  </si>
  <si>
    <t>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dfffffeffffff7fffffbfffffffffff</t>
  </si>
  <si>
    <t>fffdfffffff7fffffffffffffefffffffbfff</t>
  </si>
  <si>
    <t>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fffffffffffffffffffffffff7fffffffffffffdffffffffffffffbfffffffffffffeffff</t>
  </si>
  <si>
    <t>fffd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bffffffffffffffffffffffffffffffffffffffffffffffffffffffffffffffffffffffffffffffffffffffffffffffffffffffffffffffffffffffffffffffffdfffffffffffffffffffffffffffffffffffffffffffffffffffffffffffffffffffffffffffffffffffffffffffffffffffffffffffffffffffffffffffffffff7fffffffffffffffffffffffffffffffffffffffffffffffffffffffffff</t>
  </si>
  <si>
    <t>fffd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dfffffffffffffffffffffffffffffffffffffffffffffffffffffffffffffff</t>
  </si>
  <si>
    <t>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bffdfff7fffffefff</t>
  </si>
  <si>
    <t>fffefffff7fdf</t>
  </si>
  <si>
    <t>fffefffffffffffffffffffffffffbffffffffffffffffffffffffdfffffffffffffffffffffffff7fffffffffffffffffffffffffffffffffffffffffffffffffefffffffffffffffffffffffffbffffffffffffffffffffffffdfffffffffffffffffffffffff7fffffffffffffffffffffffffffffffffffffffffffffffffefffffffffffffffffffffffffbffffffffffffffffffffffffdfffffffffffffffffffffffff7fffffffffffffffffffffffffffffffffffffffffffffffffefffffffffffffffffffffffffbffffffffffffffffffffffffdfffffffffffffffffffffffff7fffffffffffffffffffffffffffffffffffffffffffffffffefffffffffffffffffffffffffbffffffffffffffffffffffffdfffffffffffffffffffffffff7fffffffffffffffffffffffffffffffffffffffffffffffffefffffffffffffffffffffffffbffffffffffffffffffffffffdfffffffffffffffffffffffff7fffffffffffffffffffffffffffffffffffffffffffffffffefffffffffffffffffffffffffbffffffffffffffffffffffffdfffffffffffffffffffffff</t>
  </si>
  <si>
    <t>ffff7fffffffbfffffffffffffffdfffffffeffff</t>
  </si>
  <si>
    <t>ffffbfffffffefffffffffffffffff7fffffffdffff</t>
  </si>
  <si>
    <t>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dfffffffeffffffff7fffffffbfffffffffffffff</t>
  </si>
  <si>
    <t>ffffdfffffffff7fffffffffffffffffefffffffffbffff</t>
  </si>
  <si>
    <t>fffff7fffffefffbf</t>
  </si>
  <si>
    <t>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fffffffefffffffffffffffff7fffffffdffffffffb</t>
  </si>
  <si>
    <t>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ffffffffefffffffbffffffdfffffff7fffff</t>
  </si>
  <si>
    <t>fffffbfffffffffefffffffffffffffffffff7fffffffffdfffff</t>
  </si>
  <si>
    <t>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fffffff7fffffffffffbfffffffffffffffffffffffdfffffffffffefffff</t>
  </si>
  <si>
    <t>fffffdfffffffbfff7f</t>
  </si>
  <si>
    <t>fffffefffffffffffdfffffffffffffffffffffffbfffffffffff7fffff</t>
  </si>
  <si>
    <t>fffffefffffffffffffffffffffffffffffffffffffffffffffffffffffffffffffffffffffffffffffffffffffffffffff7fffffffffffffffffffffffffffffffffffffffffffffdffffffffffffffffffffffffffffffffffffffffffffffbfffffffffffffffffffffffffffffffffffffffffffffefffffffffffffffffffffffffffffffffffffffffffffffffffffffffffffffffffffffffffffffffffffffffffff7fffffffffffffffffffffffffffffffffffffffffffffdffffffffffffffffffffffffffffffffffffffffffffffbfffffffffffffffffffffffffffffffffffffffffffffefffffffffffffffffffffffffffffffffffffffffffffffffffffffffffffffffffffffffffffffffffffffffffff7fffffffffffffffffffffffffffffffffffffffffffffdffffffffffffffffffffffffffffffffffffffffffffffbfffffffffffffffffffffffffffffffffffffffffffffefffffffffffffffffffffffffffffffffffffffffffffffffffffffffffffffffffffffffffffffffffffffffffff7fffffffffffffffffffffffffffffffffffffffff</t>
  </si>
  <si>
    <t>ffffff7fffffffffffbfffffffffffffffffffffffdfffffffffffeffffff</t>
  </si>
  <si>
    <t>ffffffdfffffffffffff7fffffffffffffffffffffffffefffffffffffffbffffff</t>
  </si>
  <si>
    <t>ffffffefffffffff7fffdff</t>
  </si>
  <si>
    <t>ffffffeffffffffffffffffffffffffffffffffffffffffff7fffffffffffffffffffffffffffffffffffffffffbfffffffffffffffffffffffffffffffffffffffffffffffffffffffffffffffffffffffffffffffffffdfffffffffffffffffffffffffffffffffffffffffeffffffffffffffffffffffffffffffffffffffffff7fffffffffffffffffffffffffffffffffffffffffbfffffffffffffffffffffffffffffffffffffffffffffffffffffffffffffffffffffffffffffffffffdfffffffffffffffffffffffffffffffffffffffffeffffffffffffffffffffffffffffffffffffffffff7fffffffffffffffffffffffffffffffffffffffffbfffffffffffffffffffffffffffffffffffffffffffffffffffffffffffffffffffffffffffffffffffdfffffffffffffffffffffffffffffffffffffffffeffffffffffffffffffffffffffffffffffffffffff7fffffffffffffffffffffffffffffffffffffffffbfffffffffffffffffffffffffffffffffffffffffffffffffffffffffffffffffffffffffffffffffffdfffffffffffffffffffffffffffffff</t>
  </si>
  <si>
    <t>ffffffefffffffffffffffffffffffffffffffffffffffffffffffffffffffffffffffffffffffffffffffffffffffffffffffffffffffffffffffffffffffffffffffffffffffffffffffffffffffff7fffffffffffffffffffffffffffffffffffffffffffffffffffffffffffffffffffffffffffdffffffffffffffffffffffffffffffffffffffffffffffffffffffffffffffffffffffffffffbfffffffffffffffffffffffffffffffffffffffffffffffffffffffffffffffffffffffffffefffffffffffffffffffffffffffffffffffffffffffffffffffffffffffffffffffffffffffffffffffffffffffffffffffffffffffffffffffffffffffffffffffffffffffffffffffffffff7fffffffffffffffffffffffffffffffffffffffffffffffffffffffffffffffffffffffffffdffffffffffffffffffffffffffffffffffffffffffffffffffffffffffffffffffffffffffffbfffffffffffffffffffffffffffffffffffffffffffffffffffffffffffffffffffffffffffefffffffffffffffffffffffffffffffffffffffffffffffffffffffffffffffffff</t>
  </si>
  <si>
    <t>fffffff7fffffffffffffbfffffffffffffffffffffffffffdfffffffffffffefffffff</t>
  </si>
  <si>
    <t>fffffffbfffffffffffffefffffffffffffffffffffffffffff7fffffffffffffdfffffff</t>
  </si>
  <si>
    <t>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ffffbffffffffdfffffffff7fffffffffffffffffefffff</t>
  </si>
  <si>
    <t>fffffffefffffffffffffffdfffffffffffffffffffffffffffffffbfffffffffffffff7fffffff</t>
  </si>
  <si>
    <t>ffffffffbfffffffffffffffefffffffffffffffffffffffffffffffff7fffffffffffffffdffffffff</t>
  </si>
  <si>
    <t>ffffffffdfffffffffffbfffff7ff</t>
  </si>
  <si>
    <t>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ffefffffffffffffffffffbffffffffffffffffffdfffffffffffffffffff7fffffffffffffffffffffffffffffffffff</t>
  </si>
  <si>
    <t>ffffffffefffffffffffffffffdfffffffffffffffffffffffffffffffffffbfffffffffffffffff7ffffffff</t>
  </si>
  <si>
    <t>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ffffffdffffffffffbfffffffffefffffffffffffffffffff7fff</t>
  </si>
  <si>
    <t>fffffffffbfffffffffffdfffffefff</t>
  </si>
  <si>
    <t>fffffffffdfffffffffffffffffff7fffffffffffffffffffffffffffffffffffffefffffffffffffffffffbfffffffff</t>
  </si>
  <si>
    <t>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ffffffffffffffffff7fffffffffffffffffffbfffffffffffffffffffffffffffffffffffffffdfffffffffffffffffffeff</t>
  </si>
  <si>
    <t>fffffffffefffffffffffffffffffffffffffffffffffffffffffffffffffffffffffffffffffffffffffff7fffffffffffffffffffffffffffffffffffffdffffffffffffffffffffffffffffffffffffffbfffffffffffffffffffffffffffffffffffffefffffffffffffffffffffffffffffffffffffffffffffffffffffffffffffffffffffffffffff7fffffffffffffffffffffffffffffffffffffdffffffffffffffffffffffffffffffffffffffbfffffffffffffffffffffffffffffffffffffefffffffffffffffffffffffffffffffffffffffffffffffffffffffffffffffffffffffffffff7fffffffffffffffffffffffffffffffffffffdffffffffffffffffffffffffffffffffffffffbfffffffffffffffffffffffffffffffffffffefffffffffffffffffffffffffffffffffffffffffffffffffffffffffffffffffffffffffffff7fffffffffffffffffffffffffffffffffffffdffffffffffffffffffffffffffffffffffffffbfffffffffffffffffffffffffffffffffffffeffffffffffffffffffffffffffffffffffffffffffffffffffffffffff</t>
  </si>
  <si>
    <t>ffffffffff7fffffffffffffffffffbfffffffffffffffffffffffffffffffffffffffdfffffffffffffffffffeffffffffff</t>
  </si>
  <si>
    <t>ffffffffffbfffffffffffffffffffefffffffffffffffffffffffffffffffffffffffff7fffffffffffffffffffdffffffffff</t>
  </si>
  <si>
    <t>ffffffffffdfffffffffffffffffffff7fffffffffffffffffffffffffffffffffffffffffefffffffffffffffffffffbffffffffff</t>
  </si>
  <si>
    <t>ffffffffffefffffffffffffffffffffdfffffffffffffffffffffffffffffffffffffffffffbfffffffffffffffffffff7ffffffffff</t>
  </si>
  <si>
    <t>fffffffffff7fffffffffffffefffffffbfff</t>
  </si>
  <si>
    <t>fffffffffffbfffffffffffffffffffffefffffffffffffffffffffffffffffffffffffffffffff7fffffffffffffffffffffdfffffffffff</t>
  </si>
  <si>
    <t>fffffffffffbffffffffffffffffffffffffffffffffdfffffffffffffffffffffffffffffffff7fffffffffffffffffffffffffffffffffffffffffffffffffffffffffffffffffefffffffffffffffffffffffffffffffffbffffffffffffffffffffffffffffffffdfffffffffffffffffffffffffffffffff7fffffffffffffffffffffffffffffffffffffffffffffffffffffffffffffffffefffffffffffffffffffffffffffffffffbffffffffffffffffffffffffffffffffdfffffffffffffffffffffffffffffffff7fffffffffffffffffffffffffffffffffffffffffffffffffffffffffffffffffefffffffffffffffffffffffffffffffffbffffffffffffffffffffffffffffffffdfffffffffffffffffffffffffffffffff7fffffffffffffffffffffffffffffffffffffffffffffffffffffffffffffffffefffffffffffffffffffffffffffffffffbffffffffffffffffffffffffffffffffdfffffffffffffffffffffffffffffffff7fffffffffffffffffffffffffffffffffffffffffffffffffffffffffffffffffefffffffffffffffffffffffffff</t>
  </si>
  <si>
    <t>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bfffffffffffffffffffffffffffffffffffffffffffffffffffffffffffffffffffffffffffffffffffffffffffffffffffffffffffffffffffffffffffffff</t>
  </si>
  <si>
    <t>fffffffffffdfffffffffffffffffffffffffff7fffffffffffffffffffffffffffffffffffffffffffffffffffffefffffffffffffffffffffffffffbffffffffffffffffffffffffffdfffffffffffffffffffffffffff7fffffffffffffffffffffffffffffffffffffffffffffffffffffefffffffffffffffffffffffffffbffffffffffffffffffffffffffdfffffffffffffffffffffffffff7fffffffffffffffffffffffffffffffffffffffffffffffffffffefffffffffffffffffffffffffffbffffffffffffffffffffffffffdfffffffffffffffffffffffffff7fffffffffffffffffffffffffffffffffffffffffffffffffffffefffffffffffffffffffffffffffbffffffffffffffffffffffffffdfffffffffffffffffffffffffff7fffffffffffffffffffffffffffffffffffffffffffffffffffffefffffffffffffffffffffffffffbffffffffffffffffffffffffffdfffffffffffffffffffffffffff7fffffffffffffffffffffffffffffffffffffffffffffffffffffefffffffffffffffffffffffffffbffffffffffffffffffffffffffdffffff</t>
  </si>
  <si>
    <t>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ffffffffff7ffffffffffefffffffffffdfffffffffffffffffffffffbf</t>
  </si>
  <si>
    <t>ffffffffffffbfffffffffffffffdfffffffeffff</t>
  </si>
  <si>
    <t>ffffffffffffbfffffffffffffffffffffffffffffffffffffffffffefffffffffffffffffffffffffffffffffffffffffffffffffffffffffffffffffffffffffffffffffffffffff7fffffffffffffffffffffffffffffffffffffffffffdffffffffffffffffffffffffffffffffffffffffffffbfffffffffffffffffffffffffffffffffffffffffffefffffffffffffffffffffffffffffffffffffffffffffffffffffffffffffffffffffffffffffffffffffffff7fffffffffffffffffffffffffffffffffffffffffffdffffffffffffffffffffffffffffffffffffffffffffbfffffffffffffffffffffffffffffffffffffffffffefffffffffffffffffffffffffffffffffffffffffffffffffffffffffffffffffffffffffffffffffffffffff7fffffffffffffffffffffffffffffffffffffffffffdffffffffffffffffffffffffffffffffffffffffffffbfffffffffffffffffffffffffffffffffffffffffffefffffffffffffffffffffffffffffffffffffffffffffffffffffffffffffffffffffffffffffffffffffffff7ffffffffffffffffffffffff</t>
  </si>
  <si>
    <t>ffffffffffffbfffffffffffffffffffffffffffffffffffffffffffffff7ffffffffffffffffffffffffffffffffffffffffffffffefffffffffffffffffffffffffffffffffffffffffffffffdfffffffffffffffffffffffffffffffffffffffffffffffffffffffffffffffffffffffffffffffffffffffffffffffbfffffffffffffffffffffffffffffffffffffffffffffff7ffffffffffffffffffffffffffffffffffffffffffffffefffffffffffffffffffffffffffffffffffffffffffffffdfffffffffffffffffffffffffffffffffffffffffffffffffffffffffffffffffffffffffffffffffffffffffffffffbfffffffffffffffffffffffffffffffffffffffffffffff7ffffffffffffffffffffffffffffffffffffffffffffffefffffffffffffffffffffffffffffffffffffffffffffffdfffffffffffffffffffffffffffffffffffffffffffffffffffffffffffffffffffffffffffffffffffffffffffffffbfffffffffffffffffffffffffffffffffffffffffffffff7ffffffffffffffffffffffffffffffffffffffffffffffefffffffffffffff</t>
  </si>
  <si>
    <t>ffffffffffffdfffffffffffffffffffffffff7fffffffffffffffffffffffffffffffffffffffffffffffffefffffffffffffffffffffffffbffffffffffff</t>
  </si>
  <si>
    <t>ffffffffffffefffffffffffffffff7fffffffdffff</t>
  </si>
  <si>
    <t>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fffffffffffffffffdffffffffffffffffffffbfffffffffffffffffffefffffffffffffffffffffffffffffffffffffffff7ff</t>
  </si>
  <si>
    <t>fffffffffffff7fffffffffffffffffffffffffbfffffffffffffffffffffffffffffffffffffffffffffffffffdfffffffffffffffffffffffffefffffffffffff</t>
  </si>
  <si>
    <t>fffffffffffffbfffffffffffffffffffffffffffffffffffffffffffffffffffffffffffffffffffffffffefffffffffffffffffffffffffffffffffffffffffffffffffffffffffffffffffffffffffffffffffffffffffffffffffffffffffffffffffffffffffffffffffffffffffffffffffffff7fffffffffffffffffffffffffffffffffffffffffffffffffffffffffffffffffffffffffdffffffffffffffffffffffffffffffffffffffffffffffffffffffffffffffffffffffffffbfffffffffffffffffffffffffffffffffffffffffffffffffffffffffffffffffffffffffefffffffffffffffffffffffffffffffffffffffffffffffffffffffffffffffffffffffffffffffffffffffffffffffffffffffffffffffffffffffffffffffffffffffffffffffffffff7fffffffffffffffffffffffffffffffffffffffffffffffffffffffffffffffffffffffffdffffffffffffffffffffffffffffffffffffffffffffffffffffffffffffffffffffffffffbfffffffffffffffffffffffffffffffffffffffffffffffffffffffffffffffffffffffffeffffff</t>
  </si>
  <si>
    <t>fffffffffffffdfffffffffffffffffffffffffff7fffffffffffffffffffffffffffffffffffffffffffffffffffffefffffffffffffffffffffffffffbfffffffffffff</t>
  </si>
  <si>
    <t>fffffffffffffefffffffffffffffffffffffffffdfffffffffffffffffffffffffffffffffffffffffffffffffffffffbfffffffffffffffffffffffffff7fffffffffffff</t>
  </si>
  <si>
    <t>fffffffffffffeffffffffffffffffffffffffffffffffffffffffffffffffffffffffffffffffffffffffffffffff7fffffffffffffffffffffffffffffffffffffffffffffffffffffffffffffffffffffffffffffffbfffffffffffffffffffffffffffffffffffffffffffffffffffffffffffffffffffffffffffffffffffffffffffffffffffffffffffffffffffffffffffffffffffffffffffffffffffffffffffffffdfffffffffffffffffffffffffffffffffffffffffffffffffffffffffffffffffffffffffffffffeffffffffffffffffffffffffffffffffffffffffffffffffffffffffffffffffffffffffffffffff7fffffffffffffffffffffffffffffffffffffffffffffffffffffffffffffffffffffffffffffffbfffffffffffffffffffffffffffffffffffffffffffffffffffffffffffffffffffffffffffffffffffffffffffffffffffffffffffffffffffffffffffffffffffffffffffffffffffffffffffffffdfffffffffffffffffffffffffffffffffffffffffffffffffffffffffffffffffffffffffffffffeffffffffffffffffffffffff</t>
  </si>
  <si>
    <t>ffffffffffffff7fffffffffffffffffefffffffffbffff</t>
  </si>
  <si>
    <t>ffffffffffffffefffffffffffffffffffffffffffffdfffffffffffffffffffffffffffffffffffffffffffffffffffffffffffbfffffffffffffffffffffffffffff7ffffffffffffff</t>
  </si>
  <si>
    <t>fffffffffffffff</t>
  </si>
  <si>
    <t>fffffffffffffff7fffffffffffffffffffffffffffffbfffffffffffffffffffffffffffffffffffffffffffffffffffffffffffdfffffffffffffffffffffffffffffefffffffffffffff</t>
  </si>
  <si>
    <t>fffffffffffffffbfffffffffffffffffffffffffffffffffffffffffffffffffffffffffffffffffffffffffffffffffff7ffffffffffffffffffffffffffffffffffffffffffffffffffffffffffffffffffffffffffffffffffefffffffffffffffffffffffffffffffffffffffffffffffffffffffffffffffffffffffffffffffffffdfffffffffffffffffffffffffffffffffffffffffffffffffffffffffffffffffffffffffffffffffffffffffffffffffffffffffffffffffffffffffffffffffffffffffffffffffffffffffffffffffffffffbfffffffffffffffffffffffffffffffffffffffffffffffffffffffffffffffffffffffffffffffffff7ffffffffffffffffffffffffffffffffffffffffffffffffffffffffffffffffffffffffffffffffffefffffffffffffffffffffffffffffffffffffffffffffffffffffffffffffffffffffffffffffffffffdffffffffffffffffffffffffffffffffffffffffffffffffffffffffffffffffffffffffffffffffffffffffffffffffffffffffffffffffffffffffffffffffffffffffffffffffffffffffff</t>
  </si>
  <si>
    <t>fffffffffffffffdfffffffffffffffffffffffffffffff7fffffffffffffffffffffffffffffffffffffffffffffffffffffffffffffefffffffffffffffffffffffffffffffbfffffffffffffff</t>
  </si>
  <si>
    <t>fffffffffffffffdfffffffffffffffffffffffffffffffffffffffffffffffffffffffffffffffffffffffffffffffbfffffffffffffffffffffffffffffffffffffff7ffffffffffffffffffffffffffffffffffffffefffffffffffffffffffffffffffffffffffffffdfffffffffffffffffffffffffffffffffffffffffffffffffffffffffffffffffffffffffffffffbfffffffffffffffffffffffffffffffffffffff7ffffffffffffffffffffffffffffffffffffffefffffffffffffffffffffffffffffffffffffffdfffffffffffffffffffffffffffffffffffffffffffffffffffffffffffffffffffffffffffffffbfffffffffffffffffffffffffffffffffffffff7ffffffffffffffffffffffffffffffffffffffefffffffffffffffffffffffffffffffffffffffdfffffffffffffffffffffffffffffffffffffffffffffffffffffffffffffffffffffffffffffffbfffffffffffffffffffffffffffffffffffffff7ffffffffffffffffffffffffffffffffffffffefffffffffffffffffffffffffffffffffffffffdffffffffffffffffffffffffffff</t>
  </si>
  <si>
    <t>fffffffffffffffefffffffffffffffffffff7fffffffffdfffff</t>
  </si>
  <si>
    <t>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ffffffffffffdfffffffffffffffffffffffffffffffffffbfffffffffffffffff7ffffffffffffffffefffff</t>
  </si>
  <si>
    <t>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ffffdfffffffffffffffffffffffffffffffffffffffffffbfffffffffffffffffffff7ffffffffffffffffffffefffffffffffffffff</t>
  </si>
  <si>
    <t>ffffffffffffffffbfffffffffffffffffffffffffffffffefffffffffffffffffffffffffffffffffffffffffffffffffffffffffffffffff7fffffffffffffffffffffffffffffffdffffffffffffffff</t>
  </si>
  <si>
    <t>ffffffffffffffffb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dffffffffffffffffffffffffffffffffffffffffffffffffffffffffffffffffffffffffffffffffffffffffffffffffffffffffffffffffbfffffffffffffffffffffffffffffffffffffffffffffffffffffffffffffffffffffffffffffffffffffffffffffffffffffffffffffffeffffffffffffffffffffffffffffffffffffffffffffffffffffffffffffffffffffffffffffffffffffffffffffffffffffffffffffffffffffffffffffffffffffffffffffffffffff</t>
  </si>
  <si>
    <t>ffffffffffffffffdfffffffffffffffffffffffffffffffff7fffffffffffffffffffffffffffffffffffffffffffffffffffffffffffffffffefffffffffffffffffffffffffffffffffbffffffffffffffff</t>
  </si>
  <si>
    <t>ffffffffffffffffdffffffffffffffffffffffffffffffffffffffffffffffffffffffffffffffffffffffffffffffffffffffffffffffffffffffffffffffffffffffffffb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dffffffffffffffffffffffffffffffffffffffffffffffffffffffffffffffffffffffffffffffffffffffffffffffffffffffffffffffffffffffffffbfffffffffffffffffffffffffffffffffffffffffffffffffffffffffffffffffffffffffffffffffffffff</t>
  </si>
  <si>
    <t>fffffffffffffffff7fffffffffffffffffffffffffffffffffffffbfffffffffffffffffffffffffffffffffffffffffffffffffffffffffffffffffffffffffffdfffffffffffffffffffffffffffffffffffffeffffffffffffffffffffffffffffffffffffff7fffffffffffffffffffffffffffffffffffffbfffffffffffffffffffffffffffffffffffffffffffffffffffffffffffffffffffffffffffdfffffffffffffffffffffffffffffffffffffeffffffffffffffffffffffffffffffffffffff7fffffffffffffffffffffffffffffffffffffbfffffffffffffffffffffffffffffffffffffffffffffffffffffffffffffffffffffffffffdfffffffffffffffffffffffffffffffffffffeffffffffffffffffffffffffffffffffffffff7fffffffffffffffffffffffffffffffffffffbfffffffffffffffffffffffffffffffffffffffffffffffffffffffffffffffffffffffffffdfffffffffffffffffffffffffffffffffffffeffffffffffffffffffffffffffffffffffffff7fffffffffffffffffffffffffffffffffffffbffffffffffffffffffff</t>
  </si>
  <si>
    <t>fffffffffffffffffbfffffffffffffffffffffffffffffffffefffffffffffffffffffffffffffffffffffffffffffffffffffffffffffffffffffff7fffffffffffffffffffffffffffffffffdfffffffffffffffff</t>
  </si>
  <si>
    <t>fffffffffffffffffdfffffffffffffffffffffffbfffffffffff7fffff</t>
  </si>
  <si>
    <t>fffffffffffffffffefffffffffffffffffffffffffffffffbffffffffffffffffffffffffffffffdfffffffffffffffffffffffffffffff7fffffffffffffffffffffffffffffffffffffffffffffffffffffffffffffefffffffffffffffffffffffffffffffbffffffffffffffffffffffffffffffdfffffffffffffffffffffffffffffff7fffffffffffffffffffffffffffffffffffffffffffffffffffffffffffffefffffffffffffffffffffffffffffffbffffffffffffffffffffffffffffffdfffffffffffffffffffffffffffffff7fffffffffffffffffffffffffffffffffffffffffffffffffffffffffffffefffffffffffffffffffffffffffffffbffffffffffffffffffffffffffffffdfffffffffffffffffffffffffffffff7fffffffffffffffffffffffffffffffffffffffffffffffffffffffffffffefffffffffffffffffffffffffffffffbffffffffffffffffffffffffffffffdfffffffffffffffffffffffffffffff7fffffffffffffffffffffffffffffffffffffffffffffffffffffffffffffefffffffffffffffffffffffffffffffbfffff</t>
  </si>
  <si>
    <t>fffffffffffffffffefffffffffffffffffffffffffffffffffffdfffffffffffffffffffffffffffffffffffffffffffffffffffffffffffffffffffffffbfffffffffffffffffffffffffffffffffff7fffffffffffffffff</t>
  </si>
  <si>
    <t>ffffffffffffffffff7fffffffffffffffffffffffffbfffffffffffffffffffffffffffffffffffffffffffffffffffdfffffffffffffffffffffffffeffffffffffffffffffffffffff7fffffffffffffffffffffffffbfffffffffffffffffffffffffffffffffffffffffffffffffffdfffffffffffffffffffffffffeffffffffffffffffffffffffff7fffffffffffffffffffffffffbfffffffffffffffffffffffffffffffffffffffffffffffffffdfffffffffffffffffffffffffeffffffffffffffffffffffffff7fffffffffffffffffffffffffbfffffffffffffffffffffffffffffffffffffffffffffffffffdfffffffffffffffffffffffffeffffffffffffffffffffffffff7fffffffffffffffffffffffffbfffffffffffffffffffffffffffffffffffffffffffffffffffdfffffffffffffffffffffffffeffffffffffffffffffffffffff7fffffffffffffffffffffffffbfffffffffffffffffffffffffffffffffffffffffffffffffffdfffffffffffffffffffffffffeffffffffffffffffffffffffff7fffffffffffffffffffffffffbfffffffff</t>
  </si>
  <si>
    <t>ffffffffffffffffff7fffffffffffffffffffffffffffffffffffbfffffffffffffffffffffffffffffffffffffffffffffffffffffffffffffffffffffffdfffffffffffffffffffffffffffffffffffeffffffffffffffffff</t>
  </si>
  <si>
    <t>ffffffffffffffffffbfffffffffffffffffffffffdfffffffffffeffffff</t>
  </si>
  <si>
    <t>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fffffffff7fffffffffffffffdffffffffffffffffbfffffffffffffffeffffffffffffffffffffffff</t>
  </si>
  <si>
    <t>fffffffffffffffffff7fffffffffffffffffffffffffffffffffffffbfffffffffffffffffffffffffffffffffffffffffffffffffffffffffffffffffffffffffffdfffffffffffffffffffffffffffffffffffffefffffffffffffffffff</t>
  </si>
  <si>
    <t>fffffffffffffffffffbfffffffffffffffffffffffffffffffffffffefffffffffffffffffffffffffffffffffffffffffffffffffffffffffffffffffffffffffffff7fffffffffffffffffffffffffffffffffffffdfffffffffffffffffff</t>
  </si>
  <si>
    <t>fffffffffffffffffffbfffffffffffffffffffffffffffffffffffffffffffffffffffffffffffffffffffffffffffffffffffffefffffffffffffffffffffffffffffffffffffffffffffffffffffffffffffffffffffffffffffffffffffffffffffffffffffffffffffffffffffffffffffffffffffffffffffffffffffffffffffffffffffffffffff7fffffffffffffffffffffffffffffffffffffffffffffffffffffffffffffffffffffffffffffffffffffdffffffffffffffffffffffffffffffffffffffffffffffffffffffffffffffffffffffffffffffffffffffbfffffffffffffffffffffffffffffffffffffffffffffffffffffffffffffffffffffffffffffffffffffefffffffffffffffffffffffffffffffffffffffffffffffffffffffffffffffffffffffffffffffffffffffffffffffffffffffffffffffffffffffffffffffffffffffffffffffffffffffffffffffffffffffffffff7fffffffffffffffffffffffffffffffffffffffffffffffffffffffffffffffffffffffffffffffffffffdfffffffffffffffffffffffffffffffffffffffff</t>
  </si>
  <si>
    <t>fffffffffffffffffffdfffffffffffffffffffffffffffffffffffffff7fffffffffffffffffffffffffffffffffffffffffffffffffffffffffffffffffffffffffffffefffffffffffffffffffffffffffffffffffffffbfffffffffffffffffff</t>
  </si>
  <si>
    <t>fffffffffffffffffffefffffffffffffffffffffffffffffffffffffffdfffffffffffffffffffffffffffffffffffffffffffffffffffffffffffffffffffffffffffffffbfffffffffffffffffffffffffffffffffffffff7fffffffffffffffffff</t>
  </si>
  <si>
    <t>ffffffffffffffffffff7fffffffffffffffffffffffffefffffffffffffbffffff</t>
  </si>
  <si>
    <t>ffffffffffffffffffff7ffffffffffffffffffffffffffefffffffffffffffffffffffffffdfffffffffffffffffffffffffffffffffffffffffffffffffffffffbfffffffffffffffffffffffffff7ffffffffffffffffffffffffffefffffffffffffffffffffffffffdfffffffffffffffffffffffffffffffffffffffffffffffffffffffbfffffffffffffffffffffffffff7ffffffffffffffffffffffffffefffffffffffffffffffffffffffdfffffffffffffffffffffffffffffffffffffffffffffffffffffffbfffffffffffffffffffffffffff7ffffffffffffffffffffffffffefffffffffffffffffffffffffffdfffffffffffffffffffffffffffffffffffffffffffffffffffffffbfffffffffffffffffffffffffff7ffffffffffffffffffffffffffefffffffffffffffffffffffffffdfffffffffffffffffffffffffffffffffffffffffffffffffffffffbfffffffffffffffffffffffffff7ffffffffffffffffffffffffffefffffffffffffffffffffffffffdfffffffffffffffffffffffffffffffffffffffffffffffffffffffbfffffffffffff</t>
  </si>
  <si>
    <t>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ffffbfffffffffffffffffffffffffffdfffffffffffffeffffffffffffff7fffffffff</t>
  </si>
  <si>
    <t>ffffffffffffffffffffdfffffffffffffffffffffffffffffeffffffffffffffffffffffffffffff7fffffffffffffffffffffffffffffbfffffffffffffffffffffffffffffffffffffffffffffffffffffffffffdfffffffffffffffffffffffffffffeffffffffffffffffffffffffffffff7fffffffffffffffffffffffffffffbfffffffffffffffffffffffffffffffffffffffffffffffffffffffffffdfffffffffffffffffffffffffffffeffffffffffffffffffffffffffffff7fffffffffffffffffffffffffffffbfffffffffffffffffffffffffffffffffffffffffffffffffffffffffffdfffffffffffffffffffffffffffffeffffffffffffffffffffffffffffff7fffffffffffffffffffffffffffffbfffffffffffffffffffffffffffffffffffffffffffffffffffffffffffdfffffffffffffffffffffffffffffeffffffffffffffffffffffffffffff7fffffffffffffffffffffffffffffbfffffffffffffffffffffffffffffffffffffffffffffffffffffffffffdfffffffffffffffffffffffffffffeffffffffffffffffffffffffffffff7fff</t>
  </si>
  <si>
    <t>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dffffffffffffffffffffffffffffffffffffffffffffffffffffffffffffffffffffffffffffffffffffffffffffffffffffffffffffffffffffffffffffffffffb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</t>
  </si>
  <si>
    <t>fffffffffffffffffffff7fffffffffffffffffffffffffffffffffffffffffbfffffffffffffffffffffffffffffffffffffffffffffffffffffffffffffffffffffffffffffffffffdfffffffffffffffffffffffffffffffffffffffffefffffffffffffffffffff</t>
  </si>
  <si>
    <t>fffffffffffffffffffffbfffffffffffffffffffffffffffdfffffffffffffefffffff</t>
  </si>
  <si>
    <t>fffffffffffffffffffffbfffffffffffffffffffffffffffffffffffffffffffffffffffffffffffffffffffffffffffffffffffffffff7ffffffffffffffffffffffffffffffffffffffffffffffffffffffffffffffffffffffffffffffffffffffffefffffffffffffffffffffffffffffffffffffffffffffffffffffffffffffffffffffffffffffffffffffffffdfffffffffffffffffffffffffffffffffffffffffffffffffffffffffffffffffffffffffffffffffffffffffffffffffffffffffffffffffffffffffffffffffffffffffffffffffffffffffffffffffffffffffffffffffffbfffffffffffffffffffffffffffffffffffffffffffffffffffffffffffffffffffffffffffffffffffffffff7ffffffffffffffffffffffffffffffffffffffffffffffffffffffffffffffffffffffffffffffffffffffffefffffffffffffffffffffffffffffffffffffffffffffffffffffffffffffffffffffffffffffffffffffffffdffffffffffffffffffffffffffffffffffffffffffffffffffffffffffffffffffffffffffffffffffffffffffffffffffff</t>
  </si>
  <si>
    <t>fffffffffffffffffffffdfffffffffffffffffffffffffffffffffffffff7fffffffffffffffffffffffffffffffffffffffffffffffffffffffffffffffffffffffffffffefffffffffffffffffffffffffffffffffffffffbffffffffffffffffffffffffffffffffffffffdfffffffffffffffffffffffffffffffffffffff7fffffffffffffffffffffffffffffffffffffffffffffffffffffffffffffffffffffffffffffefffffffffffffffffffffffffffffffffffffffbffffffffffffffffffffffffffffffffffffffdfffffffffffffffffffffffffffffffffffffff7fffffffffffffffffffffffffffffffffffffffffffffffffffffffffffffffffffffffffffffefffffffffffffffffffffffffffffffffffffffbffffffffffffffffffffffffffffffffffffffdfffffffffffffffffffffffffffffffffffffff7fffffffffffffffffffffffffffffffffffffffffffffffffffffffffffffffffffffffffffffefffffffffffffffffffffffffffffffffffffffbffffffffffffffffffffffffffffffffffffffdffffffffffffffffffffffffffffff</t>
  </si>
  <si>
    <t>fffffffffffffffffffffefffffffffffffffffffffffffffff7fffffffffffffdfffffff</t>
  </si>
  <si>
    <t>ffffffffffffffffffffffbfffffffffffffffffffffffffffffffefffffffffffffffffffffffffffffffffffffffffffffffffffffffffffffffff7fffffffffffffffffffffffffffffffdffffffffffffffffffffffffffffffffbfffffffffffffffffffffffffffffffefffffffffffffffffffffffffffffffffffffffffffffffffffffffffffffffff7fffffffffffffffffffffffffffffffdffffffffffffffffffffffffffffffffbfffffffffffffffffffffffffffffffefffffffffffffffffffffffffffffffffffffffffffffffffffffffffffffffff7fffffffffffffffffffffffffffffffdffffffffffffffffffffffffffffffffbfffffffffffffffffffffffffffffffefffffffffffffffffffffffffffffffffffffffffffffffffffffffffffffffff7fffffffffffffffffffffffffffffffdffffffffffffffffffffffffffffffffbfffffffffffffffffffffffffffffffefffffffffffffffffffffffffffffffffffffffffffffffffffffffffffffffff7fffffffffffffffffffffffffffffffdffffffffffffffffffffffffffffffffbff</t>
  </si>
  <si>
    <t>ffffffffffffffffffffffbfffffffffffffffffffffffffffffffffffffffffffefffffffffffffffffffffffffffffffffffffffffffffffffffffffffffffffffffffffffffffffffffffffff7fffffffffffffffffffffffffffffffffffffffffffdffffffffffffffffffffff</t>
  </si>
  <si>
    <t>ffffffffffffffffffffffdfffffffffffffffffffffffffffffffffffffffffffff7fffffffffffffffffffffffffffffffffffffffffffffffffffffffffffffffffffffffffffffffffffffffffefffffffffffffffffffffffffffffffffffffffffffffbffffffffffffffffffffff</t>
  </si>
  <si>
    <t>ffffffffffffffffffffffefffffffffffffffffffffffffffffffffffffffffffffdfffffffffffffffffffffffffffffffffffffffffffffffffffffffffffffffffffffffffffffffffffffffffffbfffffffffffffffffffffffffffffffffffffffffffff7ffffffffffffffffffffff</t>
  </si>
  <si>
    <t>ffffffffffffffffffffffeffffffffffffffffffffffffffffffffffffffffffffffffffffffff7fffffffffffffffffffffffffffffffffffffffffffffffffffffffbfffffffffffffffffffffffffffffffffffffffffffffffffffffffffffffffffffffffffffffffffffffffffffffffffffffffffffffffdfffffffffffffffffffffffffffffffffffffffffffffffffffffffeffffffffffffffffffffffffffffffffffffffffffffffffffffffff7fffffffffffffffffffffffffffffffffffffffffffffffffffffffbfffffffffffffffffffffffffffffffffffffffffffffffffffffffffffffffffffffffffffffffffffffffffffffffffffffffffffffffdfffffffffffffffffffffffffffffffffffffffffffffffffffffffeffffffffffffffffffffffffffffffffffffffffffffffffffffffff7fffffffffffffffffffffffffffffffffffffffffffffffffffffffbfffffffffffffffffffffffffffffffffffffffffffffffffffffffffffffffffffffffffffffffffffffffffffffffffffffffffffffffdffffffffffffffffffffffffffffff</t>
  </si>
  <si>
    <t>fffffffffffffffffffffffbfffffffffffffffffffffffffffffffffffffffffffffefffffffffffffffffffffffffffffffffffffffffffffffffffffffffffffffffffffffffffffffffffffffffffff7fffffffffffffffffffffffffffffffffffffffffffffdfffffffffffffffffffffff</t>
  </si>
  <si>
    <t>fffffffffffffffffffffffbfffffffffffffffffffffffffffffffffffffffffffffffffffffffffffffffffffffffdfffffffffffffffffffffffffffffffffffeffffffffffffffffffffffffffffffffffff7fffffffffffffffffffffffffffffffffffbfffffffffffffffffffffffffffffffffffffffffffffffffffffffffffffffffffffffdfffffffffffffffffffffffffffffffffffeffffffffffffffffffffffffffffffffffff7fffffffffffffffffffffffffffffffffffbfffffffffffffffffffffffffffffffffffffffffffffffffffffffffffffffffffffffdfffffffffffffffffffffffffffffffffffeffffffffffffffffffffffffffffffffffff7fffffffffffffffffffffffffffffffffffbfffffffffffffffffffffffffffffffffffffffffffffffffffffffffffffffffffffffdfffffffffffffffffffffffffffffffffffeffffffffffffffffffffffffffffffffffff7fffffffffffffffffffffffffffffffffffbfffffffffffffffffffffffffffffffffffffffffffffffffffffffffffffffffffffffdffffffffffffffffffff</t>
  </si>
  <si>
    <t>fffffffffffffffffffffffdfffffffffffffffffffffffffffffffbfffffffffffffff7fffffff</t>
  </si>
  <si>
    <t>fffffffffffffffffffffffefffffffffffffffffffffffffffffffffffffffffffffffdfffffffffffffffffffffffffffffffffffffffffffffffffffffffffffffffffffffffffffffffffffffffffffffffbfffffffffffffffffffffffffffffffffffffffffffffff7fffffffffffffffffffffff</t>
  </si>
  <si>
    <t>ffffffffffffffffffffffff7fffffffffffffffffffffffffffffffffffffffffffffffbfffffffffffffffffffffffffffffffffffffffffffffffffffffffffffffffffffffffffffffffffffffffffffffffdfffffffffffffffffffffffffffffffffffffffffffffffeffffffffffffffffffffffff</t>
  </si>
  <si>
    <t>ffffffffffffffffffffffffbfffffffffffffffffffffffffffff7ffffffffffffffffffffffffffffefffffffffffffffffffffffffffffdfffffffffffffffffffffffffffffffffffffffffffffffffffffffffffbfffffffffffffffffffffffffffff7ffffffffffffffffffffffffffffefffffffffffffffffffffffffffffdfffffffffffffffffffffffffffffffffffffffffffffffffffffffffffbfffffffffffffffffffffffffffff7ffffffffffffffffffffffffffffefffffffffffffffffffffffffffffdfffffffffffffffffffffffffffffffffffffffffffffffffffffffffffbfffffffffffffffffffffffffffff7ffffffffffffffffffffffffffffefffffffffffffffffffffffffffffdfffffffffffffffffffffffffffffffffffffffffffffffffffffffffffbfffffffffffffffffffffffffffff7ffffffffffffffffffffffffffffefffffffffffffffffffffffffffffdfffffffffffffffffffffffffffffffffffffffffffffffffffffffffffbfffffffffffffffffffffffffffff7ffffffffffffffffffffffffffffefffffffffff</t>
  </si>
  <si>
    <t>ffffffffffffffffffffffffefffffffffffffffffffffffffffffffff7fffffffffffffffdffffffff</t>
  </si>
  <si>
    <t>fffffffffffffffffffffffff7fffffffffffffffffffffffffffffffffffffffffffffffffbfffffffffffffffffffffffffffffffffffffffffffffffffffffffffffffffffffffffffffffffffffffffffffffffffffdfffffffffffffffffffffffffffffffffffffffffffffffffefffffffffffffffffffffffff</t>
  </si>
  <si>
    <t>fffffffffffffffffffffffff7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effffffffffffffffffffffffffffffffffffffffffffffffffffffffffffffffffffffffffffffffffffffffffffffffffffffffffff7fffffffffffffffffffffffffffffffffffffffffffffffffffffffffffffffffffffffffffffffffffffffffffffffffffffffffffbfffffffffffffffffffffffffffffffffffffffffffffffffffffffffffffffffffffffffffffffffffffffffffffffffffffffffffffffffffffffffffffffffffffffffffffffffffffffffffffffffffff</t>
  </si>
  <si>
    <t>fffffffffffffffffffffffffdfffffffffffffffffffffffffffffffffffffffffffffffffff7fffffffffffffffffffffffffffffffffffffffffffffffffffffffffffffffffffffffffffffffffffffffffffffffffffffefffffffffffffffffffffffffffffffffffffffffffffffffffbfffffffffffffffffffffffff</t>
  </si>
  <si>
    <t>fffffffffffffffffffffffffdffffffffffffffffffffffffffffffffffffffffffffffffffffffffffffffffffffffbfffffffffffffffffffffffffffffffffffffffffffffffffffffffffffffffffffffefffffffffffffffffffffffffffffffffffffffffffffffffffffffffffffffffffffffffffffffffffffffffffffffffffffffffffffffffffffffffffffffffffffffffffff7fffffffffffffffffffffffffffffffffffffffffffffffffffffffffffffffffffffdffffffffffffffffffffffffffffffffffffffffffffffffffffffffffffffffffffffbfffffffffffffffffffffffffffffffffffffffffffffffffffffffffffffffffffffefffffffffffffffffffffffffffffffffffffffffffffffffffffffffffffffffffffffffffffffffffffffffffffffffffffffffffffffffffffffffffffffffffffffffffff7fffffffffffffffffffffffffffffffffffffffffffffffffffffffffffffffffffffdffffffffffffffffffffffffffffffffffffffffffffffffffffffffffffffffffffffbfffffffffffffffffffffffffffffffffffff</t>
  </si>
  <si>
    <t>fffffffffffffffffffffffffd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7ffffffffffffffffffffffffffffffffffffffffffffffffffffffffffffffffffffffffffffffffffffffffffffffffffffffffffffffffffffffffffe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</t>
  </si>
  <si>
    <t>fffffffffffffffffffffffffefffffffffffffffffffffffffffffffffffffffffffffffffffffdfffffffffffffffffffffffffffffffffffffffffffffffffffffffffffffffffffffffffffffffffffffffffffffffffffffffffffbfffffffffffffffffffffffffffffffffffffffffffffffffffff7ffffffffffffffffffffffffffffffffffffffffffffffffffffefffffffffffffffffffffffffffffffffffffffffffffffffffffdfffffffffffffffffffffffffffffffffffffffffffffffffffffffffffffffffffffffffffffffffffffffffffffffffffffffffffbfffffffffffffffffffffffffffffffffffffffffffffffffffff7ffffffffffffffffffffffffffffffffffffffffffffffffffffefffffffffffffffffffffffffffffffffffffffffffffffffffffdfffffffffffffffffffffffffffffffffffffffffffffffffffffffffffffffffffffffffffffffffffffffffffffffffffffffffffbfffffffffffffffffffffffffffffffffffffffffffffffffffff7ffffffffffffffffffffffffffffffffffffffffffffffffffffefffffff</t>
  </si>
  <si>
    <t>fffffffffffffffffffffffffefffffffffffffffffffffffffffffffffffffffffffffffffffffffffffffffffffffffffffffffbffffffffffffffffffffffffffffffffffffffffffffffffffffffffffffffffffffffffffffffdfffffffffffffffffffffffffffffffffffffffffffffffffffffffffffffffffffffffffffffff7fffffffffffffffffffffffffffffffffffffffffffffffffffffffffffffffffffffffffffffffffffffffffffffffffffffffffffffffffffffffffffffffffffffffffffffffffffffffffffffefffffffffffffffffffffffffffffffffffffffffffffffffffffffffffffffffffffffffffffffbffffffffffffffffffffffffffffffffffffffffffffffffffffffffffffffffffffffffffffffdfffffffffffffffffffffffffffffffffffffffffffffffffffffffffffffffffffffffffffffff7fffffffffffffffffffffffffffffffffffffffffffffffffffffffffffffffffffffffffffffffffffffffffffffffffffffffffffffffffffffffffffffffffffffffffffffffffffffffffffffeffffffffffffffffffff</t>
  </si>
  <si>
    <t>ffffffffffffffffffffffffffbfffffffffffffffffffffffffffffffffffffffffffffffffffefffffffffffffffffffffffffffffffffffffffffffffffffffffffffffffffffffffffffffffffffffffffffffffffffffffffff7fffffffffffffffffffffffffffffffffffffffffffffffffffdffffffffffffffffffffffffff</t>
  </si>
  <si>
    <t>ffffffffffffffffffffffffffbfffffffffffffffffffffffffffffffffffffffffffffffffffffffffffffffffffffffffffffffffffffff7ffffffffffffffffffffffffffffffffffffffffffffffffffffffffffffffffffffffffffffffffffffffefffffffffffffffffffffffffffffffffffffffffffffffffffffffffffffffffffffffffffffffffffffffdfffffffffffffffffffffffffffffffffffffffffffffffffffffffffffffffffffffffffffffffffffffffffffffffffffffffffffffffffffffffffffffffffffffffffffffffffffffffffffffffffffffffffffffffbfffffffffffffffffffffffffffffffffffffffffffffffffffffffffffffffffffffffffffffffffffffff7ffffffffffffffffffffffffffffffffffffffffffffffffffffffffffffffffffffffffffffffffffffffefffffffffffffffffffffffffffffffffffffffffffffffffffffffffffffffffffffffffffffffffffffffdfffffffffffffffffffffffffffffffffffffffffffffffffffffffffffffffffffffffffffffffffffffffffffffffffffffffffffffff</t>
  </si>
  <si>
    <t>ffffffffffffffffffffffffffdfffffffffffffffffffffffffffffffffffbfffffffffffffffff7ffffffff</t>
  </si>
  <si>
    <t>ffffffffffffffffffffffffffdfffffffffffffffffffffffffffffffffffffffffffffffffffffffffffffffffffffffffffffffffffffffffffffffffffffffffffffffffeffffffffffffffffffffffffffffffffffffffffffffffffffffffffffffffffffffffffffffffffffffffffffffffffffffffffffffffffff7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effffffffffffffffffffffffffffffffffffffffffffffffffffffffffffffffffffffffffffffffffffffffffffffffffffffffffffffffff7fffffffffffff</t>
  </si>
  <si>
    <t>ffffffffffffffffffffffffffefffffffffffffffffffffffffffffffffffffffffffffffffffffdfffffffffffffffffffffffffffffffffffffffffffffffffffffffffffffffffffffffffffffffffffffffffffffffffffffffffffbfffffffffffffffffffffffffffffffffffffffffffffffffffff7ffffffffffffffffffffffffff</t>
  </si>
  <si>
    <t>fffffffffffffffffffffffffff7fffffffffffffffffffffffffffffffffffffffffffffffffffffbfffffffffffffffffffffffffffffffffffffffffffffffffffffffffffffffffffffffffffffffffffffffffffffffffffffffffffdfffffffffffffffffffffffffffffffffffffffffffffffffffffefffffffffffffffffffffffffff</t>
  </si>
  <si>
    <t>fffffffffffffffffffffffffffdfffffffffffffffffffffffffffffffffffffffffffffffffffffff7fffffffffffffffffffffffffffffffffffffffffffffffffffffffffffffffffffffffffffffffffffffffffffffffffffffffffffffefffffffffffffffffffffffffffffffffffffffffffffffffffffffbfffffffffffffffffffffffffff</t>
  </si>
  <si>
    <t>fffffffffffffffffffffffffffdffffffffffffffffffffffffffffffffffffffffffffffffffffffffbfffffffffffffffffffffffffffffffffffffffffffffffffffffffefffffffffffffffffffffffffffffffffffffffffffffffffffffffffffffffffffffffffffffffffffffffffffffffffffffffffffffffff7fffffffffffffffffffffffffffffffffffffffffffffffffffffffdffffffffffffffffffffffffffffffffffffffffffffffffffffffffbfffffffffffffffffffffffffffffffffffffffffffffffffffffffefffffffffffffffffffffffffffffffffffffffffffffffffffffffffffffffffffffffffffffffffffffffffffffffffffffffffffffffff7fffffffffffffffffffffffffffffffffffffffffffffffffffffffdffffffffffffffffffffffffffffffffffffffffffffffffffffffffbfffffffffffffffffffffffffffffffffffffffffffffffffffffffefffffffffffffffffffffffffffffffffffffffffffffffffffffffffffffffffffffffffffffffffffffffffffffffffffffffffffffffff7fffffffffffffffffff</t>
  </si>
  <si>
    <t>ffffffffffffffffffffffffffff7fffffffffffffffffffffffffffffffffffffffffffffffffffffffbfffffffffffffffffffffffffffffffffffffffffffffffffffffffffffffffffffffffffffffffffffffffffffffffffffffffffffffffdfffffffffffffffffffffffffffffffffffffffffffffffffffffffeffffffffffffffffffffffffffff</t>
  </si>
  <si>
    <t>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fffffffffefffffffffffffffdfffffffffffffffffffffffffffffffbfffffffffffffff7fffff</t>
  </si>
  <si>
    <t>ffffffffffffffffffffffffffffbfffffffffffffffffffffffffffffffffffffffffffffffffffffffefffffffffffffffffffffffffffffffffffffffffffffffffffffffffffffffffffffffffffffffffffffffffffffffffffffffffffffffff7fffffffffffffffffffffffffffffffffffffffffffffffffffffffdffffffffffffffffffffffffffff</t>
  </si>
  <si>
    <t>ffffffffffffffffffffffffffffdffffffffffffffffffffffffffffffffffffffffffffffffffffffffffffffffffffffffffffffffffffffffffffbfffffffffffffffffffffffffffffffffffffffffffffffffffffffffffffffffffffffffffffffffffffffffffefffffffffffffffffffffffffffffffffffffffffffffffffffffffffffffffffffffffffffffffffffffffffffffffffffffffffffffffffffffffffffffffffffffffffffffffffffffffffffffffffffffffffffffffffffffffff7fffffffffffffffffffffffffffffffffffffffffffffffffffffffffffffffffffffffffffffffffffffffffffdffffffffffffffffffffffffffffffffffffffffffffffffffffffffffffffffffffffffffffffffffffffffffffbfffffffffffffffffffffffffffffffffffffffffffffffffffffffffffffffffffffffffffffffffffffffffffefffffffffffffffffffffffffffffffffffffffffffffffffffffffffffffffffffffffffffffffffffffffffffffffffffffffffffffffffffffffffffffffffffffffffffffffffffffffffffffffffff</t>
  </si>
  <si>
    <t>fffffffffffffffffffffffffffff7fffffffffffffffffffffffffffffffffffffefffffffffffffffffffbfffffffff</t>
  </si>
  <si>
    <t>fffffffffffffffffffffffffffffbfffffffffffffffffffffffffffffffffffffffffffffffffffffffffefffffffffffffffffffffffffffffffffffffffffffffffffffffffffffffffffffffffffffffffffffffffffffffffffffffffffffffffffffff7fffffffffffffffffffffffffffffffffffffffffffffffffffffffffdfffffffffffffffffffffffffffff</t>
  </si>
  <si>
    <t>fffffffffffffffffffffffffffffefffffffffffffffffffffffffffffffffffffffffffffdfffffffffffffffffffffffffffffffffffffffffffffffffffffffffffffffffffffffffffffffffffffffffffbfffffffffffffffffffffffffffffffffffffffffffff7ffffffffffffffffffffffffffffffffffffffffffffefffffffffffffffffffffffffffffffffffffffffffffdfffffffffffffffffffffffffffffffffffffffffffffffffffffffffffffffffffffffffffffffffffffffffffbfffffffffffffffffffffffffffffffffffffffffffff7ffffffffffffffffffffffffffffffffffffffffffffefffffffffffffffffffffffffffffffffffffffffffffdfffffffffffffffffffffffffffffffffffffffffffffffffffffffffffffffffffffffffffffffffffffffffffbfffffffffffffffffffffffffffffffffffffffffffff7ffffffffffffffffffffffffffffffffffffffffffffefffffffffffffffffffffffffffffffffffffffffffffdfffffffffffffffffffffffffffffffffffffffffffffffffffffffffffffffffffffffffffff</t>
  </si>
  <si>
    <t>ffffffffffffffffffffffffffffff7fffffffffffffffffffffffffffffffffffffffffffffffffffffffffffffffffffffffffffffffffffffffffffffffffffffffffffffffffffffffffffffffdffffffffffffffffffffffffffffffffffffffffffffffffffffffffffffffffffffffffffffffffffffffffffffffffffffffffffffffffffffffffffffffffb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dffffffffffffffffffffffffffffffffffffff</t>
  </si>
  <si>
    <t>ffffffffffffffffffffffffffffffbfffffffffffffffffffffffffffffffffffffffdfffffffffffffffffffeffffffffff</t>
  </si>
  <si>
    <t>ffffffffffffffffffffffffffffffdfffffffffffffffffffffffffffffffffffffffffffffffffffffffffffff7fffffffffffffffffffffffffffffffffffffffffffffffffffffffffffffffffffffffffffffffffffffffffffffffffffffffffffffffffffffffffefffffffffffffffffffffffffffffffffffffffffffffffffffffffffffffbffffffffffffffffffffffffffffff</t>
  </si>
  <si>
    <t>ffffffffffffffffffffffffffffffefffffffffffffffffffffffffffffffffffffffff7fffffffffffffffffffdffffffffff</t>
  </si>
  <si>
    <t>fffffffffffffffffffffffffffffff7fffffffffffffffffffffffffffffffffffffffffffffffffffffffffffffbfffffffffffffffffffffffffffffffffffffffffffffffffffffffffffffffffffffffffffffffffffffffffffffffffffffffffffffffffffffffffffdfffffffffffffffffffffffffffffffffffffffffffffffffffffffffffffefffffffffffffffffffffffffffffff</t>
  </si>
  <si>
    <t>fffffffffffffffffffffffffffffffbfffffffffffffffffffffffffffffffffffffffffffffffffffffffffffffefffffffffffffffffffffffffffffffffffffffffffffffffffffffffffffffffffffffffffffffffffffffffffffffffffffffffffffffffffffffffffff7fffffffffffffffffffffffffffffffffffffffffffffffffffffffffffffdfffffffffffffffffffffffffffffff</t>
  </si>
  <si>
    <t>fffffffffffffffffffffffffffffffdfffffffffffffffffffffffffffffffffffffffffffffffffffffffffffffff7fffffffffffffffffffffffffffffffffffffffffffffffffffffffffffffffffffffffffffffffffffffffffffffffffffffffffffffffffffffffffffffefffffffffffffffffffffffffffffffffffffffffffffffffffffffffffffffbfffffffffffffffffffffffffffffff</t>
  </si>
  <si>
    <t>ffffffffffffffffffffffffffffffff7fffffffffffffffffffffffffffffffffffffffffefffffffffffffffffffffbffffffffff</t>
  </si>
  <si>
    <t>ffffffffffffffffffffffffffffffffdfffffffffffffffffffffffffffffffffffffffffffbfffffffffffffffffffff7ffffffffff</t>
  </si>
  <si>
    <t>fffffffffffffffffffffffffffffffff7fffffffffffffffffffffffffffffffffffffffffffffffffffffffffffffffffbfffffffffffffffffffffffffffffffffffffffffffffffffffffffffffffffffffffffffffffffffffffffffffffffffffffffffffffffffffffffffffffffffffdfffffffffffffffffffffffffffffffffffffffffffffffffffffffffffffffffefffffffffffffffffffffffffffffffff</t>
  </si>
  <si>
    <t>fffffffffffffffffffffffffffffffffbfffffffffffffffffffffffffffffffffefffffffffffffffffffffffffffffffffffffffffffffffffffffffffffffffffffff7fffffffffffffffffffffffffffffffffdffffffffffffffffffffffffffffffffffbfffffffffffffffffffffffffffffffffefffffffffffffffffffffffffffffffffffffffffffffffffffffffffffffffffffff7fffffffffffffffffffffffffffffffffdffffffffffffffffffffffffffffffffffbfffffffffffffffffffffffffffffffffefffffffffffffffffffffffffffffffffffffffffffffffffffffffffffffffffffff7fffffffffffffffffffffffffffffffffdffffffffffffffffffffffffffffffffffbfffffffffffffffffffffffffffffffffefffffffffffffffffffffffffffffffffffffffffffffffffffffffffffffffffffff7fffffffffffffffffffffffffffffffffdffffffffffffffffffffffffffffffffffbfffffffffffffffffffffffffffffffffefffffffffffffffffffffffffffffffffffffffffffffffffffffffffffffffffffff7ffffffffff</t>
  </si>
  <si>
    <t>fffffffffffffffffffffffffffffffffdfffffffffffffffffffffffffffffffffffffffffffffffffffffffffffffffffff7fffffffffffffffffffffffffffffffffffffffffffffffffffffffffffffffffffffffffffffffffffffffffffffffffffffffffffffffffffffffffffffffffffffefffffffffffffffffffffffffffffffffffffffffffffffffffffffffffffffffffbfffffffffffffffffffffffffffffffff</t>
  </si>
  <si>
    <t>fffffffffffffffffffffffffffffffffefffffffffffffffffffffffffffffffffffffffffffff7fffffffffffffffffffffdfffffffffff</t>
  </si>
  <si>
    <t>fffffffffffffffffffffffffffffffffefffffffffffffffffffffffffffffffffffffffffffffffffffffffffffffffffffffffffffffffffffffffffffffffffffffffffffffffffffffffffbffffffffffffffffffffffffffffffffffffffffffffffffffffffffffffffffffffffffffffffffffffffffffffffffffffffffffffffffffffffffd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bfffffffffffffffffffffffffffffffffffffffffffffffffffffffffffffffffffffffffffff</t>
  </si>
  <si>
    <t>ffffffffffffffffffffffffffffffffff7ffffffffffffffffffffffffffffffffffefffffffffffffffffffffffffffffffffffdfffffffffffffffffffffffffffffffffffffffffffffffffffffffffffffffffffffffbfffffffffffffffffffffffffffffffffff7ffffffffffffffffffffffffffffffffffefffffffffffffffffffffffffffffffffffdfffffffffffffffffffffffffffffffffffffffffffffffffffffffffffffffffffffffbfffffffffffffffffffffffffffffffffff7ffffffffffffffffffffffffffffffffffefffffffffffffffffffffffffffffffffffdfffffffffffffffffffffffffffffffffffffffffffffffffffffffffffffffffffffffbfffffffffffffffffffffffffffffffffff7ffffffffffffffffffffffffffffffffffefffffffffffffffffffffffffffffffffffdfffffffffffffffffffffffffffffffffffffffffffffffffffffffffffffffffffffffbfffffffffffffffffffffffffffffffffff7ffffffffffffffffffffffffffffffffffefffffffffffffffffffffffffffffffffffdffffffffffffffffff</t>
  </si>
  <si>
    <t>ffffffffffffffffffffffffffffffffffbfffffffffffffffffffffffffffffffffffffffffffffffffffffffffffffffffffffffffffffffffffffffffffffffffffff7ffffffffffffffffffffffffffffffffffffffffffffffffffffffffffffffffffffffffffffffffffffffffffffffffffffe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7ffffffffffffffffffffffffffffffffffffffffffffffffffffffffffffffffffffffffffffffffffffffffffffffffffffefffffffffffffffffffffffffffffffffffffffffffffffffffffffffffffffffffffffffffffffffffffffffffff</t>
  </si>
  <si>
    <t>ffffffffffffffffffffffffffffffffffdfffffffffffffffffffffffffffffffffffffffffffffffffffffffffffffffffffff7fffffffffffffffffffffffffffffffffffffffffffffffffffffffffffffffffffffffffffffffffffffffffffffffffffffffffffffffffffffffffffffffffffffffffefffffffffffffffffffffffffffffffffffffffffffffffffffffffffffffffffffffbffffffffffffffffffffffffffffffffff</t>
  </si>
  <si>
    <t>ffffffffffffffffffffffffffffffffffdfffffffffffffffffffffffffffffffffffffffffffffffffffffffffffffffffffff7fffffffffffffffffffffffffffffffffffffffffffffffffffffffffffffffffffffffffffffffffffffffffffffffffffffffffffffffffffffffffffffffffffffffffefffffffffffffffffffffffffffffffffffffffffffffffffffffffffffffffffffffbffffffffffffffffffffffffffffffffffffffffffffffffffffffffffffffffffffdfffffffffffffffffffffffffffffffffffffffffffffffffffffffffffffffffffff7fffffffffffffffffffffffffffffffffffffffffffffffffffffffffffffffffffffffffffffffffffffffffffffffffffffffffffffffffffffffffffffffffffffffffefffffffffffffffffffffffffffffffffffffffffffffffffffffffffffffffffffffbffffffffffffffffffffffffffffffffffffffffffffffffffffffffffffffffffffdfffffffffffffffffffffffffffffffffffffffffffffffffffffffffffffffffffff7fffffffffffffffffffffffffffffffffffffffff</t>
  </si>
  <si>
    <t>ffffffffffffffffffffffffffffffffffdfffffffffffffffffffffffffffffffffffffffffffffffffffffffffffffffffffffffffffffffffffffffffffffffffffffffffffffffffffffffffffffffeffffffffffffffffffffffffffffffffffffffffffffffffffffffffffffffffffffffffffffffffffffffffffffffffffffffffffffffffffffffffffffffff7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effffffffffffffffffffffffffffffffffff</t>
  </si>
  <si>
    <t>ffffffffffffffffffffffffffffffffffefffffffffffffffffffffffffffffffffffffffffffffffffffffffffffffffffffffdfffffffffffffffffffffffffffffffffffffffffffffffffffffffffffffffffffffffffffffffffffffffffffffffffffffffffffffffffffffffffffffffffffffffffffbfffffffffffffffffffffffffffffffffffffffffffffffffffffffffffffffffffff7ffffffffffffffffffffffffffffffffff</t>
  </si>
  <si>
    <t>fffffffffffffffffffffffffffffffffffbfffffffffffffffffffffffffffffffffffffffffffffffffffffffffffffffffffffefffffffffffffffffffffffffffffffffffffffffffffffffffffffffffffffffffffffffffffffffffffffffffffffffffffffffffffffffffffffffffffffffffffffffffff7fffffffffffffffffffffffffffffffffffffffffffffffffffffffffffffffffffffdfffffffffffffffffffffffffffffffffff</t>
  </si>
  <si>
    <t>fffffffffffffffffffffffffffffffffffefffffffffffffffffffffffffffffffffffffffffffffffffffffffffffffffffffffffdfffffffffffffffffffffffffffffffffffffffffffffffffffffffffffffffffffffffffffffffffffffffffffffffffffffffffffffffffffffffffffffffffffffffffffffffbfffffffffffffffffffffffffffffffffffffffffffffffffffffffffffffffffffffff7fffffffffffffffffffffffffffffffffff</t>
  </si>
  <si>
    <t>ffffffffffffffffffffffffffffffffffff7fffffffffffffffffffffffffffffffffffffffffffffffffffffffffffffffffbfffffffffffffffffffffffffffffffffffffffffffffffffffffffffffffffffffffffffffffffffffffffffffffffffffffffffffffffffffffffffffffffffffdfffffffffffffffffffffffffffffffffffffffffffffffffffffffffffffffffeffffffffffffffffffffffffffffffffffffffffffffffffffffffffffffffffff7fffffffffffffffffffffffffffffffffffffffffffffffffffffffffffffffffbfffffffffffffffffffffffffffffffffffffffffffffffffffffffffffffffffffffffffffffffffffffffffffffffffffffffffffffffffffffffffffffffffffdfffffffffffffffffffffffffffffffffffffffffffffffffffffffffffffffffeffffffffffffffffffffffffffffffffffffffffffffffffffffffffffffffffff7fffffffffffffffffffffffffffffffffffffffffffffffffffffffffffffffffbfffffffffffffffffffffffffffffffffffffffffffffffffffffffffffffffffffffffffff</t>
  </si>
  <si>
    <t>ffffffffffffffffffffffffffffffffffffdfffffffffffffffffffffffffffffffffffffffffffffffffffffffffffffffffffffffff7fffffffffffffffffffffffffffffffffffffffffffffffffffffffffffffffffffffffffffffffffffffffffffffffffffffffffffffffffffffffffffffffffffffffffffffffffefffffffffffffffffffffffffffffffffffffffffffffffffffffffffffffffffffffffffbffffffffffffffffffffffffffffffffffff</t>
  </si>
  <si>
    <t>fffffffffffffffffffffffffffffffffffffbfffffffffffffffffffffffffffffffffffffffffffffffffffffffffffffffffffffffffefffffffffffffffffffffffffffffffffffffffffffffffffffffffffffffffffffffffffffffffffffffffffffffffffffffffffffffffffffffffffffffffffffffffffffffffffffff7fffffffffffffffffffffffffffffffffffffffffffffffffffffffffffffffffffffffffdfffffffffffffffffffffffffffffffffffff</t>
  </si>
  <si>
    <t>fffffffffffffffffffffffffffffffffffffbfffffffffffffffffffffffffffffffffffffffffffffffffffffffffffffffffffffffffffffffffffffffffffffffffffffffffffffffffffffffffffffffffffffffffffffffffffffffffffffffffffffffffffdfffffffffffffffffffffffffffffffffffffffffffffffffffffffffffffffffffffffffffffffffffffeffffffffffffffffffffffffffffffffffffffffffffffffffffffffffffffffffffffffffffffffffffff7fffffffffffffffffffffffffffffffffffffffffffffffffffffffffffffffffffffffffffffffffffffbfffffffffffffffffffffffffffffffffffffffffffffffffffffffffffffffffffffffffffffffffffffffffffffffffffffffffffffffffffffffffffffffffffffffffffffffffffffffffffffffffffffffffffdfffffffffffffffffffffffffffffffffffffffffffffffffffffffffffffffffffffffffffffffffffffeffffffffffffffffffffffffffffffffffffffffffffffffffffffffffffffffffffffffffffffffffffff7ffffffffffffffffffffffffff</t>
  </si>
  <si>
    <t>fffffffffffffffffffffffffffffffffffffdfffffffffffffffffffffffffffffffffffffffffffffffeffffffffffffffffffffffffffffffffffffffffffffffff7fffffffffffffffffffffffffffffffffffffffffffffffbfffffffffffffffffffffffffffffffffffffffffffffffffffffffffffffffffffffffffffffffffffffffffffffffdfffffffffffffffffffffffffffffffffffffffffffffffeffffffffffffffffffffffffffffffffffffffffffffffff7fffffffffffffffffffffffffffffffffffffffffffffffbfffffffffffffffffffffffffffffffffffffffffffffffffffffffffffffffffffffffffffffffffffffffffffffffdfffffffffffffffffffffffffffffffffffffffffffffffeffffffffffffffffffffffffffffffffffffffffffffffff7fffffffffffffffffffffffffffffffffffffffffffffffbfffffffffffffffffffffffffffffffffffffffffffffffffffffffffffffffffffffffffffffffffffffffffffffffdfffffffffffffffffffffffffffffffffffffffffffffffefffffffffffffffffffffffffffffff</t>
  </si>
  <si>
    <t>fffffffffffffffffffffffffffffffffffffefffffffffffffffffffffffffffffffffffffffffffffffffffffffffffffffffffffffffffdfffffffffffffffffffffffffffffffffffffffffffffffffffffffffffffffffffffffffffffffffffffffffffffffffffffffffffffffffffffffffffffffffffffffffffffffffffffffbfffffffffffffffffffffffffffffffffffffffffffffffffffffffffffffffffffffffffff7fffffffffffffffffffffffffffffffffffff</t>
  </si>
  <si>
    <t>fffffffffffffffffffffffffffffffffffffefffffffffffffffffffffffffffffffffffffffffffffffffffffffffffffffffffffffffffffffffffffffffffffffffffffffff7fffffffffffffffffffffffffffffffffffffffffffffffffffdffffffffffffffffffffffffffffffffffffffffffffffffffffbfffffffffffffffffffffffffffffffffffffffffffffffffffefffffffffffffffffffffffffffffffffffffffffffffffffffffffffffffffffffffffffffffffffffffffffffffffffffffffff7fffffffffffffffffffffffffffffffffffffffffffffffffffdffffffffffffffffffffffffffffffffffffffffffffffffffffbfffffffffffffffffffffffffffffffffffffffffffffffffffefffffffffffffffffffffffffffffffffffffffffffffffffffffffffffffffffffffffffffffffffffffffffffffffffffffffff7fffffffffffffffffffffffffffffffffffffffffffffffffffdffffffffffffffffffffffffffffffffffffffffffffffffffffbfffffffffffffffffffffffffffffffffffffffffffffffffffefffffffffffff</t>
  </si>
  <si>
    <t>ffffffffffffffffffffffffffffffffffffff7fffffffffffffffffffffffffffffffffffffffffffffffffefffffffffffffffffffffffffbffffffffffff</t>
  </si>
  <si>
    <t>ffffffffffffffffffffffffffffffffffffffbfffffffffffffffffffffffffffffffffffffffffffffffffffffffffffffffffffffffffffefffffffffffffffffffffffffffffffffffffffffffffffffffffffffffffffffffffffffffffffffffffffffffffffffffffffffffffffffffffffffffffffffffffffffffffffffffffffff7fffffffffffffffffffffffffffffffffffffffffffffffffffffffffffffffffffffffffffdffffffffffffffffffffffffffffffffffffff</t>
  </si>
  <si>
    <t>ffffffffffffffffffffffffffffffffffffffefffffffffffffffffffffffffffffffffffffffffffffffffffffffffffffffffffffffffffffdfffffffffffffffffffffffffffffffffffffffffffffffffffffffffffffffffffffffffffffffffffffffffffffffffffffffffffffffffffffffffffffffffffffffffffffffffffffffffffbfffffffffffffffffffffffffffffffffffffffffffffffffffffffffffffffffffffffffffff7ffffffffffffffffffffffffffffffffffffff</t>
  </si>
  <si>
    <t>fffffffffffffffffffffffffffffffffffffffbfffffffffffffffffffffffffffffffffffffffffffffffffffdfffffffffffffffffffffffffefffffffffffff</t>
  </si>
  <si>
    <t>fffffffffffffffffffffffffffffffffffffffbffffffffffffffffffffffffffffffffffffffffffffffffffffffffffffffffffffffffffffffffffffffffffffffffffffffffffffffffffffffffffffffffffffffd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bfffffffffffffffffffffffffffffffffffffffffffffffffffffffffffffffffffffffffffffffffffffffffffffffffffffffffffffffffffffffffff</t>
  </si>
  <si>
    <t>fffffffffffffffffffffffffffffffffffffffdfffffffffffffffffffffffffffffffffffffffffffffffffffffffffffffffffffffffffffffff7fffffffffffffffffffffffffffffffffffffffffffffffffffffffffffffffffffffffffffffffffffffffffffffffffffffffffffffffffffffffffffffffffffffffffffffffffffffffffffffefffffffffffffffffffffffffffffffffffffffffffffffffffffffffffffffffffffffffffffffbfffffffffffffffffffffffffffffffffffffff</t>
  </si>
  <si>
    <t>ffffffffffffffffffffffffffffffffffffffff7fffffffffffffffffffffffffffffffffffffffffffffffffffffffffffffffffffffffffffffffbfffffffffffffffffffffffffffffffffffffffffffffffffffffffffffffffffffffffffffffffffffffffffffffffffffffffffffffffffffffffffffffffffffffffffffffffffffffffffffffffdfffffffffffffffffffffffffffffffffffffffffffffffffffffffffffffffffffffffffffffffeffffffffffffffffffffffffffffffffffffffff</t>
  </si>
  <si>
    <t>ffffffffffffffffffffffffffffffffffffffff7fffffffffffffffffffffffffffffffffffffffffffffffffffffffffffffffffffffffffffffffffffffffffffffffffffffffffffffefffffffffffffffffffffffffffffffffffffffffffffffffffffffbffffffffffffffffffffffffffffffffffffffffffffffffffffffdfffffffffffffffffffffffffffffffffffffffffffffffffffffff7fffffffffffffffffffffffffffffffffffffffffffffffffffffffffffffffffffffffffffffffffffffffffffffffffffffffffffffefffffffffffffffffffffffffffffffffffffffffffffffffffffffbffffffffffffffffffffffffffffffffffffffffffffffffffffffdfffffffffffffffffffffffffffffffffffffffffffffffffffffff7fffffffffffffffffffffffffffffffffffffffffffffffffffffffffffffffffffffffffffffffffffffffffffffffffffffffffffffefffffffffffffffffffffffffffffffffffffffffffffffffffffffbffffffffffffffffffffffffffffffffffffffffffffffffffffffdffffffffffffffffffffffff</t>
  </si>
  <si>
    <t>ffffffffffffffffffffffffffffffffffffffffefffffffffffffffffffffffffffffffffffffffffffffbffffffffffffffffffffffffffffffffffffffffffffdfffffffffffffffffffffffffffffffffffffffffffff7fffffffffffffffffffffffffffffffffffffffffffffffffffffffffffffffffffffffffffffffffffffffffefffffffffffffffffffffffffffffffffffffffffffffbffffffffffffffffffffffffffffffffffffffffffffdfffffffffffffffffffffffffffffffffffffffffffff7fffffffffffffffffffffffffffffffffffffffffffffffffffffffffffffffffffffffffffffffffffffffffefffffffffffffffffffffffffffffffffffffffffffffbffffffffffffffffffffffffffffffffffffffffffffdfffffffffffffffffffffffffffffffffffffffffffff7fffffffffffffffffffffffffffffffffffffffffffffffffffffffffffffffffffffffffffffffffffffffffefffffffffffffffffffffffffffffffffffffffffffffbffffffffffffffffffffffffffffffffffffffffffffdfffffffffffffffffffffffffff</t>
  </si>
  <si>
    <t>ffffffffffffffffffffffffffffffffffffffffefffffffffffffffffffffffffffffffffffffffffffffffffffffffffffffffffffffffffffffffffdfffffffffffffffffffffffffffffffffffffffffffffffffffffffffffffffffffffffffffffffffffffffffffffffffffffffffffffffffffffffffffffffffffffffffffffffffffffffffffffffffffbfffffffffffffffffffffffffffffffffffffffffffffffffffffffffffffffffffffffffffffffff7ffffffffffffffffffffffffffffffffffffffff</t>
  </si>
  <si>
    <t>fffffffffffffffffffffffffffffffffffffffff7fffffffffffffffffffffdffffffffffffffffffffffbfffffffffffffffffffffefffffffffffffffffffffffffffffffffffffffffffff7fffffffffffffffffffffdffffffffffffffffffffffbfffffffffffffffffffffefffffffffffffffffffffffffffffffffffffffffffff7fffffffffffffffffffffdffffffffffffffffffffffbfffffffffffffffffffffefffffffffffffffffffffffffffffffffffffffffffff7fffffffffffffffffffffdffffffffffffffffffffffbfffffffffffffffffffffefffffffffffffffffffffffffffffffffffffffffffff7fffffffffffffffffffffdffffffffffffffffffffffbfffffffffffffffffffffefffffffffffffffffffffffffffffffffffffffffffff7fffffffffffffffffffffdffffffffffffffffffffffbfffffffffffffffffffffefffffffffffffffffffffffffffffffffffffffffffff7fffffffffffffffffffffdffffffffffffffffffffffbfffffffffffffffffffffefffffffffffffffffffffffffffffffffffffffffffff7fffffff</t>
  </si>
  <si>
    <t>fffffffffffffffffffffffffffffffffffffffff7fffffffffffffffffffffffffffffffffffffffffffffffffffffefffffffffffffffffffffffffffbfffffffffffff</t>
  </si>
  <si>
    <t>fffffffffffffffffffffffffffffffffffffffffdfffffffffffffffffffffffffffffffffffffffffffffffffffffffbfffffffffffffffffffffffffff7fffffffffffff</t>
  </si>
  <si>
    <t>fffffffffffffffffffffffffffffffffffffffffefffffffffffffffffffffffffffffffffffffffffffffffffffffffffffffffffffffffffffffffffffdfffffffffffffffffffffffffffffffffffffffffffffffffffffffffffffffffffffffffffffffffffffffffffffffffffffffffffffffffffffffffffffffffffffffffffffffffffffffffffffffffffffffbfffffffffffffffffffffffffffffffffffffffffffffffffffffffffffffffffffffffffffffffffff7fffffffffffffffffffffffffffffffffffffffff</t>
  </si>
  <si>
    <t>ffffffffffffffffffffffffffffffffffffffffff7fffffffffffffffffffffffffffffffffffffffffffffffffffffffffffffffffffffffffffffffffffbfffffffffffffffffffffffffffffffffffffffffffffffffffffffffffffffffffffffffffffffffffffffffffffffffffffffffffffffffffffffffffffffffffffffffffffffffffffffffffffffffffffffdfffffffffffffffffffffffffffffffffffffffffffffffffffffffffffffffffffffffffffffffffffeffffffffffffffffffffffffffffffffffffffffff</t>
  </si>
  <si>
    <t>fffffffffffffffffffffffffffffffffffffffffff7fffffffffffffffffffffffffffffffffffffffffffffffffffffffffffffffffffffffffffffffffffffbfffffffffffffffffffffffffffffffffffffffffffffffffffffffffffffffffffffffffffffffffffffffffffffffffffffffffffffffffffffffffffffffffffffffffffffffffffffffffffffffffffffffffffdfffffffffffffffffffffffffffffffffffffffffffffffffffffffffffffffffffffffffffffffffffffefffffffffffffffffffffffffffffffffffffffffff</t>
  </si>
  <si>
    <t>fffffffffffffffffffffffffffffffffffffffffffbfffffffffffffffffffffffffffffffffffffffffffffffffffffffffffffffffffffffffffff7ffffffffffffffffffffffffffffffffffffffffffffffffffffffffffffffffffffffffffffefffffffffffffffffffffffffffffffffffffffffffffffffffffffffffffffffffffffffffffdfffffffffffffffffffffffffffffffffffffffffffffffffffffffffffffffffffffffffffffffffffffffffffffffffffffffffffffffffffffffffffffffffffffffffffffffffffffffffffbfffffffffffffffffffffffffffffffffffffffffffffffffffffffffffffffffffffffffffff7ffffffffffffffffffffffffffffffffffffffffffffffffffffffffffffffffffffffffffffefffffffffffffffffffffffffffffffffffffffffffffffffffffffffffffffffffffffffffffdfffffffffffffffffffffffffffffffffffffffffffffffffffffffffffffffffffffffffffffffffffffffffffffffffffffffffffffffffffffffffffffffffffffffffffffffffffffffffffbffffffffffffffffff</t>
  </si>
  <si>
    <t>fffffffffffffffffffffffffffffffffffffffffffbfffffffffffffffffffffffffffffffffffffffffffffffffffffffffffffffffffffffffffffffffffffefffffffffffffffffffffffffffffffffffffffffffffffffffffffffffffffffffffffffffffffffffffffffffffffffffffffffffffffffffffffffffffffffffffffffffffffffffffffffffffffffffffffffffff7fffffffffffffffffffffffffffffffffffffffffffffffffffffffffffffffffffffffffffffffffffffdfffffffffffffffffffffffffffffffffffffffffff</t>
  </si>
  <si>
    <t>fffffffffffffffffffffffffffffffffffffffffffefffffffffffffffffffffffffffffffffffffffffffffffffffffffffffffffffffffffffffffffffffffffdfffffffffffffffffffffffffffffffffffffffffffffffffffffffffffffffffffffffffffffffffffffffffffffffffffffffffffffffffffffffffffffffffffffffffffffffffffffffffffffffffffffffffffffffbfffffffffffffffffffffffffffffffffffffffffffffffffffffffffffffffffffffffffffffffffffffff7fffffffffffffffffffffffffffffffffffffffffff</t>
  </si>
  <si>
    <t>ffffffffffffffffffffffffffffffffffffffffffff7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7ffffffffffffffffffffffffffffffffffffffffffff</t>
  </si>
  <si>
    <t>ffffffffffffffffffffffffffffffffffffffffffffbfffffffffffffffffffffffffffffffffffffffffffffffffffffffffffffffffffffffffffffffffffffffefffffffffffffffffffffffffffffffffffffffffffffffffffffffffffffffffffffffffffffffffffffffffffffffffffffffffffffffffffffffffffffffffffffffffffffffffffffffffffffffffffffffffffffffff7fffffffffffffffffffffffffffffffffffffffffffffffffffffffffffffffffffffffffffffffffffffffdffffffffffffffffffffffffffffffffffffffffffff</t>
  </si>
  <si>
    <t>ffffffffffffffffffffffffffffffffffffffffffffdfffffffffffffffffffffffffffffffffffffffffffffffffffffffffffbfffffffffffffffffffffffffffff7ffffffffffffff</t>
  </si>
  <si>
    <t>ffffffffffffffffffffffffffffffffffffffffffffefffffffffffffffffffffffffffffffffffffffffffffffffffffffffffffffffffffffffffffffffffffffffdfffffffffffffffffffffffffffffffffffffffffffffffffffffffffffffffffffffffffffffffffffffffffffffffffffffffffffffffffffffffffffffffffffffffffffffffffffffffffffffffffffffffffffffffffffbfffffffffffffffffffffffffffffffffffffffffffffffffffffffffffffffffffffffffffffffffffffffff7ffffffffffffffffffffffffffffffffffffffffffff</t>
  </si>
  <si>
    <t>fffffffffffffffffffffffffffffffffffffffffffffbfffffffffffffffffffffffffffffffffffffffffffffffffffffffffffdfffffffffffffffffffffffffffffefffffffffffffff</t>
  </si>
  <si>
    <t>fffffffffffffffffffffffffffffffffffffffffffffdfffffffffffffffffffffffffffffffffffffffffffffffffffffffffffffffffffffffffffffffffffffffffff7fffffffffffffffffffffffffffffffffffffffffffffffffffffffffffffffffffffffffffffffffffffffffffffffffffffffffffffffffffffffffffffffffffffffffffffffffffffffffffffffffffffffffffffffffffffefffffffffffffffffffffffffffffffffffffffffffffffffffffffffffffffffffffffffffffffffffffffffffbfffffffffffffffffffffffffffffffffffffffffffff</t>
  </si>
  <si>
    <t>fffffffffffffffffffffffffffffffffffffffffffffdfffffffffffffffffffffffffffffffffffffffffffffffffffffffffffffffffffffffffffffffffffffffffffffffffffffffffffffffffffffffffffffffffffffffffffffffffffffffffffffffffffbfffffffffffffffffffffffffffffffffffffffffffffffffffffffffffffffffffffffffffffffff7ffffffffffffffffffffffffffffffffffffffffffffffffffffffffffffffffffffffffffffffffefffffffffffffffffffffffffffffffffffffffffffffffffffffffffffffffffffffffffffffffffdfffffffffffffffffffffffffffffffffffffffffffffffffffffffffffffffffffffffffffffffffffffffffffffffffffffffffffffffffffffffffffffffffffffffffffffffffffffffffffffffffffbfffffffffffffffffffffffffffffffffffffffffffffffffffffffffffffffffffffffffffffffff7ffffffffffffffffffffffffffffffffffffffffffffffffffffffffffffffffffffffffffffffffeffffffffffffffffffffffffffffffffffffffffffffffffffffffffff</t>
  </si>
  <si>
    <t>ffffffffffffffffffffffffffffffffffffffffffffff7fffffffffffffffffffffffffffffffffffffffffffffffffffffffffffffffffffffffffffffffffffffffffffbfffffffffffffffffffffffffffffffffffffffffffffffffffffffffffffffffffffffffffffffffffffffffffffffffffffffffffffffffffffffffffffffffffffffffffffffffffffffffffffffffffffffffffffffffffffffdfffffffffffffffffffffffffffffffffffffffffffffffffffffffffffffffffffffffffffffffffffffffffffeffffffffffffffffffffffffffffffffffffffffffffff</t>
  </si>
  <si>
    <t>ffffffffffffffffffffffffffffffffffffffffffffffbfffffffffffffffffffffffffffffffffffffffffffffffffffffffffffffffffffffffffffffffffffffffffffefffffffffffffffffffffffffffffffffffffffffffffffffffffffffffffffffffffffffffffffffffffffffffffffffffffffffffffffffffffffffffffffffffffffffffffffffffffffffffffffffffffffffffffffffffffffff7fffffffffffffffffffffffffffffffffffffffffffffffffffffffffffffffffffffffffffffffffffffffffffdffffffffffffffffffffffffffffffffffffffffffffff</t>
  </si>
  <si>
    <t>ffffffffffffffffffffffffffffffffffffffffffffffdfffffffffffffffffffffffffffffffffffffffffffffffffffffffffffffffffffffffffffffffffffffffffffff7fffffffffffffffffffffffffffffffffffffffffffffffffffffffffffffffffffffffffffffffffffffffffffffffffffffffffffffffffffffffffffffffffffffffffffffffffffffffffffffffffffffffffffffffffffffffffefffffffffffffffffffffffffffffffffffffffffffffffffffffffffffffffffffffffffffffffffffffffffffffbffffffffffffffffffffffffffffffffffffffffffffff</t>
  </si>
  <si>
    <t>fffffffffffffffffffffffffffffffffffffffffffffff7fffffffffffffffffffffffffffffffffffffffffffffffffffffffffffffefffffffffffffffffffffffffffffffbfffffffffffffff</t>
  </si>
  <si>
    <t>fffffffffffffffffffffffffffffffffffffffffffffffdfffffffffffffffffffffffffffffffffffffffffffffffffffffffffffffffffffffffffffffffffffeffffffffffffffffffffffffffffffffffffffffffffffffffffffffffffffffffffffffffffffffffff7fffffffffffffffffffffffffffffffffffffffffffffffffffffffffffffffffffffffffffffffffffbfffffffffffffffffffffffffffffffffffffffffffffffffffffffffffffffffffffffffffffffffffffffffffffffffffffffffffffffffffffffffffffffffffffffffffffffffffffffffffffffffffffffdfffffffffffffffffffffffffffffffffffffffffffffffffffffffffffffffffffffffffffffffffffeffffffffffffffffffffffffffffffffffffffffffffffffffffffffffffffffffffffffffffffffffff7fffffffffffffffffffffffffffffffffffffffffffffffffffffffffffffffffffffffffffffffffffbffffffffffffffffffffffffffffffffffffffffffffffffffffffffffffffffffffffffffffffffffffffffffffffffffffffffffffffffffffff</t>
  </si>
  <si>
    <t>fffffffffffffffffffffffffffffffffffffffffffffffe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7fffffffffffffffffffffffffffffffffffffffffffffff</t>
  </si>
  <si>
    <t>ffffffffffffffffffffffffffffffffffffffffffffffffd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bffffffffffffffffffffffffffffffffffffffffffffffff</t>
  </si>
  <si>
    <t>ffffffffffffffffffffffffffffffffffffffffffffffffefffffffffffffffffffffffffffffffffffffffffffffffffffffffffffffffff7fffffffffffffffffffffffffffffffdffffffffffffffff</t>
  </si>
  <si>
    <t>fffffffffffffffffffffffffffffffffffffffffffffffff7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efffffffffffffffffffffffffffffffffffffffffffffffff</t>
  </si>
  <si>
    <t>fffffffffffffffffffffffffffffffffffffffffffffffffefffffffffffffffffffffffffffffffffffffffffffffffffffffffffffffffbffffffffffffffffffffffffffffffffffffffffffffffffffffffffffffffdfffffffffffffffffffffffffffffffffffffffffffffffffffffffffffffff7fffffffffffffffffffffffffffffffffffffffffffffffffffffffffffffffffffffffffffffffffffffffffffffffffffffffffffffffffffffffffffffefffffffffffffffffffffffffffffffffffffffffffffffffffffffffffffffbffffffffffffffffffffffffffffffffffffffffffffffffffffffffffffffdfffffffffffffffffffffffffffffffffffffffffffffffffffffffffffffff7fffffffffffffffffffffffffffffffffffffffffffffffffffffffffffffffffffffffffffffffffffffffffffffffffffffffffffffffffffffffffffffefffffffffffffffffffffffffffffffffffffffffffffffffffffffffffffffbffffffffffffffffffffffffffffffffffffffffffffffffffffffffffffffdfffffffffffffffffffffffffffff</t>
  </si>
  <si>
    <t>fffffffffffffffffffffffffffffffffffffffffffffffffe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7fffffffffffffffffffffffffffffffffffffffffffffffff</t>
  </si>
  <si>
    <t>ffffffffffffffffffffffffffffffffffffffffffffffffff7fffffffffffffffffffffffffffffffffffffffffffffffffffffffffffffffffefffffffffffffffffffffffffffffffffbffffffffffffffff</t>
  </si>
  <si>
    <t>ffffffffffffffffffffffffffffffffffffffffffffffffffb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dffffffffffffffffffffffffffffffffffffffffffffffffff</t>
  </si>
  <si>
    <t>ffffffffffffffffffffffffffffffffffffffffffffffffffe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7ffffffffffffffffffffffffffffffffffffffffffffffffff</t>
  </si>
  <si>
    <t>fffffffffffffffffffffffffffffffffffffffffffffffffffeffffffffffffffffffffffffffffffffffffffffffffffffffffff7fffffffffffffffffffffffffffffffffffffffffffffffffffffbfffffffffffffffffffffffffffffffffffffffffffffffffffffffffffffffffffffffffffffffffffffffffffffffffffffffffffdfffffffffffffffffffffffffffffffffffffffffffffffffffffeffffffffffffffffffffffffffffffffffffffffffffffffffffff7fffffffffffffffffffffffffffffffffffffffffffffffffffffbfffffffffffffffffffffffffffffffffffffffffffffffffffffffffffffffffffffffffffffffffffffffffffffffffffffffffffdfffffffffffffffffffffffffffffffffffffffffffffffffffffeffffffffffffffffffffffffffffffffffffffffffffffffffffff7fffffffffffffffffffffffffffffffffffffffffffffffffffffbfffffffffffffffffffffffffffffffffffffffffffffffffffffffffffffffffffffffffffffffffffffffffffffffffffffffffffdfffffffffffffffffffffffffffff</t>
  </si>
  <si>
    <t>fffffffffffffffffffffffffffffffffffffffffffffffffffefffffffffffffffffffffffffffffffffffffffffffffffffffffffffffffffffffff7fffffffffffffffffffffffffffffffffdfffffffffffffffff</t>
  </si>
  <si>
    <t>ffffffffffffffffffffffffffffffffffffffffffffffffffff7fffffffffffffffffffffffffffffffffffffffffffffffffffffffffffffffffffffffffffffffffffffffdffffffffffffffffffffffffffffffffffffffffffffffffffffffffffffffffffffffffffffffffffffffffbfffffffffffffffffffffffffffffffffffffffffffffffffffffffffffffffffffffffffffffffffffffffefffffffffffffffffffffffffffffffffffffffffffffffffffffffffffffffffffffffffffffffffffffffffffffffffffffffffffffffffffffffffffffffffffffffffffffffffffffffffffffffffffffffffffffffff7fffffffffffffffffffffffffffffffffffffffffffffffffffffffffffffffffffffffffffffffffffffffdffffffffffffffffffffffffffffffffffffffffffffffffffffffffffffffffffffffffffffffffffffffffbfffffffffffffffffffffffffffffffffffffffffffffffffffffffffffffffffffffffffffffffffffffffefffffffffffffffffffffffffffffffffffffffffffffffffffffffffffffffffffffffffffffff</t>
  </si>
  <si>
    <t>ffffffffffffffffffffffffffffffffffffffffffffffffffff7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effffffffffffffffffffffffffffffffffffffffffffffffffff</t>
  </si>
  <si>
    <t>ffffffffffffffffffffffffffffffffffffffffffffffffffff7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bffffffffffffffffffffffffffffffffffffffffffffffffffffffffffffffffffffffffffffffffffffffffffffffffd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bffffffff</t>
  </si>
  <si>
    <t>ffffffffffffffffffffffffffffffffffffffffffffffffffffb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dffffffffffffffffffffffffffffffffffffffffffffffffffff</t>
  </si>
  <si>
    <t>fffffffffffffffffffffffffffffffffffffffffffffffffffffdfffffffffffffffffffffffffffffffffffffffffffffffffffffffffffffffffffffffbfffffffffffffffffffffffffffffffffff7fffffffffffffffff</t>
  </si>
  <si>
    <t>fffffffffffffffffffffffffffffffffffffffffffffffffffffdfffffffffffffffffffffffffffffffffffffffffffffffffffffffffffffffffffffffffffffffffffffffffffffffffffffffffffffffffffffffffffffffffffffffffffffffffffffffbfffffffffffffffffffffffffffffffffffffffffffffffffffffffffffffffffffffffffff7ffffffffffffffffffffffffffffffffffffffffffffffffffffffffffffffffffffffffffefffffffffffffffffffffffffffffffffffffffffffffffffffffffffffffffffffffffffffdfffffffffffffffffffffffffffffffffffffffffffffffffffffffffffffffffffffffffffffffffffffffffffffffffffffffffffffffffffffffffffffffffffffffffffffffffffffffbfffffffffffffffffffffffffffffffffffffffffffffffffffffffffffffffffffffffffff7ffffffffffffffffffffffffffffffffffffffffffffffffffffffffffffffffffffffffffefffffffffffffffffffffffffffffffffffffffffffffffffffffffffffffffffffffffffffdffffffffffffffffffffffffffff</t>
  </si>
  <si>
    <t>ffffffffffffffffffffffffffffffffffffffffffffffffffffff7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effffffffffffffffffffffffffffffffffffffffffffffffffffff</t>
  </si>
  <si>
    <t>ffffffffffffffffffffffffffffffffffffffffffffffffffffffbfffffffffffffffffffffffffffffffffffffffffffffffffffffffffffffffffffffffdfffffffffffffffffffffffffffffffffffeffffffffffffffffff</t>
  </si>
  <si>
    <t>ffffffffffffffffffffffffffffffffffffffffffffffffffffffbffffffffffffffffffffffffffffffffffffffffffffffffffffffffffffffffffffffffdfffffffffffffffffffffffffffffffffffffffffffffffffffffffffffffffffffffffff7fffffffffffffffffffffffffffffffffffffffffffffffffffffffffffffffffffffffffffffffffffffffffffffffffffffffffffffffffffffffffffffffffffffffffffffffffefffffffffffffffffffffffffffffffffffffffffffffffffffffffffffffffffffffffffbffffffffffffffffffffffffffffffffffffffffffffffffffffffffffffffffffffffffdfffffffffffffffffffffffffffffffffffffffffffffffffffffffffffffffffffffffff7fffffffffffffffffffffffffffffffffffffffffffffffffffffffffffffffffffffffffffffffffffffffffffffffffffffffffffffffffffffffffffffffffffffffffffffffffefffffffffffffffffffffffffffffffffffffffffffffffffffffffffffffffffffffffffbfffffffffffffffffffffffffffffffffffffffffffffffffff</t>
  </si>
  <si>
    <t>ffffffffffffffffffffffffffffffffffffffffffffffffffffffd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bffffffffffffffffffffffffffffffffffffffffffffffffffffff</t>
  </si>
  <si>
    <t>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effffffffffffffffffffffffffffffffffffffffffffffffffffffffffffffffffffffffffffffffffffffffffffffffffffffffffffffffffffffffffffffffffffffffff7fffffffffffffffffffffffffffffffffffffffffffffffffffffffffffffffffffffffffffffffffffffffffffffffffffffffffffffffffffffffffffffffffffffffffbfffffffffffffffffffffffffffffffffffffffffffffffffffffffffffffffffffffffffffffffffffffffffffff</t>
  </si>
  <si>
    <t>fffffffffffffffffffffffffffffffffffffffffffffffffffffffd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bfffffffffffffffffffffffffffffffffffffffffffffffffffffff</t>
  </si>
  <si>
    <t>ffffffffffffffffffffffffffffffffffffffffffffffffffffffffb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dffffffffffffffffffffffffffffffffffffffffffffffffffffffff</t>
  </si>
  <si>
    <t>ffffffffffffffffffffffffffffffffffffffffffffffffffffffffe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7ffffffffffffffffffffffffffffffffffffffffffffffffffffffff</t>
  </si>
  <si>
    <t>ffffffffffffffffffffffffffffffffffffffffffffffffffffffffe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effffffffffffffffffffffffffffffffffffffffffffffffffffffffffffffff</t>
  </si>
  <si>
    <t>fffffffffffffffffffffffffffffffffffffffffffffffffffffffff7ffffffffffffffffffffffffffffffffffffffffffffffffffffffffffffffffffffffffffffffffffffffffffffffffffe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7ffffffffffffffffffffffffffffffffffffffffffffffffffffffffffffffffffffffffffffffffffffffffffffffffffefffffffffffffffffffffffffffffffffffffffffffffffffffffffffffffffffffffffffffffffffffffffffffffffffffdffffffffffffffffffffffffffffffffffffffffffffffffffffffffffffffffffffffffffffffffffff</t>
  </si>
  <si>
    <t>fffffffffffffffffffffffffffffffffffffffffffffffffffffffff7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efffffffffffffffffffffffffffffffffffffffffffffffffffffffff</t>
  </si>
  <si>
    <t>fffffffffffffffffffffffffffffffffffffffffffffffffffffffffbfffffffffffffffffffffffffffffffffffffffffffffffffffffffffffffffffffffffffffdfffffffffffffffffffffffffffffffffffffefffffffffffffffffff</t>
  </si>
  <si>
    <t>fffffffffffffffffffffffffffffffffffffffffffffffffffffffffd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bfffffffffffffffffffffffffffffffffffffffffffffffffffffffff</t>
  </si>
  <si>
    <t>fffffffffffffffffffffffffffffffffffffffffffffffffffffffffefffffffffffffffffffffffffffffffffffffffffffffffffffffffffffffffffffffffffffff7fffffffffffffffffffffffffffffffffffffdfffffffffffffffffff</t>
  </si>
  <si>
    <t>ffffffffffffffffffffffffffffffffffffffffffffffffffffffffffbffffffffffffffffffffffffffffffffffffffffffffffffffffffffffffdfffffffffffffffffffffffffffffffffffffffffffffffffffffffffffff7fffffffffffffffffffffffffffffffffffffffffffffffffffffffffffffffffffffffffffffffffffffffffffffffffffffffffffffffffffffffffefffffffffffffffffffffffffffffffffffffffffffffffffffffffffffffbffffffffffffffffffffffffffffffffffffffffffffffffffffffffffffdfffffffffffffffffffffffffffffffffffffffffffffffffffffffffffff7fffffffffffffffffffffffffffffffffffffffffffffffffffffffffffffffffffffffffffffffffffffffffffffffffffffffffffffffffffffffffefffffffffffffffffffffffffffffffffffffffffffffffffffffffffffffbffffffffffffffffffffffffffffffffffffffffffffffffffffffffffffdfffffffffffffffffffffffffffffffffffffffffffffffffffffffffffff7ffffffffffffffffffffffffffffffffffffffffffff</t>
  </si>
  <si>
    <t>ffffffffffffffffffffffffffffffffffffffffffffffffffffffffffdfffffffffffffffffffffffffffffffffffffffffffffffffeffffffffffffffffffffffffffffffffffffffffffffffffff7fffffffffffffffffffffffffffffffffffffffffffffffffbfffffffffffffffffffffffffffffffffffffffffffffffffffffffffffffffffffffffffffffffffffffffffffffffffffdfffffffffffffffffffffffffffffffffffffffffffffffffeffffffffffffffffffffffffffffffffffffffffffffffffff7fffffffffffffffffffffffffffffffffffffffffffffffffbfffffffffffffffffffffffffffffffffffffffffffffffffffffffffffffffffffffffffffffffffffffffffffffffffffdfffffffffffffffffffffffffffffffffffffffffffffffffeffffffffffffffffffffffffffffffffffffffffffffffffff7fffffffffffffffffffffffffffffffffffffffffffffffffbfffffffffffffffffffffffffffffffffffffffffffffffffffffffffffffffffffffffffffffffffffffffffffffffffffdffffffffffffffffffffffffffff</t>
  </si>
  <si>
    <t>ffffffffffffffffffffffffffffffffffffffffffffffffffffffffffd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bffffffffffffffffffffffffffffffffffffffffffffffffffffffffff</t>
  </si>
  <si>
    <t>fffffffffffffffffffffffffffffffffffffffffffffffffffffffffff7fffffffffffffffffffffffffffffffffffffffffffffffffffffffffffffffffffffffffffffefffffffffffffffffffffffffffffffffffffffbfffffffffffffffffff</t>
  </si>
  <si>
    <t>fffffffffffffffffffffffffffffffffffffffffffffffffffffffffffb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dfffffffffffffffffffffffffffffffffffffffffffffffffffffffffff</t>
  </si>
  <si>
    <t>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effffffffffffffffffffffffffffffffffffffffffffffffffffffffffffffffffffffffffffffffffffffffffffffffffffffffffffffffffffffffffffffffffff7fffffffffffffffffffffffffffffffffffffffffffffffffffffffffffffffffffffffffffffffffffffffffffffffffffffffffffffffffffffffffffffffffffbfffffffffffffffffffffffffffffffffffffffffffffffffffffffffffffffffffffffffffffffffffffffffffffffffffffffffffffffffffffff</t>
  </si>
  <si>
    <t>fffffffffffffffffffffffffffffffffffffffffffffffffffffffffffdfffffffffffffffffffffffffffffffffffffffffffffffffffffffffffffffffffffffffffffffbfffffffffffffffffffffffffffffffffffffff7fffffffffffffffffff</t>
  </si>
  <si>
    <t>fffffffffffffffffffffffffffffffffffffffffffffffffffffffffffd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dfffffffffffffffffffffff</t>
  </si>
  <si>
    <t>fffffffffffffffffffffffffffffffffffffffffffffffffffffffffffe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7fffffffffffffffffffffffffffffffffffffffffffffffffffffffffff</t>
  </si>
  <si>
    <t>ffffffffffffffffffffffffffffffffffffffffffffffffffffffffffff7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effffffffffffffffffffffffffffffffffffffffffffffffffffffffffff</t>
  </si>
  <si>
    <t>ffffffffffffffffffffffffffffffffffffffffffffffffffffffffffffdfffffffffffffffffffffffffffffffffffffffffffffffffffffffffffffeffffffffffffffffffffffffffffffffffffffffffffffffffffffffffffff7fffffffffffffffffffffffffffffffffffffffffffffffffffffffffffffbfffffffffffffffffffffffffffffffffffffffffffffffffffffffffffffffffffffffffffffffffffffffffffffffffffffffffffffffffffffffffffdfffffffffffffffffffffffffffffffffffffffffffffffffffffffffffffeffffffffffffffffffffffffffffffffffffffffffffffffffffffffffffff7fffffffffffffffffffffffffffffffffffffffffffffffffffffffffffffbfffffffffffffffffffffffffffffffffffffffffffffffffffffffffffffffffffffffffffffffffffffffffffffffffffffffffffffffffffffffffffdfffffffffffffffffffffffffffffffffffffffffffffffffffffffffffffeffffffffffffffffffffffffffffffffffffffffffffffffffffffffffffff7ffffffffffffffffffffffffffffffff</t>
  </si>
  <si>
    <t>ffffffffffffffffffffffffffffffffffffffffffffffffffffffffffffd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bffffffffffffffffffffffffffffffffffffffffffffffffffffffffffff</t>
  </si>
  <si>
    <t>fffffffffffffffffffffffffffffffffffffffffffffffffffffffffffffb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dfffffffffffffffffffffffffffffffffffffffffffffffffffffffffffff</t>
  </si>
  <si>
    <t>fffffffffffffffffffffffffffffffffffffffffffffffffffffffffffffd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bfffffffffffffffffffffffffffffffffffffffffffffffffffffffffffff</t>
  </si>
  <si>
    <t>fffffffffffffffffffffffffffffffffffffffffffffffffffffffffffffefffffffffffffffffffffffffffffffffffffffffffffffffffbffffffffffffffffffffffffffffffffffffffffffffffffffdfffffffffffffffffffffffffffffffffffffffffffffffffff7fffffffffffffffffffffffffffffffffffffffffffffffffffffffffffffffffffffffffffffffffffffffffffffffffffffefffffffffffffffffffffffffffffffffffffffffffffffffffbffffffffffffffffffffffffffffffffffffffffffffffffffdfffffffffffffffffffffffffffffffffffffffffffffffffff7fffffffffffffffffffffffffffffffffffffffffffffffffffffffffffffffffffffffffffffffffffffffffffffffffffffefffffffffffffffffffffffffffffffffffffffffffffffffffbffffffffffffffffffffffffffffffffffffffffffffffffffdfffffffffffffffffffffffffffffffffffffffffffffffffff7fffffffffffffffffffffffffffffffffffffffffffffffffffffffffffffffffffffffffffffffffffffffffffffffffffffefffffff</t>
  </si>
  <si>
    <t>fffffffffffffffffffffffffffffffffffffffffffffffffffffffffffffe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7fffffffffffffffffffffffffffffffffffffffffffffffffffffffffffff</t>
  </si>
  <si>
    <t>fffffffffffffffffffffffffffffffffffffffffffffffffffffffffffffff7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efffffffffffffffffffffffffffffffffffffffffffffffffffffffffffffff</t>
  </si>
  <si>
    <t>fffffffffffffffffffffffffffffffffffffffffffffffffffffffffffffffbfffffffffffffffffffffffffffffffffffffffffffffffffffffffffffffffffffffffffffffffffffdfffffffffffffffffffffffffffffffffffffffffefffffffffffffffffffff</t>
  </si>
  <si>
    <t>ffffffffffffffffffffffffffffffffffffffffffffffffffffffffffffffff7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effffffffffffffffffffffffffffffffffffffffffffffffffffffffffffffff</t>
  </si>
  <si>
    <t>ffffffffffffffffffffffffffffffffffffffffffffffffffffffffffffffffb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dffffffffffffffffffffffffffffffffffffffffffffffffffffffffffffffff</t>
  </si>
  <si>
    <t>ffffffffffffffffffffffffffffffffffffffffffffffffffffffffffffffffd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bffffffffffffffffffffffffffffffffffffffffffffffffffffffffffffffff</t>
  </si>
  <si>
    <t>ffffffffffffffffffffffffffffffffffffffffffffffffffffffffffffffffefffffffffffffffffffffffffffffffffffffffffffffffffffffffffffffffffffffffffffffffffffffffffffffffffffffffffffffffffffffffffffbffffffffffffffffffffffffffffffffffffffffffffffffffffffffffffffffffffffffffffffffffffffffffffffffffffffffffffffffffffffffffd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bffffffffffffffffffffffffffffffffff</t>
  </si>
  <si>
    <t>fffffffffffffffffffffffffffffffffffffffffffffffffffffffffffffffff7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7fffffffffffffffffffffffffffffffffffffffffffffffffffffffffffffffff</t>
  </si>
  <si>
    <t>fffffffffffffffffffffffffffffffffffffffffffffffffffffffffffffffffb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dfffffffffffffffffffffffffffffffffffffffffffffffffffffffffffffffff</t>
  </si>
  <si>
    <t>fffffffffffffffffffffffffffffffffffffffffffffffffffffffffffffffffe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7fffffffffffffffffffffffffffffffffffffffffffffffffffffffffffffffff</t>
  </si>
  <si>
    <t>ffffffffffffffffffffffffffffffffffffffffffffffffffffffffffffffffff7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effffffffffffffffffffffffffffffffffffffffffffffffffffffffffffffffff</t>
  </si>
  <si>
    <t>ffffffffffffffffffffffffffffffffffffffffffffffffffffffffffffffffffefffffffffffffffffffffffffffffffffffffffffffffffffffffffffffffffffffffffffffffffffffffffff7fffffffffffffffffffffffffffffffffffffffffffdffffffffffffffffffffff</t>
  </si>
  <si>
    <t>fffffffffffffffffffffffffffffffffffffffffffffffffffffffffffffffffffb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dfffffffffffffffffffffffffffffffffffffffffffffffffffffffffffffffffff</t>
  </si>
  <si>
    <t>fffffffffffffffffffffffffffffffffffffffffffffffffffffffffffffffffffd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bfffffffffffffffffffffffffffffffffffffffffffffffffffffffffffffffffff</t>
  </si>
  <si>
    <t>ffffffffffffffffffffffffffffffffffffffffffffffffffffffffffffffffffff7fffffffffffffffffffffffffffffffffffffffffffffffffffffffffffffffffffffffffffffffffffffffffefffffffffffffffffffffffffffffffffffffffffffffbffffffffffffffffffffff</t>
  </si>
  <si>
    <t>ffffffffffffffffffffffffffffffffffffffffffffffffffffffffffffffffffffb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dffffffffffffffffffffffffffffffffffffffffffffffffffffffffffffffffffff</t>
  </si>
  <si>
    <t>ffffffffffffffffffffffffffffffffffffffffffffffffffffffffffffffffffffdfffffffffffffffffffffffffffffffffffffffffffffffffffffffffffffffffffffffffffffffffffffffffffbfffffffffffffffffffffffffffffffffffffffffffff7ffffffffffffffffffffff</t>
  </si>
  <si>
    <t>fffffffffffffffffffffffffffffffffffffffffffffffffffffffffffffffffffff7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efffffffffffffffffffffffffffffffffffffffffffffffffffffffffffffffffffff</t>
  </si>
  <si>
    <t>fffffffffffffffffffffffffffffffffffffffffffffffffffffffffffffffffffffefffffffffffffffffffffffffffffffffffffffffffffffffffffffffffffffffffffffffffffffffffffffffffff7fffffffffffffffffffffffffffffffffffffffffffffdfffffffffffffffffffffff</t>
  </si>
  <si>
    <t>ffffffffffffffffffffffffffffffffffffffffffffffffffffffffffffffffffffff7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effffffffffffffffffffffffffffffffffffffffffffffffffffffffffffffffffffff</t>
  </si>
  <si>
    <t>ffffffffffffffffffffffffffffffffffffffffffffffffffffffffffffffffffffffeffffffffffffffffffffffffffffffffffffffffffffffffffffffffffffffffffffffffffffffffffffffffffff7fffffffffffffffffffffffffffffffffffffffffffffffffffffffffffffffffffffffffffffffffffffffffffbfffffffffffffffffffffffffffffffffffffffffffffffffffffffffffffffffffffffffffffffffffffffffffffffffffffffffffffffffffffffffffffffffffffffffffffffffffffffffffffffffffffffffffffffffffffffdfffffffffffffffffffffffffffffffffffffffffffffffffffffffffffffffffffffffffffffffffffffffffffeffffffffffffffffffffffffffffffffffffffffffffffffffffffffffffffffffffffffffffffffffffffffffff7fffffffffffffffffffffffffffffffffffffffffffffffffffffffffffffffffffffffffffffffffffffffffffbfffffffffffffffffffffffffffffffffffffffffffffffffffffffffffffffffffffffffffffffffffffffffffffffffffffffffffffffffffffffffff</t>
  </si>
  <si>
    <t>ffffffffffffffffffffffffffffffffffffffffffffffffffffffffffffffffffffffe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7ffffffffffffffffffffffffffffffffffffffffffffffffffffffffffffffffffffff</t>
  </si>
  <si>
    <t>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bffffffffffffffffffffffffffffffffffffffffffffffffffffffffffffffffffffffffffffffffffffffffffffffffffffffffffffffffffd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</t>
  </si>
  <si>
    <t>fffffffffffffffffffffffffffffffffffffffffffffffffffffffffffffffffffffffdfffffffffffffffffffffffffffffffffffffffffffffffffffffffffffffffffffffffffffffffffffffffffffffffbfffffffffffffffffffffffffffffffffffffffffffffff7fffffffffffffffffffffff</t>
  </si>
  <si>
    <t>fffffffffffffffffffffffffffffffffffffffffffffffffffffffffffffffffffffffe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7fffffffffffffffffffffffffffffffffffffffffffffffffffffffffffffffffffffff</t>
  </si>
  <si>
    <t>ffffffffffffffffffffffffffffffffffffffffffffffffffffffffffffffffffffffffbffffffffffffffffffffffffffffffffffffffffffffffffffffffffffffffffffffffffffffffffffffffffffffdfffffffffffffffffffffffffffffffffffffffffffffffffffffffffffffffffffffffffffffffffffffffffffff7fffffffffffffffffffffffffffffffffffffffffffffffffffffffffffffffffffffffffffffffffffffffffffffffffffffffffffffffffffffffffffffffffffffffffffffffffffffffffffffffffffffffffffffffffffffffffefffffffffffffffffffffffffffffffffffffffffffffffffffffffffffffffffffffffffffffffffffffffffffffbffffffffffffffffffffffffffffffffffffffffffffffffffffffffffffffffffffffffffffffffffffffffffffdfffffffffffffffffffffffffffffffffffffffffffffffffffffffffffffffffffffffffffffffffffffffffffff7fffffffffffffffffffffffffffffffffffffffffffffffffffffffffffffffffffffffffffffffffffffffffffffffffffffffffffffffff</t>
  </si>
  <si>
    <t>ffffffffffffffffffffffffffffffffffffffffffffffffffffffffffffffffffffffffbfffffffffffffffffffffffffffffffffffffffffffffffffffffffffffffffffffffffffffffffffffffffffffffffdfffffffffffffffffffffffffffffffffffffffffffffffeffffffffffffffffffffffff</t>
  </si>
  <si>
    <t>ffffffffffffffffffffffffffffffffffffffffffffffffffffffffffffffffffffffffbffffffffffffffffffffffffffffffffffffffffffffffffffffffffffffffffffffffffffffffffffffffffffffffffffffffffffffffd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bffffffffffffffffffffffffffffffffffffffffffffffffffffffffffffffffffffffffffffffffffffffffffffffffffffffffffffffdfffffffffffffffffffffffffffffffffffffffffffffffffffffffffffffffffffffffffffffffffffffffffffffffffff</t>
  </si>
  <si>
    <t>ffffffffffffffffffffffffffffffffffffffffffffffffffffffffffffffffffffffffd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bffffffffffffffffffffffffffffffffffffffffffffffffffffffffffffffffffffffff</t>
  </si>
  <si>
    <t>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effffffffffffffffffffffff</t>
  </si>
  <si>
    <t>fffffffffffffffffffffffffffffffffffffffffffffffffffffffffffffffffffffffffb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dfffffffffffffffffffffffffffffffffffffffffffffffffffffffffffffffffffffffff</t>
  </si>
  <si>
    <t>fffffffffffffffffffffffffffffffffffffffffffffffffffffffffffffffffffffffffe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7fffffffffffffffffffffffffffffffffffffffffffffffffffffffffffffffffffffffff</t>
  </si>
  <si>
    <t>ffffffffffffffffffffffffffffffffffffffffffffffffffffffffffffffffffffffffffb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dffffffffffffffffffffffffffffffffffffffffffffffffffffffffffffffffffffffffff</t>
  </si>
  <si>
    <t>ffffffffffffffffffffffffffffffffffffffffffffffffffffffffffffffffffffffffffd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bffffffffffffffffffffffffffffffffffffffffffffffffffffffffffffffffffffffffffffffffffffffffffffffffffffffffffffffffffffdfffffffffffffffffffffffffffffffffffffffffffffffffffffffffffffffffffffffffffffffffffffffffffffffffffffffffffffffffffff7ffffffffffffffffffffffffffffffffffffffffffffffffffffffffffff</t>
  </si>
  <si>
    <t>fffffffffffffffffffffffffffffffffffffffffffffffffffffffffffffffffffffffffff7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efffffffffffffffffffffffffffffffffffffffffffffffffffffffffffffffffffffffffff</t>
  </si>
  <si>
    <t>fffffffffffffffffffffffffffffffffffffffffffffffffffffffffffffffffffffffffffbfffffffffffffffffffffffffffffffffffffffffffffffffffffffffffffffffffffffffffffffffffffffffffffffffffdfffffffffffffffffffffffffffffffffffffffffffffffffefffffffffffffffffffffffff</t>
  </si>
  <si>
    <t>fffffffffffffffffffffffffffffffffffffffffffffffffffffffffffffffffffffffffffd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bfffffffffffffffffffffffffffffffffffffffffffffffffffffffffffffffffffffffffff</t>
  </si>
  <si>
    <t>ffffffffffffffffffffffffffffffffffffffffffffffffffffffffffffffffffffffffffff7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effffffffffffffffffffffffffffffffffffffffffffffffffffffffffffffffffffffffffff</t>
  </si>
  <si>
    <t>ffffffffffffffffffffffffffffffffffffffffffffffffffffffffffffffffffffffffffffe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7ffffffffffffffffffffffffffffffffffffffffffffffffffffffffffffffffffffffffffff</t>
  </si>
  <si>
    <t>fffffffffffffffffffffffffffffffffffffffffffffffffffffffffffffffffffffffffffff7fffffffffffffffffffffffffffffffffffffffffffffffffffffffffffffffffffffffffffffffffffffffffffffffffffffefffffffffffffffffffffffffffffffffffffffffffffffffffbfffffffffffffffffffffffff</t>
  </si>
  <si>
    <t>fffffffffffffffffffffffffffffffffffffffffffffffffffffffffffffffffffffffffffffb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dfffffffffffffffffffffffffffffffffffffffffffffffffffffffffffffffffffffffffffff</t>
  </si>
  <si>
    <t>fffffffffffffffffffffffffffffffffffffffffffffffffffffffffffffffffffffffffffffe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</t>
  </si>
  <si>
    <t>ffffffffffffffffffffffffffffffffffffffffffffffffffffffffffffffffffffffffffffffbffffffffffffffffffffffffffffffffffffffffffffffffffffffffffffffffffffffffffffffffffffffffffdfffffffffffffffffffffffffffffffffffffffffffffffffffffffffffffffffffffffffffffffffffffffffff7fffffffffffffffffffffffffffffffffffffffffffffffffffffffffffffffffffffffffffffffffffffffffffffffffffffffffffffffffffffffffffffffffffffffffffffffffffffffffffffffffffffffffffffffffffffefffffffffffffffffffffffffffffffffffffffffffffffffffffffffffffffffffffffffffffffffffffffffffbffffffffffffffffffffffffffffffffffffffffffffffffffffffffffffffffffffffffffffffffffffffffffdfffffffffffffffffffffffffffffffffffffffffffffffffffffffffffffffffffffffffffffffffffffffffff7fffffffffffffffffffffffffffffffffffffffffffffffffffffffffffffffffffffffffffffffffffffffffffffffffffffffffffffffffffffffff</t>
  </si>
  <si>
    <t>ffffffffffffffffffffffffffffffffffffffffffffffffffffffffffffffffffffffffffffffd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bffffffffffffffffffffffffffffffffffffffffffffffffffffffffffffffffffffffffffffff</t>
  </si>
  <si>
    <t>ffffffffffffffffffffffffffffffffffffffffffffffffffffffffffffffffffffffffffffffd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</t>
  </si>
  <si>
    <t>ffffffffffffffffffffffffffffffffffffffffffffffffffffffffffffffffffffffffffffffd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</t>
  </si>
  <si>
    <t>ffffffffffffffffffffffffffffffffffffffffffffffffffffffffffffffffffffffffffffffefffffffffffffffffffffffffffffffffffffffffffffffffffffffffffffffffffffffffffffffffffffffffffffffffffffffff7fffffffffffffffffffffffffffffffffffffffffffffffffffdffffffffffffffffffffffffff</t>
  </si>
  <si>
    <t>fffffffffffffffffffffffffffffffffffffffffffffffffffffffffffffffffffffffffffffffd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bfffffffffffffffffffffffffffffffffffffffffffffffffffffffffffffffffffffffffffffff</t>
  </si>
  <si>
    <t>ffffffffffffffffffffffffffffffffffffffffffffffffffffffffffffffffffffffffffffffffb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dffffffffffffffffffffffffffffffffffffffffffffffffffffffffffffffffffffffffffffffffffffffffffffffffffffffffffffffffffffffffffffffffffffffbffffffffffffffffffffffffffffffffffffffffffffffffffffffffffffffffffffffffffffffffffffff</t>
  </si>
  <si>
    <t>ffffffffffffffffffffffffffffffffffffffffffffffffffffffffffffffffffffffffffffffffdfffffffffffffffffffffffffffffffffffffffffffffffffffffffffffffffffffffffffffffffffffffffffffffffffffffffffffbfffffffffffffffffffffffffffffffffffffffffffffffffffff7ffffffffffffffffffffffffff</t>
  </si>
  <si>
    <t>ffffffffffffffffffffffffffffffffffffffffffffffffffffffffffffffffffffffffffffffffe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7ffffffffffffffffffffffffffffffffffffffffffffffffffffffffffffffffffffffffffffffff</t>
  </si>
  <si>
    <t>fffffffffffffffffffffffffffffffffffffffffffffffffffffffffffffffffffffffffffffffff7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efffffffffffffffffffffffffffffffffffffffffffffffffffffffffffffffffffffffffffffffff</t>
  </si>
  <si>
    <t>fffffffffffffffffffffffffffffffffffffffffffffffffffffffffffffffffffffffffffffffffbfffffffffffffffffffffffffffffffffffffffffffffffffffffffffffffffffffffffffffffffffffffffffffffffffffffffffffdfffffffffffffffffffffffffffffffffffffffffffffffffffffefffffffffffffffffffffffffff</t>
  </si>
  <si>
    <t>fffffffffffffffffffffffffffffffffffffffffffffffffffffffffffffffffffffffffffffffffd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</si>
  <si>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ffffffffffffffffffffffffffffffffffffffffffffffffffffffffffffffffffffffffffffffff7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effffffffffffffffffffffffffffffffffffffffffffffffffffffffffffffffffffffffffffffffff</t>
  </si>
  <si>
    <t>ffffffffffffffffffffffffffffffffffffffffffffffffffffffffffffffffffffffffffffffffffb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dffffffffffffffffffffffffffffffffffffffffffffffffffffffffffffffffffffffffffffffffff</t>
  </si>
  <si>
    <t>ffffffffffffffffffffffffffffffffffffffffffffffffffffffffffffffffffffffffffffffffffd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bffffffffffffffffffffffffffffffffffffffffffffffffffffffffffffffffffffffffffffffffff</t>
  </si>
  <si>
    <t>ffffffffffffffffffffffffffffffffffffffffffffffffffffffffffffffffffffffffffffffffffe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7ffffffffffffffffffffffffffffffffffffffffffffffffffffffffffffffffffffffffffffffffff</t>
  </si>
  <si>
    <t>fffffffffffffffffffffffffffffffffffffffffffffffffffffffffffffffffffffffffffffffffff7fffffffffffffffffffffffffffffffffffffffffffffffffffffffffffffdffffffffffffffffffffffffffffffffffffffffffffffffffffffffffffffbfffffffffffffffffffffffffffffffffffffffffffffffffffffffffffffefffffffffffffffffffffffffffffffffffffffffffffffffffffffffffffffffffffffffffffffffffffffffffffffffffffffffffffffffffffffffffff7fffffffffffffffffffffffffffffffffffffffffffffffffffffffffffffdffffffffffffffffffffffffffffffffffffffffffffffffffffffffffffffbfffffffffffffffffffffffffffffffffffffffffffffffffffffffffffffefffffffffffffffffffffffffffffffffffffffffffffffffffffffffffffffffffffffffffffffffffffffffffffffffffffffffffffffffffffffffffff7fffffffffffffffffffffffffffffffffffffffffffffffffffffffffffffdffffffffffffffffffffffffffffffffffffffffffffffffffffffffffffffbfffff</t>
  </si>
  <si>
    <t>fffffffffffffffffffffffffffffffffffffffffffffffffffffffffffffffffffffffffffffffffff7fffffffffffffffffffffffffffffffffffffffffffffffffffffffffffffffffffffffffffffffffffffffffffffffffffffffffffffefffffffffffffffffffffffffffffffffffffffffffffffffffffffbfffffffffffffffffffffffffff</t>
  </si>
  <si>
    <t>fffffffffffffffffffffffffffffffffffffffffffffffffffffffffffffffffffffffffffffffffffe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7fffffffffffffffffffffffffffffffffffffffffffffffffffffffffffffffffffffffffffffffffff</t>
  </si>
  <si>
    <t>ffffffffffffffffffffffffffffffffffffffffffffffffffffffffffffffffffffffffffffffffffffbfffffffffffffffffffffffffffffffffffffffffffffffffffffffffffffffffffffffffffffffffffffffffffffffffffffffffffffffdfffffffffffffffffffffffffffffffffffffffffffffffffffffffeffffffffffffffffffffffffffff</t>
  </si>
  <si>
    <t>ffffffffffffffffffffffffffffffffffffffffffffffffffffffffffffffffffffffffffffffffffffefffffffffffffffffffffffffffffffffffffffffffffffffffffffffffffffffffffffffffffffffffffffffffffffffffffffffffffffff7fffffffffffffffffffffffffffffffffffffffffffffffffffffffdffffffffffffffffffffffffffff</t>
  </si>
  <si>
    <t>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efffffffffffffffffffffffffffffffffffffffffffffffffffffffffffffffffffffffffffffffffffffffffff</t>
  </si>
  <si>
    <t>fffffffffffffffffffffffffffffffffffffffffffffffffffffffffffffffffffffffffffffffffffffffefffffffffffffffffffffffffffffffffffffffffffffffffffffffffffffffffffffffffffffffffffffffffffffffffffffffffffffffffffff7fffffffffffffffffffffffffffffffffffffffffffffffffffffffffdfffffffffffffffffffffffffffff</t>
  </si>
  <si>
    <t>fffffffffffffffffffffffffffffffffffffffffffffffffffffffffffffffffffffffffffffffffffffffffffbfffffffffffffffffffffffffffffffffffffffffffffffffffffffffffffffffffffffffffffffffffffffffffffff7ffffffffffffffffffffffffffffffffffffffffffffffffffffffffffffffffffffffffffffffffffffffffffffffe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7ffffffffffffffffffffffffffffffffffffffffffffffffffffffffffffffffffffffffffffffffffffffffffffffeffffffffffffffffffffffffffffffffffffffffffffffffffffffffffffffffffffffffffffff</t>
  </si>
  <si>
    <t>ffffffffffffffffffffffffffffffffffffffffffffffffffffffffffffffffffffffffffffffffffffffffffff7fffffffffffffffffffffffffffffffffffffffffffffffffffffffffffffffffffffffffffffffffffffffffffffffffffffffffffffffffffffffffefffffffffffffffffffffffffffffffffffffffffffffffffffffffffffffbffffffffffffffffffffffffffffff</t>
  </si>
  <si>
    <t>ffffffffffffffffffffffffffffffffffffffffffffffffffffffffffffffffffffffffffffffffffffffffffffdfffffffffffffffffffffffffffffffffffffffffffffffffffffffffffffffffffffffffffffffffffffffffffffffffffffffeffffffffffffffffffffffffffffffffffffffffffffffffffffffffffffffffffffffffffffffffffffffffffffffffffffffff7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effffffffffffffffffffffffffffffffffffffffffffffffffffffffffffffffffffffffffffffffffffffffffffffffffffffff7fffffffffffffffff</t>
  </si>
  <si>
    <t>fffffffffffffffffffffffffffffffffffffffffffffffffffffffffffffffffffffffffffffffffffffffffffff7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</t>
  </si>
  <si>
    <t>fffffffffffffffffffffffffffffffffffffffffffffffffffffffffffffffffffffffffffffffffffffffffffffbfffffffffffffffffffffffffffffffffffffffffffffffffffffffffffffffffffffffffffffffffffffffffffffffffffffffffffffffffffffffffffdfffffffffffffffffffffffffffffffffffffffffffffffffffffffffffffefffffffffffffffffffffffffffffff</t>
  </si>
  <si>
    <t>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effffffffffffffffffffffffffffffffffffffffffffffffffffffffffffffffffffffffffffffffffffffffffffffffff7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dfffffffffffffffffffffffffffffffffffffffffffffffffffffffffff</t>
  </si>
  <si>
    <t>fffffffffffffffffffffffffffffffffffffffffffffffffffffffffffffffffffffffffffffffffffffffffffffefffffffffffffffffffffffffffffffffffffffffffffffffffffffffffffffffffffffffffffffffffffffffffffffffffffffffffffffffffffffffffff7fffffffffffffffffffffffffffffffffffffffffffffffffffffffffffffdfffffffffffffffffffffffffffffff</t>
  </si>
  <si>
    <t>fffffffffffffffffffffffffffffffffffffffffffffffffffffffffffffffffffffffffffffffffffffffffffffff7fffffffffffffffffffffffffffffffffffffffffffffffffffffffffffffffffffffffffffffffffffffffffffffffffffffffffffffffffffffffffffffefffffffffffffffffffffffffffffffffffffffffffffffffffffffffffffffbfffffffffffffffffffffffffffffff</t>
  </si>
  <si>
    <t>ffffffffffffffffffffffffffffffffffffffffffffffffffffffffffffffffffffffffffffffffffffffffffffffff7fffffffffffffffffffffffffffffffffffffffffffffffffffffffffdffffffffffffffffffffffffffffffffffffffffffffffffffffffffffbfffffffffffffffffffffffffffffffffffffffffffffffffffffffffefffffffffffffffffffffffffffffffffffffffffffffffffffffffffffffffffffffffffffffffffffffffffffffffffffffffffffffffffffff7fffffffffffffffffffffffffffffffffffffffffffffffffffffffffdffffffffffffffffffffffffffffffffffffffffffffffffffffffffffbfffffffffffffffffffffffffffffffffffffffffffffffffffffffffefffffffffffffffffffffffffffffffffffffffffffffffffffffffffffffffffffffffffffffffffffffffffffffffffffffffffffffffffffff7fffffffffffffffffffffffffffffffffffffffffffffffffffffffffdffffffffffffffffffffffffffffffffffffffffffffffffffffffffffbffffffffffffffffffffffffffffffffffffffff</t>
  </si>
  <si>
    <t>fffffffffffffffffffffffffffffffffffffffffffffffffffffffffffffffffffffffffffffffffffffffffffffffffe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</t>
  </si>
  <si>
    <t>fffffffffffffffffffffffffffffffffffffffffffffffffffffffffffffffffffffffffffffffffffffffffffffffffffbfffffffffffffffffffffffffffffffffffffffffffffffffffffffffffffffffffffffffffffffffffffffffffffffffffffffffffffffffffffffffffffffffffdfffffffffffffffffffffffffffffffffffffffffffffffffffffffffffffffffefffffffffffffffffffffffffffffffff</t>
  </si>
  <si>
    <t>fffffffffffffffffffffffffffffffffffffffffffffffffffffffffffffffffffffffffffffffffffffffffffffffffffff7fffffffffffffffffffffffffffffffffffffffffffffffffffffffffffffffffffffffffffffffffffffffffffffffffffffffffffffffffffffffffffffffffffffefffffffffffffffffffffffffffffffffffffffffffffffffffffffffffffffffffbfffffffffffffffffffffffffffffffff</t>
  </si>
  <si>
    <t>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efffffffffffffffffffffffffffffffffffffffffffffffffffffffffffffffffffffffffffffffffffffffffffffffffffffffffffffffffffffffffff</t>
  </si>
  <si>
    <t>ffffffffffffffffffffffffffffffffffffffffffffffffffffffffffffffffffffffffffffffffffffffffffffffffffffffff7fffffffffffffffffffffffffffffffffffffffffffffffffffffffffffffffffffffffffffffffffffffffffffffffffffffffffffffffffffffffffffffffffffffffffefffffffffffffffffffffffffffffffffffffffffffffffffffffffffffffffffffffbffffffffffffffffffffffffffffffffff</t>
  </si>
  <si>
    <t>ffffffffffffffffffffffffffffffffffffffffffffffffffffffffffffffffffffffffffffffffffffffffffffffffffffffffdfffffffffffffffffffffffffffffffffffffffffffffffffffffffffffffffffffffffffffffffffffffffffffffffffffffffffffffffffffffffffffffffffffffffffffbfffffffffffffffffffffffffffffffffffffffffffffffffffffffffffffffffffff7ffffffffffffffffffffffffffffffffff</t>
  </si>
  <si>
    <t>fffffffffffffffffffffffffffffffffffffffffffffffffffffffffffffffffffffffffffffffffffffffffffffffffffffffffefffffffffffffffffffffffffffffffffffffffffffffffffffffffffffffffffffffffffffffffffffffffffffffffffffffffffffffffffffffffffffffffffffffffffffff7fffffffffffffffffffffffffffffffffffffffffffffffffffffffffffffffffffffdfffffffffffffffffffffffffffffffffff</t>
  </si>
  <si>
    <t>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effffffffffffffffffffffffffffffffffffffffffffffffffffffffffffffffffffffffffffffffffffffffffffffffffffffffffffffffffffffff7fffffffffffffffffffffffffffffffffffffffffffffffffffffffffffffffffffffffffffffffffffffffffffffffffffffffffffffffffffffffbffffffffffffffffffffffffffffffffffffffffffffffffffffffffffffffffffffffffffffffffffffffffffffffffffffffffffffffffffffffffffffffffffff</t>
  </si>
  <si>
    <t>fffffffffffffffffffffffffffffffffffffffffffffffffffffffffffffffffffffffffffffffffffffffffffffffffffffffffffdfffffffffffffffffffffffffffffffffffffffffffffffffffffffffffffffffffffffffffffffffffffffffffffffffffffffffffffffffffffffffffffffffffffffffffffffbfffffffffffffffffffffffffffffffffffffffffffffffffffffffffffffffffffffff7fffffffffffffffffffffffffffffffffff</t>
  </si>
  <si>
    <t>ffffffffffffffffffffffffffffffffffffffffffffffffffffffffffffffffffffffffffffffffffffffffffffffffffffffffffffbfffffffffffffffffffffffffffffffffffffffffffffffffffffffffffffffffffffff7ffffffffffffffffffffffffffffffffffffffffffffffffffffffffffffffffffffffefffffffffffffffffffffffffffffffffffffffffffffffffffffffffffffffffffffffdfffffffffffffffffffffffffffffffffffffffffffffffffffffffffffffffffffffffffffffffffffffffffffffffffffffffffffffffffffffffffffffffffffffffffffffffbfffffffffffffffffffffffffffffffffffffffffffffffffffffffffffffffffffffff7ffffffffffffffffffffffffffffffffffffffffffffffffffffffffffffffffffffffefffffffffffffffffffffffffffffffffffffffffffffffffffffffffffffffffffffffdfffffffffffffffffffffffffffffffffffffffffffffffffffffffffffffffffffffffffffffffffffffffffffffffffffffffffffffffffffffffffffffffffffffffffffffffbfffffffffffff</t>
  </si>
  <si>
    <t>ffffffffffffffffffffffffffffffffffffffffffffffffffffffffffffffffffffffffffffffffffffffffffffffffffffffffffffff7fffffffffffffffffffffffffffffffffffffffffffffffffffffffffffffffffffffffffffffffffffffffffffffffffffffffffffffffffffffffffffffffffffffffffffffffffefffffffffffffffffffffffffffffffffffffffffffffffffffffffffffffffffffffffffbffffffffffffffffffffffffffffffffffff</t>
  </si>
  <si>
    <t>ffffffffffffffffffffffffffffffffffffffffffffffffffffffffffffffffffffffffffffffffffffffffffffffffffffffffffffffb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</t>
  </si>
  <si>
    <t>fffffffffffffffffffffffffffffffffffffffffffffffffffffffffffffffffffffffffffffffffffffffffffffffffffffffffffffffefffffffffffffffffffffffffffffffffffffffffffffffffffffffffffffffffffffffffffffffffffffffffffffffffffffffffffffffffffffffffffffffffffffffffffffffffffff7fffffffffffffffffffffffffffffffffffffffffffffffffffffffffffffffffffffffffdfffffffffffffffffffffffffffffffffffff</t>
  </si>
  <si>
    <t>fffffffffffffffffffffffffffffffffffffffffffffffffffffffffffffffffffffffffffffffffffffffffffffffffffffffffffffffffdfffffffffffffffffffffffffffffffffffffffffffffffffffffffffffffffffffffffffffffffffffffffffffffffffffffffffffffffffffffffffffffffffffffffffffffffffffffffbfffffffffffffffffffffffffffffffffffffffffffffffffffffffffffffffffffffffffff7fffffffffffffffffffffffffffffffffffff</t>
  </si>
  <si>
    <t>ffffffffffffffffffffffffffffffffffffffffffffffffffffffffffffffffffffffffffffffffffffffffffffffffffffffffffffffffffefffffffffffffffffffffffffffffffffffffffffffffffffffffffffffffffffffffffffffffffffffffffffffffffffffffffffffffffffffffffffffffffffffffffffffffffffffffffff7fffffffffffffffffffffffffffffffffffffffffffffffffffffffffffffffffffffffffffdffffffffffffffffffffffffffffffffffffff</t>
  </si>
  <si>
    <t>ffffffffffffffffffffffffffffffffffffffffffffffffffffffffffffffffffffffffffffffffffffffffffffffffffffffffffffffffffffdfffffffffffffffffffffffffffffffffffffffffffffffffffffffffffffffffffffffffffffffffffffffffffffffffffffffffffffffffffffffffffffffffffffffffffffffffffffffffffbfffffffffffffffffffffffffffffffffffffffffffffffffffffffffffffffffffffffffffff7ffffffffffffffffffffffffffffffffffffff</t>
  </si>
  <si>
    <t>fffffffffffffffffffffffffffffffffffffffffffffffffffffffffffffffffffffffffffffffffffffffffffffffffffffffffffffffffffffff7fffffffffffffffffffffffffffffffffffffffffffffffffffffffffffffffffffffffffffffffffffffffffffffffffffffffffffffffffffffffffffffffffffffffffffffffffffffffffffffefffffffffffffffffffffffffffffffffffffffffffffffffffffffffffffffffffffffffffffffbfffffffffffffffffffffffffffffffffffffff</t>
  </si>
  <si>
    <t>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dfffffffffffffffffffffffffffffffffffffffffffffffffffffffffffffffffffffffffffffffeffffffffffffffffffffffffffffffffffffffff</t>
  </si>
  <si>
    <t>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bfffffffffffffffffffffffffffffffffffffffffffffffffffffffffffffffffffffffffffffffff7ffffffffffffffffffffffffffffffffffffffff</t>
  </si>
  <si>
    <t>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bfffffffffffffffffffffffffffffffffffffffffffffffffffffffffffffffffffffffffffffffffffffffffffffffffffffffffffffffffffffffffffffffff</t>
  </si>
  <si>
    <t>fffffffffffffffffffffffffffffffffffffffffffffffffffffffffffffffffffffffffffffffffffffffffffffffffffffffffffffffffffffffffffff7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effffffffffffffffffffffffffffffffffffffffffffffffffffffffffffffffffffffffffffffffffffffffffffffffffffffffffffffffffffffffffffff7fffffffffffffffffffffffffffffffffffffffffffffffffffffffffffffffffffffffffffffffffff</t>
  </si>
  <si>
    <t>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bfffffffffffffffffffffffffffffffffffffffffffffffffffffffffffffffffffffffffffffffffff7fffffffffffffffffffffffffffffffffffffffff</t>
  </si>
  <si>
    <t>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dfffffffffffffffffffffffffffffffffffffffffffffffffffffffffffffffffffffffffffffffffffeffffffffffffffffffffffffffffffffffffffffff</t>
  </si>
  <si>
    <t>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effffffffffffffffffffffffffffffffffffffffffffffffffffffffffffffffffffffffffffffffffffffffffffffffffffffffffffffffffffffffff</t>
  </si>
  <si>
    <t>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dfffffffffffffffffffffffffffffffffffffffffffffffffffffffffffffffffffffffffffffffffffffefffffffffffffffffffffffffffffffffffffffffff</t>
  </si>
  <si>
    <t>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7fffffffffffffffffffffffffffffffffffffffffffffffffffffffffffffffffffffffffffffffffffffdfffffffffffffffffffffffffffffffffffffffffff</t>
  </si>
  <si>
    <t>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bfffffffffffffffffffffffffffffffffffffffffffffffffffffffffffffffffffffffffffffffffffffff7fffffffffffffffffffffffffffffffffffffffffff</t>
  </si>
  <si>
    <t>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7fffffffffffffffffffffffffffffffffffffffffffffffffffffffffffffffffffffffffffffffffffffffdffffffffffffffffffffffffffffffffffffffffffff</t>
  </si>
  <si>
    <t>fffffffffffffffffffffffffffffffffffffffffffffffffffffffffffffffffffffffffffffffffffffffffffffffffffffffffffffffffffffffffffffffffffffbfffffffffffffffffffffffffffffffffffffffffffffffffffffffffffffffffffff7ffffffffffffffffffffffffffffffffffffffffffffffffffffffffffffffffffffefffffffffffffffffffffffffffffffffffffffffffffffffffffffffffffffffffffdfffffffffffffffffffffffffffffffffffffffffffffffffffffffffffffffffffffffffffffffffffffffffffffffffffffffffffffffffffffffffffffffffffffffffffbfffffffffffffffffffffffffffffffffffffffffffffffffffffffffffffffffffff7ffffffffffffffffffffffffffffffffffffffffffffffffffffffffffffffffffffefffffffffffffffffffffffffffffffffffffffffffffffffffffffffffffffffffffdfffffffffffffffffffffffffffffffffffffffffffffffffffffffffffffffffffffffffffffffffffffffffffffffffffffffffffffffffffffffffffffffffffffffffffbffffffff</t>
  </si>
  <si>
    <t>fffffffffffffffffffffffffffffffffffffffffffffffffffffffffffffffffffffffffffffffffffffffffffffffffffffffffffffffffffffffffffffffffffffbfffffffffffffffffffffffffffffffffffffffffffffffffffffffffffffffffffffffffffffffffffffffffffffffffffffffffffffffff7ffffffffffffffffffffffffffffffffffffffffffffffffffffffffffffffffffffffffffffffffffffffffffffffffffffffffffffffffe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7fffffffffffffffffffffff</t>
  </si>
  <si>
    <t>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bfffffffffffffffffffffffffffffffffffffffffffffffffffffffffffffffffffffffffffffffffffffffff7ffffffffffffffffffffffffffffffffffffffffffff</t>
  </si>
  <si>
    <t>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efffffffffffffffffffffffffffffffffffffffffffffffffffffffffffffffffffffffffffffffffffffffffffbfffffffffffffffffffffffffffffffffffffffffffff</t>
  </si>
  <si>
    <t>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dfffffffffffffffffffffffffffffffffffffffffffffffffffffffffffffffffffffffffffffffffffffffffffeffffffffffffffffffffffffffffffffffffffffffffff</t>
  </si>
  <si>
    <t>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7fffffffffffffffffffffffffffffffffffffffffffffffffffffffffffffffffffffffffffffffffffffffffffdffffffffffffffffffffffffffffffffffffffffffffff</t>
  </si>
  <si>
    <t>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efffffffffffffffffffffffffffffffffffffffffffffffffffffffffffffffffffffffffffffffffffffffffffffbffffffffffffffffffffffffffffffffffffffffffffff</t>
  </si>
  <si>
    <t>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7fffffffffffffffffffffffffffffffffffffffffffffff</t>
  </si>
  <si>
    <t>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dffffffffffffffffffffffffffffffffffffffffffffffffffffffffffffffffffffffffffffffffffffffffffffffffffffffffffffffffffffffffffffffffffffffffb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</t>
  </si>
  <si>
    <t>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bffffffffffffffffffffffffffffffffffffffffffffffff</t>
  </si>
  <si>
    <t>fffffffffffffffffffffffffffffffffffffffffffffffffffffffffffffffffffffffffffffffffffffffffffffffffffffffffffffffffffffffffffffffffffffffffffffffffff7fffffffffffffffffffffffffffffffffffffffffffffffffffffffffffffffffffffffffffffffffffffffffffffffffffdffffffffffffffffffffffffffffffffffffffffffffffffffffffffffffffffffffffffffffffffffffffffffffffffffffb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dfffffffffffffffffffffffffffffffffffffffffffffffffffffffffffffffffffffffffffffffffffffffff</t>
  </si>
  <si>
    <t>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efffffffffffffffffffffffffffffffffffffffffffffffff</t>
  </si>
  <si>
    <t>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7fffffffffffffffffffffffffffffffffffffffffffffffff</t>
  </si>
  <si>
    <t>ffffffffffffffffffffffffffffffffffffffffffffffffffffffffffffffffffffffffffffffffffffffffffffffffffffffffffffffffffffffffffffffffffffffffffffffffffffffbfffffffffffffffffffffffffffffffffffffffffffffffffffffffffffffffffffffffffffffffffffffffffffffffffffffffffffffffffffffff7ffffffffffffffffffffffffffffffffffffffffffffffffffffffffffffffffffffffffffffffffffffffffffffffffffffffffffffffffffffffe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</t>
  </si>
  <si>
    <t>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dffffffffffffffffffffffffffffffffffffffffffffffffff</t>
  </si>
  <si>
    <t>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7ffffffffffffffffffffffffffffffffffffffffffffffffff</t>
  </si>
  <si>
    <t>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effffffffffffffffffffffffffffffffffffffffffffffffffff</t>
  </si>
  <si>
    <t>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dffffffffffffffffffffffffffffffffffffffffffffffffffff</t>
  </si>
  <si>
    <t>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effffffffffffffffffffffffffffffffffffffffffffffffffffff</t>
  </si>
  <si>
    <t>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bffffffffffffffffffffffffffffffffffffffffffffffffffffff</t>
  </si>
  <si>
    <t>fffffffffffffffffffffffffffffffffffffffffffffffffffffffffffffffffffffffffffffffffffffffffffffffffffffffffffffffffffffffffffffffffffffffffffffffffffffffffffffffffffffefffffffffffffffffffffffffffffffffffffffffffffffffffffffffffffffffffffffffffffffffffffffffffffffffffffffffffffbffffffffffffffffffffffffffffffffffffffffffffffffffffffffffffffffffffffffffffffffffffffffffffffffffffffffffffd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bfffffffffffffffff</t>
  </si>
  <si>
    <t>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bfffffffffffffffffffffffffffffffffffffffffffffffffffffff</t>
  </si>
  <si>
    <t>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dffffffffffffffffffffffffffffffffffffffffffffffffffffffffffffffffffffffffffffffffffffffffffffffffffffffffffffffffffffffb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</t>
  </si>
  <si>
    <t>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dffffffffffffffffffffffffffffffffffffffffffffffffffffffff</t>
  </si>
  <si>
    <t>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7ffffffffffffffffffffffffffffffffffffffffffffffffffffffff</t>
  </si>
  <si>
    <t>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efffffffffffffffffffffffffffffffffffffffffffffffffffffffff</t>
  </si>
  <si>
    <t>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bfffffffffffffffffffffffffffffffffffffffffffffffffffffffff</t>
  </si>
  <si>
    <t>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</si>
  <si>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bffffffffffffffffffffffffffffffffffffffffffffffffffffffffff</t>
  </si>
  <si>
    <t>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dfffffffffffffffffffffffffffffffffffffffffffffffffffffffffff</t>
  </si>
  <si>
    <t>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7fffffffffffffffffffffffffffffffffffffffffffffffffffffffffff</t>
  </si>
  <si>
    <t>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effffffffffffffffffffffffffffffffffffffffffffffffffffffffffff</t>
  </si>
  <si>
    <t>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bffffffffffffffffffffffffffffffffffffffffffffffffffffffffffff</t>
  </si>
  <si>
    <t>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dfffffffffffffffffffffffffffffffffffffffffffffffffffffffffffff</t>
  </si>
  <si>
    <t>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dffffffffffffffffffffffffffffffffffffffffffffffffffffffffffffffffffffffffffffffffffffffffffffffffffffffffb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dfffffffffffffffffffffffffff</t>
  </si>
  <si>
    <t>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bfffffffffffffffffffffffffffffffffffffffffffffffffffffffffffff</t>
  </si>
  <si>
    <t>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7fffffffffffffffffffffffffffffffffffffffffffffffffffffffffffff</t>
  </si>
  <si>
    <t>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e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</si>
  <si>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e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</si>
  <si>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d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</si>
  <si>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b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</si>
  <si>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d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</si>
  <si>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7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</si>
  <si>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e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</si>
  <si>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d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</si>
  <si>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b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</si>
  <si>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d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</si>
  <si>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7ffffffffffffffffffffffffffffffffffffffffffffffffffffffffffffffffffffffffffffffffffffffffffffffffffffffffffffffffffffffffffffffffffe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</si>
  <si>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e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</si>
  <si>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e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</si>
  <si>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7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</si>
  <si>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7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</si>
  <si>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b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</si>
  <si>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d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</si>
  <si>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7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</si>
  <si>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d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</si>
  <si>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</si>
  <si>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e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</si>
  <si>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b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</si>
  <si>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e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</si>
  <si>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7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</si>
  <si>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d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</si>
  <si>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b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</si>
  <si>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b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</si>
  <si>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7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</si>
  <si>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e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</si>
  <si>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e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</si>
  <si>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d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</si>
  <si>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ff7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b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</si>
  <si>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7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</si>
  <si>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fffe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7fffffffffff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</si>
  <si>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d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bfffffffffffffffffffffffffffffffffffffffffffffffffffffffffffffffffffffffffffffffffffffffffffffffffffffffffffffffffffffffffffffffffffffffffffffffffffffffffffffffffffffff7fffffffffffffffffffffffffffffffffffffffffffffffffffffffffffffffffffffffffffffffff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</si>
  <si>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</si>
  <si>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first</t>
  </si>
  <si>
    <t>hh1</t>
  </si>
  <si>
    <t>hh11</t>
  </si>
  <si>
    <t>hh11 hh13 hh17 hh19 hh31 hh33 hh37 hh39 hh71 hh73 hh77 hh79 hh91 hh93 hh97 hh99</t>
  </si>
  <si>
    <t>hh13</t>
  </si>
  <si>
    <t>hh17</t>
  </si>
  <si>
    <t>hh19</t>
  </si>
  <si>
    <t>hh3</t>
  </si>
  <si>
    <t>hh31</t>
  </si>
  <si>
    <t>hh33</t>
  </si>
  <si>
    <t>hh37</t>
  </si>
  <si>
    <t>hh39</t>
  </si>
  <si>
    <t>hh7</t>
  </si>
  <si>
    <t>hh71</t>
  </si>
  <si>
    <t>hh73</t>
  </si>
  <si>
    <t>hh77</t>
  </si>
  <si>
    <t>hh79</t>
  </si>
  <si>
    <t>hh9</t>
  </si>
  <si>
    <t>hh91</t>
  </si>
  <si>
    <t>hh93</t>
  </si>
  <si>
    <t>hh97</t>
  </si>
  <si>
    <t>hh99</t>
  </si>
  <si>
    <t>mod(840;f6)</t>
  </si>
  <si>
    <t>period</t>
  </si>
  <si>
    <t>period=normal</t>
  </si>
  <si>
    <t>Set manual</t>
  </si>
</sst>
</file>

<file path=xl/styles.xml><?xml version="1.0" encoding="utf-8"?>
<styleSheet xmlns="http://schemas.openxmlformats.org/spreadsheetml/2006/main">
  <numFmts count="2">
    <numFmt numFmtId="164" formatCode="[$$-409]\ #,##0.00"/>
    <numFmt numFmtId="165" formatCode="[$$-409]\ #,##0"/>
  </numFmts>
  <fonts count="133">
    <font>
      <sz val="10"/>
      <name val="Arial"/>
      <family val="0"/>
    </font>
    <font>
      <b/>
      <sz val="18"/>
      <name val="Arial"/>
      <family val="0"/>
    </font>
    <font>
      <b/>
      <sz val="12"/>
      <name val="Arial"/>
      <family val="0"/>
    </font>
    <font>
      <sz val="10"/>
      <name val="Times New Roman CYR"/>
      <family val="0"/>
    </font>
    <font>
      <b/>
      <sz val="10"/>
      <name val="Arial"/>
      <family val="0"/>
    </font>
    <font>
      <sz val="10"/>
      <name val="EngrvrsOldEng BT"/>
      <family val="0"/>
    </font>
    <font>
      <sz val="10"/>
      <name val="Tiranti Solid LET"/>
      <family val="0"/>
    </font>
    <font>
      <sz val="12"/>
      <name val="Arial"/>
      <family val="0"/>
    </font>
    <font>
      <sz val="10"/>
      <name val="Arial CYR"/>
      <family val="0"/>
    </font>
    <font>
      <sz val="14"/>
      <name val="Arial"/>
      <family val="0"/>
    </font>
    <font>
      <b/>
      <sz val="14"/>
      <name val="Arial"/>
      <family val="0"/>
    </font>
    <font>
      <b/>
      <sz val="10"/>
      <name val="Times New Roman CYR"/>
      <family val="0"/>
    </font>
    <font>
      <b/>
      <sz val="12"/>
      <name val="Times New Roman CYR"/>
      <family val="0"/>
    </font>
    <font>
      <sz val="12"/>
      <name val="EngrvrsOldEng BT"/>
      <family val="0"/>
    </font>
    <font>
      <sz val="18"/>
      <name val="EngrvrsOldEng BT"/>
      <family val="0"/>
    </font>
    <font>
      <b/>
      <sz val="8"/>
      <name val="Times New Roman CYR"/>
      <family val="0"/>
    </font>
    <font>
      <sz val="8"/>
      <name val="Times New Roman CYR"/>
      <family val="0"/>
    </font>
    <font>
      <sz val="11"/>
      <name val="Arial"/>
      <family val="0"/>
    </font>
    <font>
      <i/>
      <sz val="10"/>
      <name val="Arial"/>
      <family val="0"/>
    </font>
    <font>
      <b/>
      <i/>
      <sz val="10"/>
      <name val="Arial"/>
      <family val="0"/>
    </font>
    <font>
      <sz val="9"/>
      <name val="Arial"/>
      <family val="0"/>
    </font>
    <font>
      <b/>
      <i/>
      <u val="single"/>
      <sz val="10"/>
      <name val="Arial"/>
      <family val="0"/>
    </font>
    <font>
      <i/>
      <u val="single"/>
      <sz val="10"/>
      <name val="Arial"/>
      <family val="0"/>
    </font>
    <font>
      <u val="single"/>
      <sz val="10"/>
      <name val="Arial"/>
      <family val="0"/>
    </font>
    <font>
      <sz val="10"/>
      <color indexed="33"/>
      <name val="Arial"/>
      <family val="0"/>
    </font>
    <font>
      <sz val="10"/>
      <color indexed="50"/>
      <name val="Times New Roman CYR"/>
      <family val="0"/>
    </font>
    <font>
      <sz val="10"/>
      <color indexed="33"/>
      <name val="Times New Roman CYR"/>
      <family val="0"/>
    </font>
    <font>
      <sz val="10"/>
      <color indexed="39"/>
      <name val="Arial"/>
      <family val="0"/>
    </font>
    <font>
      <sz val="10"/>
      <color indexed="8"/>
      <name val="Arial"/>
      <family val="0"/>
    </font>
    <font>
      <sz val="10"/>
      <color indexed="17"/>
      <name val="Arial"/>
      <family val="0"/>
    </font>
    <font>
      <b/>
      <sz val="10"/>
      <color indexed="8"/>
      <name val="Arial"/>
      <family val="0"/>
    </font>
    <font>
      <sz val="10"/>
      <color indexed="38"/>
      <name val="Arial"/>
      <family val="0"/>
    </font>
    <font>
      <sz val="10"/>
      <color indexed="8"/>
      <name val="Times New Roman CYR"/>
      <family val="0"/>
    </font>
    <font>
      <sz val="10"/>
      <color indexed="41"/>
      <name val="Arial"/>
      <family val="0"/>
    </font>
    <font>
      <b/>
      <sz val="10"/>
      <color indexed="50"/>
      <name val="Arial"/>
      <family val="0"/>
    </font>
    <font>
      <sz val="10"/>
      <color indexed="35"/>
      <name val="Arial"/>
      <family val="0"/>
    </font>
    <font>
      <sz val="10"/>
      <color indexed="34"/>
      <name val="Arial"/>
      <family val="0"/>
    </font>
    <font>
      <sz val="10"/>
      <color indexed="32"/>
      <name val="Arial"/>
      <family val="0"/>
    </font>
    <font>
      <sz val="10"/>
      <color indexed="13"/>
      <name val="Arial"/>
      <family val="0"/>
    </font>
    <font>
      <sz val="10"/>
      <color indexed="12"/>
      <name val="Arial"/>
      <family val="0"/>
    </font>
    <font>
      <sz val="10"/>
      <color indexed="46"/>
      <name val="Arial"/>
      <family val="0"/>
    </font>
    <font>
      <sz val="10"/>
      <color indexed="47"/>
      <name val="Arial"/>
      <family val="0"/>
    </font>
    <font>
      <sz val="10"/>
      <color indexed="48"/>
      <name val="Arial"/>
      <family val="0"/>
    </font>
    <font>
      <sz val="10"/>
      <color indexed="43"/>
      <name val="Arial"/>
      <family val="0"/>
    </font>
    <font>
      <sz val="10"/>
      <color indexed="44"/>
      <name val="Arial"/>
      <family val="0"/>
    </font>
    <font>
      <sz val="10"/>
      <color indexed="49"/>
      <name val="Arial"/>
      <family val="0"/>
    </font>
    <font>
      <sz val="10"/>
      <color indexed="16"/>
      <name val="Arial"/>
      <family val="0"/>
    </font>
    <font>
      <sz val="10"/>
      <color indexed="18"/>
      <name val="Arial"/>
      <family val="0"/>
    </font>
    <font>
      <sz val="10"/>
      <color indexed="45"/>
      <name val="Arial"/>
      <family val="0"/>
    </font>
    <font>
      <sz val="10"/>
      <color indexed="40"/>
      <name val="Arial"/>
      <family val="0"/>
    </font>
    <font>
      <sz val="10"/>
      <color indexed="36"/>
      <name val="Arial"/>
      <family val="0"/>
    </font>
    <font>
      <sz val="10"/>
      <color indexed="31"/>
      <name val="Arial"/>
      <family val="0"/>
    </font>
    <font>
      <sz val="10"/>
      <color indexed="25"/>
      <name val="Arial"/>
      <family val="0"/>
    </font>
    <font>
      <sz val="10"/>
      <color indexed="21"/>
      <name val="Arial"/>
      <family val="0"/>
    </font>
    <font>
      <sz val="10"/>
      <color indexed="13"/>
      <name val="Times New Roman CYR"/>
      <family val="0"/>
    </font>
    <font>
      <sz val="10"/>
      <color indexed="37"/>
      <name val="Times New Roman CYR"/>
      <family val="0"/>
    </font>
    <font>
      <sz val="10"/>
      <color indexed="50"/>
      <name val="Arial"/>
      <family val="0"/>
    </font>
    <font>
      <sz val="10"/>
      <color indexed="42"/>
      <name val="Arial"/>
      <family val="0"/>
    </font>
    <font>
      <sz val="10"/>
      <color indexed="37"/>
      <name val="Arial"/>
      <family val="0"/>
    </font>
    <font>
      <sz val="10"/>
      <color indexed="29"/>
      <name val="Arial"/>
      <family val="0"/>
    </font>
    <font>
      <sz val="10"/>
      <color indexed="28"/>
      <name val="Arial"/>
      <family val="0"/>
    </font>
    <font>
      <sz val="10"/>
      <color indexed="26"/>
      <name val="Arial"/>
      <family val="0"/>
    </font>
    <font>
      <sz val="10"/>
      <color indexed="15"/>
      <name val="Arial"/>
      <family val="0"/>
    </font>
    <font>
      <sz val="10"/>
      <color indexed="26"/>
      <name val="EngrvrsOldEng BT"/>
      <family val="0"/>
    </font>
    <font>
      <sz val="10"/>
      <color indexed="38"/>
      <name val="Times New Roman CYR"/>
      <family val="0"/>
    </font>
    <font>
      <sz val="10"/>
      <color indexed="51"/>
      <name val="Arial"/>
      <family val="0"/>
    </font>
    <font>
      <sz val="10"/>
      <color indexed="39"/>
      <name val="Times New Roman CYR"/>
      <family val="0"/>
    </font>
    <font>
      <sz val="10"/>
      <color indexed="39"/>
      <name val="Tiranti Solid LET"/>
      <family val="0"/>
    </font>
    <font>
      <sz val="12"/>
      <color indexed="8"/>
      <name val="Arial"/>
      <family val="0"/>
    </font>
    <font>
      <sz val="10"/>
      <color indexed="19"/>
      <name val="Arial"/>
      <family val="0"/>
    </font>
    <font>
      <sz val="10"/>
      <color indexed="14"/>
      <name val="Arial"/>
      <family val="0"/>
    </font>
    <font>
      <sz val="10"/>
      <color indexed="22"/>
      <name val="Arial"/>
      <family val="0"/>
    </font>
    <font>
      <sz val="10"/>
      <color indexed="30"/>
      <name val="Arial"/>
      <family val="0"/>
    </font>
    <font>
      <sz val="10"/>
      <color indexed="27"/>
      <name val="Arial"/>
      <family val="0"/>
    </font>
    <font>
      <sz val="12"/>
      <color indexed="13"/>
      <name val="Arial"/>
      <family val="0"/>
    </font>
    <font>
      <sz val="12"/>
      <color indexed="31"/>
      <name val="Arial"/>
      <family val="0"/>
    </font>
    <font>
      <sz val="12"/>
      <color indexed="25"/>
      <name val="Arial"/>
      <family val="0"/>
    </font>
    <font>
      <sz val="12"/>
      <color indexed="36"/>
      <name val="Arial"/>
      <family val="0"/>
    </font>
    <font>
      <sz val="12"/>
      <color indexed="26"/>
      <name val="Arial"/>
      <family val="0"/>
    </font>
    <font>
      <sz val="12"/>
      <color indexed="27"/>
      <name val="Arial"/>
      <family val="0"/>
    </font>
    <font>
      <sz val="12"/>
      <color indexed="33"/>
      <name val="Arial"/>
      <family val="0"/>
    </font>
    <font>
      <sz val="12"/>
      <color indexed="37"/>
      <name val="Arial"/>
      <family val="0"/>
    </font>
    <font>
      <sz val="12"/>
      <color indexed="12"/>
      <name val="Arial"/>
      <family val="0"/>
    </font>
    <font>
      <sz val="12"/>
      <color indexed="16"/>
      <name val="Arial"/>
      <family val="0"/>
    </font>
    <font>
      <sz val="12"/>
      <color indexed="46"/>
      <name val="Arial"/>
      <family val="0"/>
    </font>
    <font>
      <sz val="10"/>
      <color indexed="33"/>
      <name val="Arial CYR"/>
      <family val="0"/>
    </font>
    <font>
      <b/>
      <sz val="10"/>
      <color indexed="46"/>
      <name val="Arial"/>
      <family val="0"/>
    </font>
    <font>
      <b/>
      <sz val="12"/>
      <color indexed="46"/>
      <name val="Arial"/>
      <family val="0"/>
    </font>
    <font>
      <sz val="12"/>
      <color indexed="42"/>
      <name val="Arial"/>
      <family val="0"/>
    </font>
    <font>
      <sz val="12"/>
      <color indexed="38"/>
      <name val="Arial"/>
      <family val="0"/>
    </font>
    <font>
      <sz val="12"/>
      <color indexed="34"/>
      <name val="Arial"/>
      <family val="0"/>
    </font>
    <font>
      <sz val="12"/>
      <color indexed="28"/>
      <name val="Arial"/>
      <family val="0"/>
    </font>
    <font>
      <sz val="12"/>
      <color indexed="17"/>
      <name val="Arial"/>
      <family val="0"/>
    </font>
    <font>
      <b/>
      <sz val="10"/>
      <color indexed="33"/>
      <name val="Arial"/>
      <family val="0"/>
    </font>
    <font>
      <b/>
      <sz val="10"/>
      <color indexed="41"/>
      <name val="Arial"/>
      <family val="0"/>
    </font>
    <font>
      <b/>
      <sz val="10"/>
      <color indexed="12"/>
      <name val="Arial"/>
      <family val="0"/>
    </font>
    <font>
      <b/>
      <sz val="10"/>
      <color indexed="13"/>
      <name val="Arial"/>
      <family val="0"/>
    </font>
    <font>
      <b/>
      <sz val="10"/>
      <color indexed="32"/>
      <name val="Arial"/>
      <family val="0"/>
    </font>
    <font>
      <b/>
      <sz val="10"/>
      <color indexed="14"/>
      <name val="Arial"/>
      <family val="0"/>
    </font>
    <font>
      <b/>
      <sz val="10"/>
      <color indexed="37"/>
      <name val="Arial"/>
      <family val="0"/>
    </font>
    <font>
      <b/>
      <sz val="10"/>
      <color indexed="38"/>
      <name val="Arial"/>
      <family val="0"/>
    </font>
    <font>
      <b/>
      <sz val="12"/>
      <color indexed="38"/>
      <name val="Arial"/>
      <family val="0"/>
    </font>
    <font>
      <b/>
      <sz val="12"/>
      <color indexed="17"/>
      <name val="Arial"/>
      <family val="0"/>
    </font>
    <font>
      <b/>
      <sz val="12"/>
      <color indexed="34"/>
      <name val="Arial"/>
      <family val="0"/>
    </font>
    <font>
      <b/>
      <sz val="12"/>
      <color indexed="33"/>
      <name val="Arial"/>
      <family val="0"/>
    </font>
    <font>
      <b/>
      <sz val="12"/>
      <color indexed="37"/>
      <name val="Arial"/>
      <family val="0"/>
    </font>
    <font>
      <sz val="10"/>
      <color indexed="23"/>
      <name val="Arial"/>
      <family val="0"/>
    </font>
    <font>
      <b/>
      <sz val="12"/>
      <color indexed="50"/>
      <name val="Arial"/>
      <family val="0"/>
    </font>
    <font>
      <b/>
      <sz val="10"/>
      <color indexed="39"/>
      <name val="Arial"/>
      <family val="0"/>
    </font>
    <font>
      <b/>
      <sz val="12"/>
      <color indexed="8"/>
      <name val="Arial"/>
      <family val="0"/>
    </font>
    <font>
      <sz val="10"/>
      <color indexed="52"/>
      <name val="Arial"/>
      <family val="0"/>
    </font>
    <font>
      <b/>
      <sz val="10"/>
      <color indexed="17"/>
      <name val="Arial"/>
      <family val="0"/>
    </font>
    <font>
      <sz val="12"/>
      <color indexed="44"/>
      <name val="Arial"/>
      <family val="0"/>
    </font>
    <font>
      <b/>
      <sz val="10"/>
      <color indexed="36"/>
      <name val="Arial"/>
      <family val="0"/>
    </font>
    <font>
      <b/>
      <sz val="10"/>
      <color indexed="31"/>
      <name val="Arial"/>
      <family val="0"/>
    </font>
    <font>
      <sz val="10"/>
      <color indexed="46"/>
      <name val="EngrvrsOldEng BT"/>
      <family val="0"/>
    </font>
    <font>
      <sz val="11"/>
      <color indexed="17"/>
      <name val="Arial"/>
      <family val="0"/>
    </font>
    <font>
      <i/>
      <sz val="10"/>
      <color indexed="28"/>
      <name val="Arial"/>
      <family val="0"/>
    </font>
    <font>
      <b/>
      <i/>
      <sz val="10"/>
      <color indexed="28"/>
      <name val="Arial"/>
      <family val="0"/>
    </font>
    <font>
      <b/>
      <sz val="10"/>
      <color indexed="28"/>
      <name val="Arial"/>
      <family val="0"/>
    </font>
    <font>
      <sz val="12"/>
      <color indexed="39"/>
      <name val="Arial"/>
      <family val="0"/>
    </font>
    <font>
      <b/>
      <sz val="10"/>
      <color indexed="34"/>
      <name val="Arial"/>
      <family val="0"/>
    </font>
    <font>
      <sz val="9"/>
      <color indexed="34"/>
      <name val="Arial"/>
      <family val="0"/>
    </font>
    <font>
      <sz val="11"/>
      <color indexed="39"/>
      <name val="Arial"/>
      <family val="0"/>
    </font>
    <font>
      <b/>
      <i/>
      <sz val="10"/>
      <color indexed="33"/>
      <name val="Arial"/>
      <family val="0"/>
    </font>
    <font>
      <b/>
      <i/>
      <u val="single"/>
      <sz val="10"/>
      <color indexed="33"/>
      <name val="Arial"/>
      <family val="0"/>
    </font>
    <font>
      <i/>
      <u val="single"/>
      <sz val="10"/>
      <color indexed="33"/>
      <name val="Arial"/>
      <family val="0"/>
    </font>
    <font>
      <u val="single"/>
      <sz val="10"/>
      <color indexed="33"/>
      <name val="Arial"/>
      <family val="0"/>
    </font>
    <font>
      <i/>
      <sz val="10"/>
      <color indexed="46"/>
      <name val="Arial"/>
      <family val="0"/>
    </font>
    <font>
      <i/>
      <sz val="10"/>
      <color indexed="33"/>
      <name val="Arial"/>
      <family val="0"/>
    </font>
    <font>
      <i/>
      <sz val="10"/>
      <color indexed="37"/>
      <name val="Arial"/>
      <family val="0"/>
    </font>
    <font>
      <i/>
      <sz val="10"/>
      <color indexed="34"/>
      <name val="Arial"/>
      <family val="0"/>
    </font>
    <font>
      <b/>
      <sz val="10"/>
      <color indexed="35"/>
      <name val="Arial"/>
      <family val="0"/>
    </font>
  </fonts>
  <fills count="49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>
        <color indexed="11"/>
      </left>
      <right>
        <color indexed="11"/>
      </right>
      <top style="double">
        <color indexed="11"/>
      </top>
      <bottom>
        <color indexed="11"/>
      </bottom>
    </border>
    <border>
      <left>
        <color indexed="11"/>
      </left>
      <right>
        <color indexed="11"/>
      </right>
      <top>
        <color indexed="11"/>
      </top>
      <bottom style="thin">
        <color indexed="11"/>
      </bottom>
    </border>
    <border>
      <left>
        <color indexed="11"/>
      </left>
      <right>
        <color indexed="11"/>
      </right>
      <top style="thin">
        <color indexed="11"/>
      </top>
      <bottom>
        <color indexed="1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" fontId="0" fillId="0" borderId="0">
      <alignment/>
      <protection/>
    </xf>
    <xf numFmtId="164" fontId="0" fillId="0" borderId="0">
      <alignment/>
      <protection/>
    </xf>
    <xf numFmtId="10" fontId="0" fillId="0" borderId="0">
      <alignment/>
      <protection/>
    </xf>
    <xf numFmtId="2" fontId="0" fillId="0" borderId="0">
      <alignment/>
      <protection/>
    </xf>
    <xf numFmtId="14" fontId="0" fillId="0" borderId="0">
      <alignment/>
      <protection/>
    </xf>
    <xf numFmtId="0" fontId="1" fillId="0" borderId="0">
      <alignment/>
      <protection/>
    </xf>
    <xf numFmtId="0" fontId="2" fillId="0" borderId="0">
      <alignment/>
      <protection/>
    </xf>
    <xf numFmtId="0" fontId="0" fillId="0" borderId="1">
      <alignment/>
      <protection/>
    </xf>
    <xf numFmtId="3" fontId="0" fillId="0" borderId="0">
      <alignment/>
      <protection/>
    </xf>
    <xf numFmtId="165" fontId="0" fillId="0" borderId="0">
      <alignment/>
      <protection/>
    </xf>
    <xf numFmtId="0" fontId="24" fillId="2" borderId="0">
      <alignment/>
      <protection/>
    </xf>
  </cellStyleXfs>
  <cellXfs count="995">
    <xf numFmtId="0" fontId="0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0" applyAlignment="1">
      <alignment/>
    </xf>
    <xf numFmtId="0" fontId="24" fillId="2" borderId="0" xfId="25">
      <alignment/>
      <protection/>
    </xf>
    <xf numFmtId="0" fontId="25" fillId="2" borderId="0" xfId="0" applyAlignment="1">
      <alignment horizontal="right"/>
    </xf>
    <xf numFmtId="0" fontId="25" fillId="2" borderId="0" xfId="0" applyAlignment="1">
      <alignment/>
    </xf>
    <xf numFmtId="0" fontId="26" fillId="2" borderId="0" xfId="0" applyAlignment="1">
      <alignment horizontal="right"/>
    </xf>
    <xf numFmtId="0" fontId="26" fillId="2" borderId="0" xfId="0" applyAlignment="1">
      <alignment/>
    </xf>
    <xf numFmtId="0" fontId="24" fillId="3" borderId="0" xfId="0" applyAlignment="1">
      <alignment/>
    </xf>
    <xf numFmtId="0" fontId="27" fillId="3" borderId="0" xfId="0" applyAlignment="1">
      <alignment/>
    </xf>
    <xf numFmtId="0" fontId="27" fillId="3" borderId="0" xfId="0" applyAlignment="1">
      <alignment horizontal="center"/>
    </xf>
    <xf numFmtId="0" fontId="28" fillId="2" borderId="0" xfId="0" applyAlignment="1">
      <alignment/>
    </xf>
    <xf numFmtId="0" fontId="28" fillId="2" borderId="0" xfId="0" applyAlignment="1">
      <alignment/>
    </xf>
    <xf numFmtId="0" fontId="29" fillId="2" borderId="0" xfId="0" applyAlignment="1">
      <alignment/>
    </xf>
    <xf numFmtId="0" fontId="29" fillId="2" borderId="0" xfId="0" applyAlignment="1">
      <alignment/>
    </xf>
    <xf numFmtId="0" fontId="29" fillId="2" borderId="0" xfId="0" applyAlignment="1">
      <alignment horizontal="center"/>
    </xf>
    <xf numFmtId="0" fontId="29" fillId="2" borderId="0" xfId="0" applyAlignment="1">
      <alignment horizontal="center"/>
    </xf>
    <xf numFmtId="0" fontId="30" fillId="2" borderId="0" xfId="0" applyAlignment="1">
      <alignment horizontal="center"/>
    </xf>
    <xf numFmtId="0" fontId="31" fillId="2" borderId="0" xfId="0" applyAlignment="1">
      <alignment/>
    </xf>
    <xf numFmtId="0" fontId="32" fillId="2" borderId="0" xfId="0" applyAlignment="1">
      <alignment/>
    </xf>
    <xf numFmtId="0" fontId="33" fillId="2" borderId="0" xfId="0" applyAlignment="1">
      <alignment/>
    </xf>
    <xf numFmtId="0" fontId="29" fillId="2" borderId="0" xfId="0" applyAlignment="1">
      <alignment/>
    </xf>
    <xf numFmtId="0" fontId="34" fillId="2" borderId="0" xfId="0" applyAlignment="1">
      <alignment horizontal="center"/>
    </xf>
    <xf numFmtId="0" fontId="24" fillId="2" borderId="0" xfId="0" applyAlignment="1">
      <alignment horizontal="center"/>
    </xf>
    <xf numFmtId="0" fontId="24" fillId="4" borderId="0" xfId="0" applyAlignment="1">
      <alignment/>
    </xf>
    <xf numFmtId="0" fontId="24" fillId="5" borderId="0" xfId="0" applyAlignment="1">
      <alignment/>
    </xf>
    <xf numFmtId="0" fontId="24" fillId="6" borderId="0" xfId="0" applyAlignment="1">
      <alignment/>
    </xf>
    <xf numFmtId="0" fontId="24" fillId="7" borderId="0" xfId="0" applyAlignment="1">
      <alignment/>
    </xf>
    <xf numFmtId="0" fontId="24" fillId="8" borderId="0" xfId="0" applyAlignment="1">
      <alignment/>
    </xf>
    <xf numFmtId="0" fontId="24" fillId="9" borderId="0" xfId="0" applyAlignment="1">
      <alignment/>
    </xf>
    <xf numFmtId="0" fontId="24" fillId="10" borderId="0" xfId="0" applyAlignment="1">
      <alignment/>
    </xf>
    <xf numFmtId="0" fontId="24" fillId="11" borderId="0" xfId="0" applyAlignment="1">
      <alignment/>
    </xf>
    <xf numFmtId="0" fontId="24" fillId="12" borderId="0" xfId="0" applyAlignment="1">
      <alignment/>
    </xf>
    <xf numFmtId="0" fontId="0" fillId="12" borderId="0" xfId="0" applyAlignment="1">
      <alignment/>
    </xf>
    <xf numFmtId="0" fontId="28" fillId="12" borderId="0" xfId="0" applyAlignment="1">
      <alignment/>
    </xf>
    <xf numFmtId="0" fontId="35" fillId="12" borderId="0" xfId="0" applyAlignment="1">
      <alignment/>
    </xf>
    <xf numFmtId="0" fontId="36" fillId="12" borderId="0" xfId="0" applyAlignment="1">
      <alignment/>
    </xf>
    <xf numFmtId="0" fontId="37" fillId="12" borderId="0" xfId="0" applyAlignment="1">
      <alignment/>
    </xf>
    <xf numFmtId="0" fontId="38" fillId="12" borderId="0" xfId="0" applyAlignment="1">
      <alignment/>
    </xf>
    <xf numFmtId="0" fontId="39" fillId="12" borderId="0" xfId="0" applyAlignment="1">
      <alignment/>
    </xf>
    <xf numFmtId="0" fontId="33" fillId="12" borderId="0" xfId="0" applyAlignment="1">
      <alignment/>
    </xf>
    <xf numFmtId="0" fontId="40" fillId="12" borderId="0" xfId="0" applyAlignment="1">
      <alignment/>
    </xf>
    <xf numFmtId="0" fontId="41" fillId="12" borderId="0" xfId="0" applyAlignment="1">
      <alignment/>
    </xf>
    <xf numFmtId="0" fontId="42" fillId="12" borderId="0" xfId="0" applyAlignment="1">
      <alignment/>
    </xf>
    <xf numFmtId="0" fontId="43" fillId="12" borderId="0" xfId="0" applyAlignment="1">
      <alignment/>
    </xf>
    <xf numFmtId="0" fontId="44" fillId="12" borderId="0" xfId="0" applyAlignment="1">
      <alignment/>
    </xf>
    <xf numFmtId="0" fontId="45" fillId="12" borderId="0" xfId="0" applyAlignment="1">
      <alignment/>
    </xf>
    <xf numFmtId="0" fontId="46" fillId="12" borderId="0" xfId="0" applyAlignment="1">
      <alignment/>
    </xf>
    <xf numFmtId="0" fontId="47" fillId="12" borderId="0" xfId="0" applyAlignment="1">
      <alignment/>
    </xf>
    <xf numFmtId="0" fontId="48" fillId="12" borderId="0" xfId="0" applyAlignment="1">
      <alignment/>
    </xf>
    <xf numFmtId="0" fontId="49" fillId="12" borderId="0" xfId="0" applyAlignment="1">
      <alignment/>
    </xf>
    <xf numFmtId="0" fontId="50" fillId="12" borderId="0" xfId="0" applyAlignment="1">
      <alignment/>
    </xf>
    <xf numFmtId="0" fontId="51" fillId="12" borderId="0" xfId="0" applyAlignment="1">
      <alignment/>
    </xf>
    <xf numFmtId="0" fontId="52" fillId="12" borderId="0" xfId="0" applyAlignment="1">
      <alignment/>
    </xf>
    <xf numFmtId="0" fontId="53" fillId="12" borderId="0" xfId="0" applyAlignment="1">
      <alignment/>
    </xf>
    <xf numFmtId="0" fontId="54" fillId="2" borderId="0" xfId="0" applyAlignment="1">
      <alignment/>
    </xf>
    <xf numFmtId="0" fontId="55" fillId="2" borderId="0" xfId="0" applyAlignment="1">
      <alignment/>
    </xf>
    <xf numFmtId="0" fontId="56" fillId="2" borderId="0" xfId="0" applyAlignment="1">
      <alignment/>
    </xf>
    <xf numFmtId="0" fontId="56" fillId="12" borderId="0" xfId="0" applyAlignment="1">
      <alignment/>
    </xf>
    <xf numFmtId="0" fontId="0" fillId="2" borderId="0" xfId="0" applyAlignment="1">
      <alignment/>
    </xf>
    <xf numFmtId="0" fontId="57" fillId="2" borderId="0" xfId="0" applyAlignment="1">
      <alignment horizontal="center"/>
    </xf>
    <xf numFmtId="0" fontId="33" fillId="2" borderId="0" xfId="0" applyAlignment="1">
      <alignment horizontal="center"/>
    </xf>
    <xf numFmtId="0" fontId="58" fillId="2" borderId="0" xfId="0" applyAlignment="1">
      <alignment horizontal="center"/>
    </xf>
    <xf numFmtId="0" fontId="28" fillId="2" borderId="0" xfId="0" applyAlignment="1">
      <alignment horizontal="center"/>
    </xf>
    <xf numFmtId="0" fontId="38" fillId="2" borderId="0" xfId="0" applyAlignment="1">
      <alignment/>
    </xf>
    <xf numFmtId="0" fontId="58" fillId="2" borderId="0" xfId="0" applyAlignment="1">
      <alignment/>
    </xf>
    <xf numFmtId="0" fontId="31" fillId="2" borderId="0" xfId="0" applyAlignment="1">
      <alignment/>
    </xf>
    <xf numFmtId="0" fontId="36" fillId="2" borderId="0" xfId="0" applyAlignment="1">
      <alignment/>
    </xf>
    <xf numFmtId="0" fontId="35" fillId="2" borderId="0" xfId="0" applyAlignment="1">
      <alignment/>
    </xf>
    <xf numFmtId="0" fontId="59" fillId="2" borderId="0" xfId="0" applyAlignment="1">
      <alignment/>
    </xf>
    <xf numFmtId="0" fontId="60" fillId="2" borderId="0" xfId="0" applyAlignment="1">
      <alignment/>
    </xf>
    <xf numFmtId="0" fontId="61" fillId="2" borderId="0" xfId="0" applyAlignment="1">
      <alignment/>
    </xf>
    <xf numFmtId="0" fontId="62" fillId="2" borderId="0" xfId="0" applyAlignment="1">
      <alignment/>
    </xf>
    <xf numFmtId="0" fontId="27" fillId="2" borderId="0" xfId="0" applyAlignment="1">
      <alignment/>
    </xf>
    <xf numFmtId="0" fontId="63" fillId="13" borderId="0" xfId="0" applyAlignment="1">
      <alignment horizontal="left"/>
    </xf>
    <xf numFmtId="0" fontId="27" fillId="2" borderId="0" xfId="0" applyAlignment="1">
      <alignment/>
    </xf>
    <xf numFmtId="0" fontId="26" fillId="14" borderId="0" xfId="0" applyAlignment="1">
      <alignment/>
    </xf>
    <xf numFmtId="3" fontId="32" fillId="15" borderId="0" xfId="0" applyAlignment="1">
      <alignment/>
    </xf>
    <xf numFmtId="0" fontId="28" fillId="2" borderId="0" xfId="0" applyAlignment="1">
      <alignment/>
    </xf>
    <xf numFmtId="0" fontId="24" fillId="2" borderId="0" xfId="0" applyAlignment="1">
      <alignment/>
    </xf>
    <xf numFmtId="0" fontId="29" fillId="2" borderId="0" xfId="0" applyAlignment="1">
      <alignment/>
    </xf>
    <xf numFmtId="3" fontId="28" fillId="15" borderId="0" xfId="0" applyAlignment="1">
      <alignment/>
    </xf>
    <xf numFmtId="0" fontId="64" fillId="14" borderId="0" xfId="0" applyAlignment="1">
      <alignment/>
    </xf>
    <xf numFmtId="0" fontId="65" fillId="2" borderId="0" xfId="0" applyAlignment="1">
      <alignment/>
    </xf>
    <xf numFmtId="0" fontId="44" fillId="2" borderId="0" xfId="0" applyAlignment="1">
      <alignment/>
    </xf>
    <xf numFmtId="0" fontId="43" fillId="2" borderId="0" xfId="0" applyAlignment="1">
      <alignment/>
    </xf>
    <xf numFmtId="0" fontId="57" fillId="2" borderId="0" xfId="0" applyAlignment="1">
      <alignment/>
    </xf>
    <xf numFmtId="0" fontId="33" fillId="2" borderId="0" xfId="0" applyAlignment="1">
      <alignment/>
    </xf>
    <xf numFmtId="0" fontId="39" fillId="2" borderId="0" xfId="0" applyAlignment="1">
      <alignment/>
    </xf>
    <xf numFmtId="0" fontId="27" fillId="2" borderId="0" xfId="0" applyAlignment="1">
      <alignment/>
    </xf>
    <xf numFmtId="0" fontId="66" fillId="2" borderId="0" xfId="0" applyAlignment="1">
      <alignment/>
    </xf>
    <xf numFmtId="0" fontId="67" fillId="2" borderId="0" xfId="0" applyAlignment="1">
      <alignment/>
    </xf>
    <xf numFmtId="0" fontId="24" fillId="16" borderId="0" xfId="0" applyAlignment="1">
      <alignment/>
    </xf>
    <xf numFmtId="0" fontId="28" fillId="3" borderId="0" xfId="0" applyAlignment="1">
      <alignment/>
    </xf>
    <xf numFmtId="0" fontId="68" fillId="3" borderId="0" xfId="0" applyAlignment="1">
      <alignment/>
    </xf>
    <xf numFmtId="0" fontId="69" fillId="12" borderId="0" xfId="0" applyAlignment="1">
      <alignment/>
    </xf>
    <xf numFmtId="0" fontId="36" fillId="2" borderId="0" xfId="0" applyAlignment="1">
      <alignment/>
    </xf>
    <xf numFmtId="0" fontId="31" fillId="12" borderId="0" xfId="0" applyAlignment="1">
      <alignment/>
    </xf>
    <xf numFmtId="0" fontId="70" fillId="12" borderId="0" xfId="0" applyAlignment="1">
      <alignment/>
    </xf>
    <xf numFmtId="0" fontId="58" fillId="12" borderId="0" xfId="0" applyAlignment="1">
      <alignment/>
    </xf>
    <xf numFmtId="0" fontId="71" fillId="12" borderId="0" xfId="0" applyAlignment="1">
      <alignment/>
    </xf>
    <xf numFmtId="0" fontId="29" fillId="12" borderId="0" xfId="0" applyAlignment="1">
      <alignment/>
    </xf>
    <xf numFmtId="0" fontId="62" fillId="12" borderId="0" xfId="0" applyAlignment="1">
      <alignment/>
    </xf>
    <xf numFmtId="0" fontId="72" fillId="12" borderId="0" xfId="0" applyAlignment="1">
      <alignment/>
    </xf>
    <xf numFmtId="3" fontId="24" fillId="2" borderId="0" xfId="23">
      <alignment/>
      <protection/>
    </xf>
    <xf numFmtId="0" fontId="40" fillId="2" borderId="0" xfId="0" applyAlignment="1">
      <alignment/>
    </xf>
    <xf numFmtId="0" fontId="0" fillId="4" borderId="0" xfId="0" applyAlignment="1">
      <alignment/>
    </xf>
    <xf numFmtId="0" fontId="0" fillId="17" borderId="0" xfId="0" applyAlignment="1">
      <alignment/>
    </xf>
    <xf numFmtId="0" fontId="0" fillId="5" borderId="0" xfId="0" applyAlignment="1">
      <alignment/>
    </xf>
    <xf numFmtId="0" fontId="0" fillId="6" borderId="0" xfId="0" applyAlignment="1">
      <alignment/>
    </xf>
    <xf numFmtId="0" fontId="0" fillId="7" borderId="0" xfId="0" applyAlignment="1">
      <alignment/>
    </xf>
    <xf numFmtId="0" fontId="0" fillId="8" borderId="0" xfId="0" applyAlignment="1">
      <alignment/>
    </xf>
    <xf numFmtId="0" fontId="0" fillId="11" borderId="0" xfId="0" applyAlignment="1">
      <alignment/>
    </xf>
    <xf numFmtId="0" fontId="0" fillId="18" borderId="0" xfId="0" applyAlignment="1">
      <alignment/>
    </xf>
    <xf numFmtId="0" fontId="0" fillId="19" borderId="0" xfId="0" applyAlignment="1">
      <alignment/>
    </xf>
    <xf numFmtId="0" fontId="0" fillId="20" borderId="0" xfId="0" applyAlignment="1">
      <alignment/>
    </xf>
    <xf numFmtId="0" fontId="0" fillId="21" borderId="0" xfId="0" applyAlignment="1">
      <alignment/>
    </xf>
    <xf numFmtId="0" fontId="0" fillId="22" borderId="0" xfId="0" applyAlignment="1">
      <alignment/>
    </xf>
    <xf numFmtId="0" fontId="0" fillId="23" borderId="0" xfId="0" applyAlignment="1">
      <alignment/>
    </xf>
    <xf numFmtId="0" fontId="0" fillId="24" borderId="0" xfId="0" applyAlignment="1">
      <alignment/>
    </xf>
    <xf numFmtId="0" fontId="0" fillId="25" borderId="0" xfId="0" applyAlignment="1">
      <alignment/>
    </xf>
    <xf numFmtId="0" fontId="0" fillId="26" borderId="0" xfId="0" applyAlignment="1">
      <alignment/>
    </xf>
    <xf numFmtId="0" fontId="0" fillId="27" borderId="0" xfId="0" applyAlignment="1">
      <alignment/>
    </xf>
    <xf numFmtId="0" fontId="0" fillId="28" borderId="0" xfId="0" applyAlignment="1">
      <alignment/>
    </xf>
    <xf numFmtId="0" fontId="0" fillId="29" borderId="0" xfId="0" applyAlignment="1">
      <alignment/>
    </xf>
    <xf numFmtId="0" fontId="0" fillId="30" borderId="0" xfId="0" applyAlignment="1">
      <alignment/>
    </xf>
    <xf numFmtId="0" fontId="0" fillId="31" borderId="0" xfId="0" applyAlignment="1">
      <alignment/>
    </xf>
    <xf numFmtId="0" fontId="0" fillId="9" borderId="0" xfId="0" applyAlignment="1">
      <alignment/>
    </xf>
    <xf numFmtId="0" fontId="0" fillId="10" borderId="0" xfId="0" applyAlignment="1">
      <alignment/>
    </xf>
    <xf numFmtId="0" fontId="0" fillId="32" borderId="0" xfId="0" applyAlignment="1">
      <alignment/>
    </xf>
    <xf numFmtId="0" fontId="0" fillId="33" borderId="0" xfId="0" applyAlignment="1">
      <alignment/>
    </xf>
    <xf numFmtId="0" fontId="0" fillId="3" borderId="0" xfId="0" applyAlignment="1">
      <alignment/>
    </xf>
    <xf numFmtId="0" fontId="56" fillId="2" borderId="0" xfId="0" applyAlignment="1">
      <alignment/>
    </xf>
    <xf numFmtId="0" fontId="38" fillId="2" borderId="0" xfId="0" applyAlignment="1">
      <alignment horizontal="center"/>
    </xf>
    <xf numFmtId="0" fontId="56" fillId="2" borderId="0" xfId="0" applyAlignment="1">
      <alignment horizontal="center"/>
    </xf>
    <xf numFmtId="0" fontId="0" fillId="2" borderId="0" xfId="0" applyAlignment="1">
      <alignment/>
    </xf>
    <xf numFmtId="0" fontId="0" fillId="2" borderId="0" xfId="0" applyAlignment="1">
      <alignment horizontal="center"/>
    </xf>
    <xf numFmtId="0" fontId="31" fillId="2" borderId="0" xfId="0" applyAlignment="1">
      <alignment horizontal="center"/>
    </xf>
    <xf numFmtId="0" fontId="31" fillId="2" borderId="0" xfId="0" applyAlignment="1">
      <alignment horizontal="left"/>
    </xf>
    <xf numFmtId="0" fontId="24" fillId="2" borderId="0" xfId="0" applyAlignment="1">
      <alignment horizontal="right"/>
    </xf>
    <xf numFmtId="0" fontId="36" fillId="34" borderId="0" xfId="0" applyAlignment="1">
      <alignment horizontal="center"/>
    </xf>
    <xf numFmtId="0" fontId="53" fillId="2" borderId="0" xfId="0" applyAlignment="1">
      <alignment/>
    </xf>
    <xf numFmtId="0" fontId="53" fillId="5" borderId="0" xfId="0" applyAlignment="1">
      <alignment/>
    </xf>
    <xf numFmtId="0" fontId="53" fillId="33" borderId="0" xfId="0" applyAlignment="1">
      <alignment/>
    </xf>
    <xf numFmtId="0" fontId="53" fillId="3" borderId="0" xfId="0" applyAlignment="1">
      <alignment/>
    </xf>
    <xf numFmtId="0" fontId="53" fillId="2" borderId="0" xfId="0" applyAlignment="1">
      <alignment/>
    </xf>
    <xf numFmtId="0" fontId="53" fillId="12" borderId="0" xfId="0" applyAlignment="1">
      <alignment horizontal="center"/>
    </xf>
    <xf numFmtId="0" fontId="56" fillId="2" borderId="0" xfId="0" applyAlignment="1">
      <alignment/>
    </xf>
    <xf numFmtId="0" fontId="31" fillId="2" borderId="0" xfId="0" applyAlignment="1">
      <alignment/>
    </xf>
    <xf numFmtId="0" fontId="38" fillId="2" borderId="0" xfId="0" applyAlignment="1">
      <alignment/>
    </xf>
    <xf numFmtId="0" fontId="28" fillId="11" borderId="0" xfId="0" applyAlignment="1">
      <alignment/>
    </xf>
    <xf numFmtId="0" fontId="68" fillId="11" borderId="0" xfId="0" applyAlignment="1">
      <alignment/>
    </xf>
    <xf numFmtId="0" fontId="24" fillId="2" borderId="0" xfId="0" applyAlignment="1">
      <alignment/>
    </xf>
    <xf numFmtId="0" fontId="29" fillId="35" borderId="0" xfId="0" applyAlignment="1">
      <alignment horizontal="center"/>
    </xf>
    <xf numFmtId="0" fontId="29" fillId="7" borderId="0" xfId="0" applyAlignment="1">
      <alignment horizontal="center"/>
    </xf>
    <xf numFmtId="0" fontId="29" fillId="8" borderId="0" xfId="0" applyAlignment="1">
      <alignment horizontal="center"/>
    </xf>
    <xf numFmtId="0" fontId="29" fillId="3" borderId="0" xfId="0" applyAlignment="1">
      <alignment horizontal="center"/>
    </xf>
    <xf numFmtId="0" fontId="29" fillId="12" borderId="0" xfId="0" applyAlignment="1">
      <alignment horizontal="center"/>
    </xf>
    <xf numFmtId="0" fontId="29" fillId="33" borderId="0" xfId="0" applyAlignment="1">
      <alignment horizontal="center"/>
    </xf>
    <xf numFmtId="0" fontId="29" fillId="5" borderId="0" xfId="0" applyAlignment="1">
      <alignment horizontal="center"/>
    </xf>
    <xf numFmtId="0" fontId="29" fillId="11" borderId="0" xfId="0" applyAlignment="1">
      <alignment horizontal="center"/>
    </xf>
    <xf numFmtId="0" fontId="28" fillId="11" borderId="0" xfId="0" applyAlignment="1">
      <alignment horizontal="center"/>
    </xf>
    <xf numFmtId="0" fontId="68" fillId="11" borderId="0" xfId="0" applyAlignment="1">
      <alignment horizontal="center"/>
    </xf>
    <xf numFmtId="0" fontId="24" fillId="11" borderId="0" xfId="0" applyAlignment="1">
      <alignment horizontal="center"/>
    </xf>
    <xf numFmtId="0" fontId="24" fillId="16" borderId="0" xfId="0" applyAlignment="1">
      <alignment horizontal="center"/>
    </xf>
    <xf numFmtId="0" fontId="24" fillId="3" borderId="0" xfId="0" applyAlignment="1">
      <alignment horizontal="center"/>
    </xf>
    <xf numFmtId="0" fontId="24" fillId="8" borderId="0" xfId="0" applyAlignment="1">
      <alignment horizontal="center"/>
    </xf>
    <xf numFmtId="0" fontId="24" fillId="9" borderId="0" xfId="0" applyAlignment="1">
      <alignment horizontal="center"/>
    </xf>
    <xf numFmtId="0" fontId="24" fillId="10" borderId="0" xfId="0" applyAlignment="1">
      <alignment horizontal="center"/>
    </xf>
    <xf numFmtId="0" fontId="29" fillId="16" borderId="0" xfId="0" applyAlignment="1">
      <alignment horizontal="center"/>
    </xf>
    <xf numFmtId="0" fontId="28" fillId="16" borderId="0" xfId="0" applyAlignment="1">
      <alignment horizontal="center"/>
    </xf>
    <xf numFmtId="0" fontId="68" fillId="16" borderId="0" xfId="0" applyAlignment="1">
      <alignment horizontal="center"/>
    </xf>
    <xf numFmtId="0" fontId="58" fillId="2" borderId="0" xfId="0" applyAlignment="1">
      <alignment/>
    </xf>
    <xf numFmtId="0" fontId="73" fillId="2" borderId="0" xfId="0" applyAlignment="1">
      <alignment/>
    </xf>
    <xf numFmtId="0" fontId="28" fillId="2" borderId="0" xfId="0" applyAlignment="1">
      <alignment/>
    </xf>
    <xf numFmtId="0" fontId="27" fillId="2" borderId="0" xfId="0" applyAlignment="1">
      <alignment/>
    </xf>
    <xf numFmtId="0" fontId="40" fillId="11" borderId="0" xfId="0" applyAlignment="1">
      <alignment/>
    </xf>
    <xf numFmtId="0" fontId="46" fillId="2" borderId="0" xfId="0" applyAlignment="1">
      <alignment/>
    </xf>
    <xf numFmtId="0" fontId="74" fillId="2" borderId="0" xfId="0" applyAlignment="1">
      <alignment/>
    </xf>
    <xf numFmtId="0" fontId="74" fillId="2" borderId="0" xfId="0" applyAlignment="1">
      <alignment horizontal="center"/>
    </xf>
    <xf numFmtId="0" fontId="75" fillId="2" borderId="0" xfId="0" applyAlignment="1">
      <alignment horizontal="center"/>
    </xf>
    <xf numFmtId="0" fontId="76" fillId="2" borderId="0" xfId="0" applyAlignment="1">
      <alignment horizontal="center"/>
    </xf>
    <xf numFmtId="0" fontId="77" fillId="2" borderId="0" xfId="0" applyAlignment="1">
      <alignment horizontal="center"/>
    </xf>
    <xf numFmtId="0" fontId="78" fillId="2" borderId="0" xfId="0" applyAlignment="1">
      <alignment horizontal="center"/>
    </xf>
    <xf numFmtId="0" fontId="68" fillId="2" borderId="0" xfId="0" applyAlignment="1">
      <alignment horizontal="center"/>
    </xf>
    <xf numFmtId="0" fontId="79" fillId="2" borderId="0" xfId="0" applyAlignment="1">
      <alignment horizontal="center"/>
    </xf>
    <xf numFmtId="0" fontId="80" fillId="2" borderId="0" xfId="0" applyAlignment="1">
      <alignment horizontal="center"/>
    </xf>
    <xf numFmtId="0" fontId="81" fillId="2" borderId="0" xfId="0" applyAlignment="1">
      <alignment horizontal="center"/>
    </xf>
    <xf numFmtId="0" fontId="82" fillId="2" borderId="0" xfId="0" applyAlignment="1">
      <alignment horizontal="center"/>
    </xf>
    <xf numFmtId="0" fontId="83" fillId="2" borderId="0" xfId="0" applyAlignment="1">
      <alignment horizontal="center"/>
    </xf>
    <xf numFmtId="0" fontId="84" fillId="2" borderId="0" xfId="0" applyAlignment="1">
      <alignment horizontal="center"/>
    </xf>
    <xf numFmtId="0" fontId="84" fillId="3" borderId="0" xfId="0" applyAlignment="1">
      <alignment horizontal="center"/>
    </xf>
    <xf numFmtId="0" fontId="84" fillId="16" borderId="0" xfId="0" applyAlignment="1">
      <alignment horizontal="center"/>
    </xf>
    <xf numFmtId="0" fontId="74" fillId="16" borderId="0" xfId="0" applyAlignment="1">
      <alignment horizontal="center"/>
    </xf>
    <xf numFmtId="0" fontId="40" fillId="2" borderId="0" xfId="0" applyAlignment="1">
      <alignment horizontal="center"/>
    </xf>
    <xf numFmtId="0" fontId="40" fillId="3" borderId="0" xfId="0" applyAlignment="1">
      <alignment horizontal="center"/>
    </xf>
    <xf numFmtId="0" fontId="40" fillId="33" borderId="0" xfId="0" applyAlignment="1">
      <alignment horizontal="center"/>
    </xf>
    <xf numFmtId="0" fontId="40" fillId="5" borderId="0" xfId="0" applyAlignment="1">
      <alignment horizontal="center"/>
    </xf>
    <xf numFmtId="0" fontId="40" fillId="17" borderId="0" xfId="0" applyAlignment="1">
      <alignment horizontal="center"/>
    </xf>
    <xf numFmtId="0" fontId="40" fillId="19" borderId="0" xfId="0" applyAlignment="1">
      <alignment horizontal="center"/>
    </xf>
    <xf numFmtId="0" fontId="40" fillId="28" borderId="0" xfId="0" applyAlignment="1">
      <alignment horizontal="center"/>
    </xf>
    <xf numFmtId="0" fontId="40" fillId="16" borderId="0" xfId="0" applyAlignment="1">
      <alignment horizontal="center"/>
    </xf>
    <xf numFmtId="0" fontId="68" fillId="2" borderId="0" xfId="0" applyAlignment="1">
      <alignment/>
    </xf>
    <xf numFmtId="0" fontId="28" fillId="2" borderId="0" xfId="0" applyAlignment="1">
      <alignment/>
    </xf>
    <xf numFmtId="0" fontId="31" fillId="2" borderId="0" xfId="0" applyAlignment="1">
      <alignment/>
    </xf>
    <xf numFmtId="0" fontId="38" fillId="2" borderId="0" xfId="0" applyAlignment="1">
      <alignment/>
    </xf>
    <xf numFmtId="0" fontId="38" fillId="16" borderId="0" xfId="0" applyAlignment="1">
      <alignment/>
    </xf>
    <xf numFmtId="0" fontId="52" fillId="2" borderId="0" xfId="0" applyAlignment="1">
      <alignment/>
    </xf>
    <xf numFmtId="0" fontId="52" fillId="16" borderId="0" xfId="0" applyAlignment="1">
      <alignment/>
    </xf>
    <xf numFmtId="0" fontId="27" fillId="12" borderId="0" xfId="0" applyAlignment="1">
      <alignment/>
    </xf>
    <xf numFmtId="0" fontId="40" fillId="16" borderId="0" xfId="0" applyAlignment="1">
      <alignment/>
    </xf>
    <xf numFmtId="0" fontId="40" fillId="3" borderId="0" xfId="0" applyAlignment="1">
      <alignment/>
    </xf>
    <xf numFmtId="0" fontId="40" fillId="33" borderId="0" xfId="0" applyAlignment="1">
      <alignment/>
    </xf>
    <xf numFmtId="0" fontId="40" fillId="5" borderId="0" xfId="0" applyAlignment="1">
      <alignment/>
    </xf>
    <xf numFmtId="0" fontId="40" fillId="17" borderId="0" xfId="0" applyAlignment="1">
      <alignment/>
    </xf>
    <xf numFmtId="0" fontId="40" fillId="19" borderId="0" xfId="0" applyAlignment="1">
      <alignment/>
    </xf>
    <xf numFmtId="0" fontId="40" fillId="28" borderId="0" xfId="0" applyAlignment="1">
      <alignment/>
    </xf>
    <xf numFmtId="0" fontId="40" fillId="6" borderId="0" xfId="0" applyAlignment="1">
      <alignment/>
    </xf>
    <xf numFmtId="0" fontId="40" fillId="31" borderId="0" xfId="0" applyAlignment="1">
      <alignment/>
    </xf>
    <xf numFmtId="0" fontId="40" fillId="9" borderId="0" xfId="0" applyAlignment="1">
      <alignment/>
    </xf>
    <xf numFmtId="0" fontId="40" fillId="10" borderId="0" xfId="0" applyAlignment="1">
      <alignment/>
    </xf>
    <xf numFmtId="0" fontId="40" fillId="34" borderId="0" xfId="0" applyAlignment="1">
      <alignment/>
    </xf>
    <xf numFmtId="0" fontId="40" fillId="36" borderId="0" xfId="0" applyAlignment="1">
      <alignment/>
    </xf>
    <xf numFmtId="0" fontId="40" fillId="37" borderId="0" xfId="0" applyAlignment="1">
      <alignment/>
    </xf>
    <xf numFmtId="0" fontId="40" fillId="32" borderId="0" xfId="0" applyAlignment="1">
      <alignment/>
    </xf>
    <xf numFmtId="0" fontId="36" fillId="34" borderId="0" xfId="0" applyAlignment="1">
      <alignment/>
    </xf>
    <xf numFmtId="0" fontId="28" fillId="8" borderId="0" xfId="0" applyAlignment="1">
      <alignment/>
    </xf>
    <xf numFmtId="0" fontId="57" fillId="12" borderId="0" xfId="0" applyAlignment="1">
      <alignment/>
    </xf>
    <xf numFmtId="0" fontId="60" fillId="12" borderId="0" xfId="0" applyAlignment="1">
      <alignment/>
    </xf>
    <xf numFmtId="0" fontId="61" fillId="12" borderId="0" xfId="0" applyAlignment="1">
      <alignment/>
    </xf>
    <xf numFmtId="0" fontId="36" fillId="11" borderId="0" xfId="0" applyAlignment="1">
      <alignment/>
    </xf>
    <xf numFmtId="0" fontId="56" fillId="11" borderId="0" xfId="0" applyAlignment="1">
      <alignment/>
    </xf>
    <xf numFmtId="0" fontId="24" fillId="38" borderId="0" xfId="0" applyAlignment="1">
      <alignment/>
    </xf>
    <xf numFmtId="0" fontId="31" fillId="2" borderId="0" xfId="0" applyAlignment="1">
      <alignment horizontal="center"/>
    </xf>
    <xf numFmtId="0" fontId="85" fillId="2" borderId="0" xfId="0" applyAlignment="1">
      <alignment/>
    </xf>
    <xf numFmtId="0" fontId="53" fillId="12" borderId="0" xfId="0" applyAlignment="1">
      <alignment horizontal="left"/>
    </xf>
    <xf numFmtId="0" fontId="24" fillId="34" borderId="0" xfId="0" applyAlignment="1">
      <alignment/>
    </xf>
    <xf numFmtId="0" fontId="45" fillId="3" borderId="0" xfId="0" applyAlignment="1">
      <alignment/>
    </xf>
    <xf numFmtId="0" fontId="58" fillId="28" borderId="0" xfId="0" applyAlignment="1">
      <alignment/>
    </xf>
    <xf numFmtId="0" fontId="58" fillId="29" borderId="0" xfId="0" applyAlignment="1">
      <alignment/>
    </xf>
    <xf numFmtId="0" fontId="58" fillId="18" borderId="0" xfId="0" applyAlignment="1">
      <alignment/>
    </xf>
    <xf numFmtId="0" fontId="58" fillId="19" borderId="0" xfId="0" applyAlignment="1">
      <alignment/>
    </xf>
    <xf numFmtId="0" fontId="58" fillId="17" borderId="0" xfId="0" applyAlignment="1">
      <alignment/>
    </xf>
    <xf numFmtId="0" fontId="58" fillId="5" borderId="0" xfId="0" applyAlignment="1">
      <alignment/>
    </xf>
    <xf numFmtId="0" fontId="58" fillId="6" borderId="0" xfId="0" applyAlignment="1">
      <alignment/>
    </xf>
    <xf numFmtId="0" fontId="58" fillId="7" borderId="0" xfId="0" applyAlignment="1">
      <alignment/>
    </xf>
    <xf numFmtId="0" fontId="58" fillId="8" borderId="0" xfId="0" applyAlignment="1">
      <alignment/>
    </xf>
    <xf numFmtId="0" fontId="58" fillId="9" borderId="0" xfId="0" applyAlignment="1">
      <alignment/>
    </xf>
    <xf numFmtId="0" fontId="58" fillId="10" borderId="0" xfId="0" applyAlignment="1">
      <alignment/>
    </xf>
    <xf numFmtId="0" fontId="58" fillId="34" borderId="0" xfId="0" applyAlignment="1">
      <alignment/>
    </xf>
    <xf numFmtId="0" fontId="58" fillId="36" borderId="0" xfId="0" applyAlignment="1">
      <alignment/>
    </xf>
    <xf numFmtId="0" fontId="58" fillId="37" borderId="0" xfId="0" applyAlignment="1">
      <alignment/>
    </xf>
    <xf numFmtId="0" fontId="58" fillId="32" borderId="0" xfId="0" applyAlignment="1">
      <alignment/>
    </xf>
    <xf numFmtId="0" fontId="24" fillId="2" borderId="0" xfId="0" applyAlignment="1">
      <alignment horizontal="left"/>
    </xf>
    <xf numFmtId="0" fontId="58" fillId="2" borderId="0" xfId="0" applyAlignment="1">
      <alignment/>
    </xf>
    <xf numFmtId="0" fontId="36" fillId="2" borderId="0" xfId="0" applyAlignment="1">
      <alignment/>
    </xf>
    <xf numFmtId="0" fontId="31" fillId="11" borderId="0" xfId="0" applyAlignment="1">
      <alignment horizontal="center"/>
    </xf>
    <xf numFmtId="0" fontId="40" fillId="11" borderId="0" xfId="0" applyAlignment="1">
      <alignment horizontal="center"/>
    </xf>
    <xf numFmtId="0" fontId="86" fillId="11" borderId="0" xfId="0" applyAlignment="1">
      <alignment horizontal="center"/>
    </xf>
    <xf numFmtId="0" fontId="87" fillId="11" borderId="0" xfId="0" applyAlignment="1">
      <alignment horizontal="center"/>
    </xf>
    <xf numFmtId="0" fontId="88" fillId="16" borderId="0" xfId="0" applyAlignment="1">
      <alignment horizontal="center"/>
    </xf>
    <xf numFmtId="0" fontId="89" fillId="16" borderId="0" xfId="0" applyAlignment="1">
      <alignment horizontal="center"/>
    </xf>
    <xf numFmtId="0" fontId="90" fillId="16" borderId="0" xfId="0" applyAlignment="1">
      <alignment horizontal="center"/>
    </xf>
    <xf numFmtId="0" fontId="91" fillId="16" borderId="0" xfId="0" applyAlignment="1">
      <alignment horizontal="center"/>
    </xf>
    <xf numFmtId="0" fontId="78" fillId="16" borderId="0" xfId="0" applyAlignment="1">
      <alignment horizontal="center"/>
    </xf>
    <xf numFmtId="0" fontId="31" fillId="2" borderId="0" xfId="0" applyAlignment="1">
      <alignment horizontal="right"/>
    </xf>
    <xf numFmtId="0" fontId="45" fillId="2" borderId="0" xfId="0" applyAlignment="1">
      <alignment/>
    </xf>
    <xf numFmtId="0" fontId="47" fillId="2" borderId="0" xfId="0" applyAlignment="1">
      <alignment/>
    </xf>
    <xf numFmtId="0" fontId="39" fillId="2" borderId="0" xfId="0" applyAlignment="1">
      <alignment horizontal="center"/>
    </xf>
    <xf numFmtId="0" fontId="0" fillId="12" borderId="0" xfId="0" applyAlignment="1">
      <alignment horizontal="center"/>
    </xf>
    <xf numFmtId="0" fontId="36" fillId="2" borderId="0" xfId="0" applyAlignment="1">
      <alignment horizontal="center"/>
    </xf>
    <xf numFmtId="0" fontId="92" fillId="2" borderId="0" xfId="0" applyAlignment="1">
      <alignment horizontal="center"/>
    </xf>
    <xf numFmtId="0" fontId="93" fillId="2" borderId="0" xfId="0" applyAlignment="1">
      <alignment horizontal="center"/>
    </xf>
    <xf numFmtId="0" fontId="94" fillId="2" borderId="0" xfId="0" applyAlignment="1">
      <alignment horizontal="center"/>
    </xf>
    <xf numFmtId="0" fontId="95" fillId="2" borderId="0" xfId="0" applyAlignment="1">
      <alignment horizontal="center"/>
    </xf>
    <xf numFmtId="0" fontId="96" fillId="2" borderId="0" xfId="0" applyAlignment="1">
      <alignment horizontal="center"/>
    </xf>
    <xf numFmtId="0" fontId="97" fillId="2" borderId="0" xfId="0" applyAlignment="1">
      <alignment horizontal="center"/>
    </xf>
    <xf numFmtId="0" fontId="98" fillId="2" borderId="0" xfId="0" applyAlignment="1">
      <alignment horizontal="center"/>
    </xf>
    <xf numFmtId="0" fontId="99" fillId="2" borderId="0" xfId="0" applyAlignment="1">
      <alignment horizontal="center"/>
    </xf>
    <xf numFmtId="0" fontId="100" fillId="2" borderId="0" xfId="0" applyAlignment="1">
      <alignment horizontal="center"/>
    </xf>
    <xf numFmtId="0" fontId="100" fillId="12" borderId="0" xfId="0" applyAlignment="1">
      <alignment horizontal="center"/>
    </xf>
    <xf numFmtId="0" fontId="34" fillId="12" borderId="0" xfId="0" applyAlignment="1">
      <alignment horizontal="center"/>
    </xf>
    <xf numFmtId="0" fontId="4" fillId="12" borderId="0" xfId="0" applyAlignment="1">
      <alignment horizontal="center"/>
    </xf>
    <xf numFmtId="0" fontId="4" fillId="12" borderId="0" xfId="0" applyAlignment="1">
      <alignment horizontal="right"/>
    </xf>
    <xf numFmtId="0" fontId="0" fillId="12" borderId="0" xfId="0" applyAlignment="1">
      <alignment horizontal="right"/>
    </xf>
    <xf numFmtId="0" fontId="0" fillId="2" borderId="0" xfId="0" applyAlignment="1">
      <alignment horizontal="right"/>
    </xf>
    <xf numFmtId="0" fontId="0" fillId="38" borderId="0" xfId="0" applyAlignment="1">
      <alignment horizontal="right"/>
    </xf>
    <xf numFmtId="0" fontId="0" fillId="4" borderId="0" xfId="0" applyAlignment="1">
      <alignment horizontal="right"/>
    </xf>
    <xf numFmtId="0" fontId="31" fillId="2" borderId="0" xfId="0" applyAlignment="1">
      <alignment horizontal="right"/>
    </xf>
    <xf numFmtId="0" fontId="100" fillId="2" borderId="0" xfId="0" applyAlignment="1">
      <alignment horizontal="right"/>
    </xf>
    <xf numFmtId="0" fontId="101" fillId="2" borderId="0" xfId="0" applyAlignment="1">
      <alignment horizontal="right"/>
    </xf>
    <xf numFmtId="0" fontId="101" fillId="2" borderId="0" xfId="0" applyAlignment="1">
      <alignment horizontal="center"/>
    </xf>
    <xf numFmtId="0" fontId="102" fillId="2" borderId="0" xfId="0" applyAlignment="1">
      <alignment horizontal="center"/>
    </xf>
    <xf numFmtId="0" fontId="103" fillId="2" borderId="0" xfId="0" applyAlignment="1">
      <alignment horizontal="center"/>
    </xf>
    <xf numFmtId="0" fontId="104" fillId="2" borderId="0" xfId="0" applyAlignment="1">
      <alignment horizontal="center"/>
    </xf>
    <xf numFmtId="0" fontId="105" fillId="2" borderId="0" xfId="0" applyAlignment="1">
      <alignment horizontal="center"/>
    </xf>
    <xf numFmtId="3" fontId="40" fillId="2" borderId="0" xfId="23">
      <alignment/>
      <protection/>
    </xf>
    <xf numFmtId="3" fontId="40" fillId="38" borderId="0" xfId="23">
      <alignment/>
      <protection/>
    </xf>
    <xf numFmtId="3" fontId="40" fillId="12" borderId="0" xfId="23">
      <alignment/>
      <protection/>
    </xf>
    <xf numFmtId="3" fontId="42" fillId="12" borderId="0" xfId="23">
      <alignment/>
      <protection/>
    </xf>
    <xf numFmtId="3" fontId="41" fillId="12" borderId="0" xfId="23">
      <alignment/>
      <protection/>
    </xf>
    <xf numFmtId="3" fontId="46" fillId="12" borderId="0" xfId="23">
      <alignment/>
      <protection/>
    </xf>
    <xf numFmtId="3" fontId="45" fillId="12" borderId="0" xfId="23">
      <alignment/>
      <protection/>
    </xf>
    <xf numFmtId="3" fontId="39" fillId="12" borderId="0" xfId="23">
      <alignment/>
      <protection/>
    </xf>
    <xf numFmtId="3" fontId="38" fillId="12" borderId="0" xfId="23">
      <alignment/>
      <protection/>
    </xf>
    <xf numFmtId="3" fontId="69" fillId="12" borderId="0" xfId="23">
      <alignment/>
      <protection/>
    </xf>
    <xf numFmtId="3" fontId="106" fillId="12" borderId="0" xfId="23">
      <alignment/>
      <protection/>
    </xf>
    <xf numFmtId="3" fontId="51" fillId="12" borderId="0" xfId="23">
      <alignment/>
      <protection/>
    </xf>
    <xf numFmtId="3" fontId="33" fillId="12" borderId="0" xfId="23">
      <alignment/>
      <protection/>
    </xf>
    <xf numFmtId="3" fontId="47" fillId="12" borderId="0" xfId="23">
      <alignment/>
      <protection/>
    </xf>
    <xf numFmtId="3" fontId="40" fillId="11" borderId="0" xfId="23">
      <alignment/>
      <protection/>
    </xf>
    <xf numFmtId="0" fontId="105" fillId="12" borderId="0" xfId="0" applyAlignment="1">
      <alignment horizontal="center"/>
    </xf>
    <xf numFmtId="0" fontId="2" fillId="12" borderId="0" xfId="0" applyAlignment="1">
      <alignment horizontal="center"/>
    </xf>
    <xf numFmtId="0" fontId="107" fillId="12" borderId="0" xfId="0" applyAlignment="1">
      <alignment horizontal="center"/>
    </xf>
    <xf numFmtId="0" fontId="73" fillId="2" borderId="0" xfId="0" applyAlignment="1">
      <alignment/>
    </xf>
    <xf numFmtId="0" fontId="35" fillId="2" borderId="0" xfId="0" applyAlignment="1">
      <alignment horizontal="center"/>
    </xf>
    <xf numFmtId="0" fontId="27" fillId="2" borderId="0" xfId="0" applyAlignment="1">
      <alignment horizontal="center"/>
    </xf>
    <xf numFmtId="0" fontId="36" fillId="37" borderId="0" xfId="0" applyAlignment="1">
      <alignment horizontal="center"/>
    </xf>
    <xf numFmtId="0" fontId="36" fillId="36" borderId="0" xfId="0" applyAlignment="1">
      <alignment horizontal="center"/>
    </xf>
    <xf numFmtId="0" fontId="51" fillId="2" borderId="0" xfId="0" applyAlignment="1">
      <alignment/>
    </xf>
    <xf numFmtId="0" fontId="106" fillId="2" borderId="0" xfId="0" applyAlignment="1">
      <alignment/>
    </xf>
    <xf numFmtId="0" fontId="37" fillId="2" borderId="0" xfId="0" applyAlignment="1">
      <alignment/>
    </xf>
    <xf numFmtId="0" fontId="72" fillId="2" borderId="0" xfId="0" applyAlignment="1">
      <alignment/>
    </xf>
    <xf numFmtId="0" fontId="71" fillId="2" borderId="0" xfId="0" applyAlignment="1">
      <alignment/>
    </xf>
    <xf numFmtId="0" fontId="49" fillId="2" borderId="0" xfId="0" applyAlignment="1">
      <alignment/>
    </xf>
    <xf numFmtId="0" fontId="48" fillId="2" borderId="0" xfId="0" applyAlignment="1">
      <alignment/>
    </xf>
    <xf numFmtId="0" fontId="99" fillId="2" borderId="0" xfId="0" applyAlignment="1">
      <alignment/>
    </xf>
    <xf numFmtId="0" fontId="108" fillId="2" borderId="0" xfId="0" applyAlignment="1">
      <alignment/>
    </xf>
    <xf numFmtId="0" fontId="58" fillId="2" borderId="0" xfId="0" applyAlignment="1">
      <alignment/>
    </xf>
    <xf numFmtId="0" fontId="58" fillId="11" borderId="0" xfId="0" applyAlignment="1">
      <alignment/>
    </xf>
    <xf numFmtId="0" fontId="58" fillId="16" borderId="0" xfId="0" applyAlignment="1">
      <alignment/>
    </xf>
    <xf numFmtId="0" fontId="58" fillId="3" borderId="0" xfId="0" applyAlignment="1">
      <alignment/>
    </xf>
    <xf numFmtId="0" fontId="27" fillId="3" borderId="0" xfId="0" applyAlignment="1">
      <alignment/>
    </xf>
    <xf numFmtId="0" fontId="27" fillId="12" borderId="0" xfId="0" applyAlignment="1">
      <alignment/>
    </xf>
    <xf numFmtId="0" fontId="48" fillId="12" borderId="0" xfId="0" applyAlignment="1">
      <alignment/>
    </xf>
    <xf numFmtId="0" fontId="49" fillId="12" borderId="0" xfId="0" applyAlignment="1">
      <alignment/>
    </xf>
    <xf numFmtId="0" fontId="50" fillId="12" borderId="0" xfId="0" applyAlignment="1">
      <alignment/>
    </xf>
    <xf numFmtId="0" fontId="51" fillId="12" borderId="0" xfId="0" applyAlignment="1">
      <alignment/>
    </xf>
    <xf numFmtId="0" fontId="106" fillId="12" borderId="0" xfId="0" applyAlignment="1">
      <alignment/>
    </xf>
    <xf numFmtId="0" fontId="53" fillId="12" borderId="0" xfId="0" applyAlignment="1">
      <alignment/>
    </xf>
    <xf numFmtId="0" fontId="0" fillId="12" borderId="0" xfId="0" applyAlignment="1">
      <alignment/>
    </xf>
    <xf numFmtId="0" fontId="61" fillId="4" borderId="0" xfId="0" applyAlignment="1">
      <alignment/>
    </xf>
    <xf numFmtId="0" fontId="61" fillId="38" borderId="0" xfId="0" applyAlignment="1">
      <alignment/>
    </xf>
    <xf numFmtId="0" fontId="24" fillId="33" borderId="0" xfId="0" applyAlignment="1">
      <alignment/>
    </xf>
    <xf numFmtId="0" fontId="24" fillId="39" borderId="0" xfId="0" applyAlignment="1">
      <alignment/>
    </xf>
    <xf numFmtId="0" fontId="24" fillId="25" borderId="0" xfId="0" applyAlignment="1">
      <alignment/>
    </xf>
    <xf numFmtId="0" fontId="24" fillId="35" borderId="0" xfId="0" applyAlignment="1">
      <alignment/>
    </xf>
    <xf numFmtId="0" fontId="33" fillId="11" borderId="0" xfId="0" applyAlignment="1">
      <alignment/>
    </xf>
    <xf numFmtId="0" fontId="37" fillId="16" borderId="0" xfId="0" applyAlignment="1">
      <alignment/>
    </xf>
    <xf numFmtId="0" fontId="70" fillId="16" borderId="0" xfId="0" applyAlignment="1">
      <alignment/>
    </xf>
    <xf numFmtId="0" fontId="73" fillId="16" borderId="0" xfId="0" applyAlignment="1">
      <alignment/>
    </xf>
    <xf numFmtId="0" fontId="60" fillId="16" borderId="0" xfId="0" applyAlignment="1">
      <alignment/>
    </xf>
    <xf numFmtId="0" fontId="61" fillId="16" borderId="0" xfId="0" applyAlignment="1">
      <alignment/>
    </xf>
    <xf numFmtId="0" fontId="56" fillId="16" borderId="0" xfId="0" applyAlignment="1">
      <alignment/>
    </xf>
    <xf numFmtId="0" fontId="0" fillId="16" borderId="0" xfId="0" applyAlignment="1">
      <alignment/>
    </xf>
    <xf numFmtId="0" fontId="29" fillId="16" borderId="0" xfId="0" applyAlignment="1">
      <alignment/>
    </xf>
    <xf numFmtId="0" fontId="44" fillId="16" borderId="0" xfId="0" applyAlignment="1">
      <alignment/>
    </xf>
    <xf numFmtId="0" fontId="45" fillId="16" borderId="0" xfId="0" applyAlignment="1">
      <alignment/>
    </xf>
    <xf numFmtId="0" fontId="43" fillId="16" borderId="0" xfId="0" applyAlignment="1">
      <alignment/>
    </xf>
    <xf numFmtId="0" fontId="57" fillId="16" borderId="0" xfId="0" applyAlignment="1">
      <alignment/>
    </xf>
    <xf numFmtId="0" fontId="33" fillId="16" borderId="0" xfId="0" applyAlignment="1">
      <alignment/>
    </xf>
    <xf numFmtId="0" fontId="39" fillId="16" borderId="0" xfId="0" applyAlignment="1">
      <alignment/>
    </xf>
    <xf numFmtId="0" fontId="27" fillId="16" borderId="0" xfId="0" applyAlignment="1">
      <alignment/>
    </xf>
    <xf numFmtId="0" fontId="24" fillId="18" borderId="0" xfId="0" applyAlignment="1">
      <alignment/>
    </xf>
    <xf numFmtId="0" fontId="24" fillId="29" borderId="0" xfId="0" applyAlignment="1">
      <alignment/>
    </xf>
    <xf numFmtId="0" fontId="24" fillId="19" borderId="0" xfId="0" applyAlignment="1">
      <alignment/>
    </xf>
    <xf numFmtId="0" fontId="24" fillId="17" borderId="0" xfId="0" applyAlignment="1">
      <alignment/>
    </xf>
    <xf numFmtId="0" fontId="24" fillId="30" borderId="0" xfId="0" applyAlignment="1">
      <alignment/>
    </xf>
    <xf numFmtId="0" fontId="24" fillId="31" borderId="0" xfId="0" applyAlignment="1">
      <alignment/>
    </xf>
    <xf numFmtId="0" fontId="24" fillId="40" borderId="0" xfId="0" applyAlignment="1">
      <alignment/>
    </xf>
    <xf numFmtId="0" fontId="24" fillId="32" borderId="0" xfId="0" applyAlignment="1">
      <alignment/>
    </xf>
    <xf numFmtId="0" fontId="24" fillId="37" borderId="0" xfId="0" applyAlignment="1">
      <alignment/>
    </xf>
    <xf numFmtId="0" fontId="38" fillId="32" borderId="0" xfId="0" applyAlignment="1">
      <alignment/>
    </xf>
    <xf numFmtId="0" fontId="36" fillId="32" borderId="0" xfId="0" applyAlignment="1">
      <alignment/>
    </xf>
    <xf numFmtId="0" fontId="35" fillId="32" borderId="0" xfId="0" applyAlignment="1">
      <alignment/>
    </xf>
    <xf numFmtId="0" fontId="29" fillId="32" borderId="0" xfId="0" applyAlignment="1">
      <alignment/>
    </xf>
    <xf numFmtId="0" fontId="27" fillId="32" borderId="0" xfId="0" applyAlignment="1">
      <alignment/>
    </xf>
    <xf numFmtId="0" fontId="44" fillId="32" borderId="0" xfId="0" applyAlignment="1">
      <alignment/>
    </xf>
    <xf numFmtId="0" fontId="43" fillId="32" borderId="0" xfId="0" applyAlignment="1">
      <alignment/>
    </xf>
    <xf numFmtId="0" fontId="57" fillId="32" borderId="0" xfId="0" applyAlignment="1">
      <alignment/>
    </xf>
    <xf numFmtId="0" fontId="33" fillId="32" borderId="0" xfId="0" applyAlignment="1">
      <alignment/>
    </xf>
    <xf numFmtId="0" fontId="37" fillId="32" borderId="0" xfId="0" applyAlignment="1">
      <alignment/>
    </xf>
    <xf numFmtId="0" fontId="70" fillId="32" borderId="0" xfId="0" applyAlignment="1">
      <alignment/>
    </xf>
    <xf numFmtId="0" fontId="73" fillId="32" borderId="0" xfId="0" applyAlignment="1">
      <alignment/>
    </xf>
    <xf numFmtId="0" fontId="28" fillId="32" borderId="0" xfId="0" applyAlignment="1">
      <alignment/>
    </xf>
    <xf numFmtId="0" fontId="31" fillId="34" borderId="0" xfId="0" applyAlignment="1">
      <alignment/>
    </xf>
    <xf numFmtId="0" fontId="93" fillId="2" borderId="0" xfId="0" applyAlignment="1">
      <alignment/>
    </xf>
    <xf numFmtId="0" fontId="53" fillId="2" borderId="0" xfId="0" applyAlignment="1">
      <alignment/>
    </xf>
    <xf numFmtId="0" fontId="36" fillId="2" borderId="0" xfId="0" applyAlignment="1">
      <alignment/>
    </xf>
    <xf numFmtId="0" fontId="36" fillId="11" borderId="0" xfId="0" applyAlignment="1">
      <alignment/>
    </xf>
    <xf numFmtId="0" fontId="36" fillId="16" borderId="0" xfId="0" applyAlignment="1">
      <alignment/>
    </xf>
    <xf numFmtId="0" fontId="36" fillId="3" borderId="0" xfId="0" applyAlignment="1">
      <alignment/>
    </xf>
    <xf numFmtId="0" fontId="27" fillId="16" borderId="0" xfId="0" applyAlignment="1">
      <alignment horizontal="center"/>
    </xf>
    <xf numFmtId="0" fontId="29" fillId="28" borderId="0" xfId="0" applyAlignment="1">
      <alignment horizontal="center"/>
    </xf>
    <xf numFmtId="0" fontId="29" fillId="27" borderId="0" xfId="0" applyAlignment="1">
      <alignment horizontal="center"/>
    </xf>
    <xf numFmtId="0" fontId="29" fillId="26" borderId="0" xfId="0" applyAlignment="1">
      <alignment horizontal="center"/>
    </xf>
    <xf numFmtId="0" fontId="29" fillId="41" borderId="0" xfId="0" applyAlignment="1">
      <alignment horizontal="center"/>
    </xf>
    <xf numFmtId="0" fontId="29" fillId="42" borderId="0" xfId="0" applyAlignment="1">
      <alignment horizontal="center"/>
    </xf>
    <xf numFmtId="0" fontId="29" fillId="24" borderId="0" xfId="0" applyAlignment="1">
      <alignment horizontal="center"/>
    </xf>
    <xf numFmtId="0" fontId="29" fillId="37" borderId="0" xfId="0" applyAlignment="1">
      <alignment horizontal="center"/>
    </xf>
    <xf numFmtId="0" fontId="29" fillId="36" borderId="0" xfId="0" applyAlignment="1">
      <alignment horizontal="center"/>
    </xf>
    <xf numFmtId="0" fontId="28" fillId="36" borderId="0" xfId="0" applyAlignment="1">
      <alignment horizontal="center"/>
    </xf>
    <xf numFmtId="0" fontId="68" fillId="36" borderId="0" xfId="0" applyAlignment="1">
      <alignment horizontal="center"/>
    </xf>
    <xf numFmtId="0" fontId="109" fillId="36" borderId="0" xfId="0" applyAlignment="1">
      <alignment horizontal="center"/>
    </xf>
    <xf numFmtId="0" fontId="27" fillId="11" borderId="0" xfId="0" applyAlignment="1">
      <alignment/>
    </xf>
    <xf numFmtId="0" fontId="62" fillId="2" borderId="0" xfId="0" applyAlignment="1">
      <alignment horizontal="center"/>
    </xf>
    <xf numFmtId="0" fontId="0" fillId="2" borderId="0" xfId="0" applyAlignment="1">
      <alignment/>
    </xf>
    <xf numFmtId="0" fontId="58" fillId="2" borderId="0" xfId="0" applyAlignment="1">
      <alignment/>
    </xf>
    <xf numFmtId="0" fontId="24" fillId="2" borderId="0" xfId="0" applyAlignment="1">
      <alignment/>
    </xf>
    <xf numFmtId="0" fontId="49" fillId="2" borderId="0" xfId="0" applyAlignment="1">
      <alignment horizontal="center"/>
    </xf>
    <xf numFmtId="0" fontId="71" fillId="2" borderId="0" xfId="0" applyAlignment="1">
      <alignment horizontal="center"/>
    </xf>
    <xf numFmtId="0" fontId="69" fillId="2" borderId="0" xfId="0" applyAlignment="1">
      <alignment horizontal="center"/>
    </xf>
    <xf numFmtId="0" fontId="60" fillId="2" borderId="0" xfId="0" applyAlignment="1">
      <alignment horizontal="center"/>
    </xf>
    <xf numFmtId="0" fontId="59" fillId="2" borderId="0" xfId="0" applyAlignment="1">
      <alignment horizontal="center"/>
    </xf>
    <xf numFmtId="0" fontId="72" fillId="2" borderId="0" xfId="0" applyAlignment="1">
      <alignment horizontal="center"/>
    </xf>
    <xf numFmtId="0" fontId="110" fillId="2" borderId="0" xfId="0" applyAlignment="1">
      <alignment horizontal="center"/>
    </xf>
    <xf numFmtId="0" fontId="65" fillId="2" borderId="0" xfId="0" applyAlignment="1">
      <alignment horizontal="center"/>
    </xf>
    <xf numFmtId="0" fontId="62" fillId="28" borderId="0" xfId="0" applyAlignment="1">
      <alignment horizontal="center"/>
    </xf>
    <xf numFmtId="0" fontId="62" fillId="20" borderId="0" xfId="0" applyAlignment="1">
      <alignment horizontal="center"/>
    </xf>
    <xf numFmtId="0" fontId="62" fillId="30" borderId="0" xfId="0" applyAlignment="1">
      <alignment horizontal="center"/>
    </xf>
    <xf numFmtId="0" fontId="62" fillId="22" borderId="0" xfId="0" applyAlignment="1">
      <alignment horizontal="center"/>
    </xf>
    <xf numFmtId="0" fontId="62" fillId="35" borderId="0" xfId="0" applyAlignment="1">
      <alignment horizontal="center"/>
    </xf>
    <xf numFmtId="0" fontId="62" fillId="31" borderId="0" xfId="0" applyAlignment="1">
      <alignment horizontal="center"/>
    </xf>
    <xf numFmtId="0" fontId="62" fillId="40" borderId="0" xfId="0" applyAlignment="1">
      <alignment horizontal="center"/>
    </xf>
    <xf numFmtId="0" fontId="62" fillId="32" borderId="0" xfId="0" applyAlignment="1">
      <alignment horizontal="center"/>
    </xf>
    <xf numFmtId="0" fontId="62" fillId="34" borderId="0" xfId="0" applyAlignment="1">
      <alignment horizontal="center"/>
    </xf>
    <xf numFmtId="0" fontId="28" fillId="34" borderId="0" xfId="0" applyAlignment="1">
      <alignment horizontal="center"/>
    </xf>
    <xf numFmtId="0" fontId="29" fillId="11" borderId="0" xfId="0" applyAlignment="1">
      <alignment/>
    </xf>
    <xf numFmtId="0" fontId="43" fillId="11" borderId="0" xfId="0" applyAlignment="1">
      <alignment/>
    </xf>
    <xf numFmtId="0" fontId="57" fillId="11" borderId="0" xfId="0" applyAlignment="1">
      <alignment/>
    </xf>
    <xf numFmtId="0" fontId="31" fillId="11" borderId="0" xfId="0" applyAlignment="1">
      <alignment/>
    </xf>
    <xf numFmtId="0" fontId="58" fillId="11" borderId="0" xfId="0" applyAlignment="1">
      <alignment/>
    </xf>
    <xf numFmtId="0" fontId="35" fillId="11" borderId="0" xfId="0" applyAlignment="1">
      <alignment/>
    </xf>
    <xf numFmtId="0" fontId="39" fillId="43" borderId="0" xfId="0" applyAlignment="1">
      <alignment horizontal="center"/>
    </xf>
    <xf numFmtId="0" fontId="39" fillId="40" borderId="0" xfId="0" applyAlignment="1">
      <alignment horizontal="center"/>
    </xf>
    <xf numFmtId="0" fontId="39" fillId="39" borderId="0" xfId="0" applyAlignment="1">
      <alignment horizontal="center"/>
    </xf>
    <xf numFmtId="0" fontId="39" fillId="35" borderId="0" xfId="0" applyAlignment="1">
      <alignment horizontal="center"/>
    </xf>
    <xf numFmtId="0" fontId="39" fillId="22" borderId="0" xfId="0" applyAlignment="1">
      <alignment horizontal="center"/>
    </xf>
    <xf numFmtId="0" fontId="39" fillId="30" borderId="0" xfId="0" applyAlignment="1">
      <alignment horizontal="center"/>
    </xf>
    <xf numFmtId="0" fontId="39" fillId="20" borderId="0" xfId="0" applyAlignment="1">
      <alignment horizontal="center"/>
    </xf>
    <xf numFmtId="0" fontId="39" fillId="19" borderId="0" xfId="0" applyAlignment="1">
      <alignment horizontal="center"/>
    </xf>
    <xf numFmtId="0" fontId="39" fillId="29" borderId="0" xfId="0" applyAlignment="1">
      <alignment horizontal="center"/>
    </xf>
    <xf numFmtId="0" fontId="39" fillId="23" borderId="0" xfId="0" applyAlignment="1">
      <alignment horizontal="center"/>
    </xf>
    <xf numFmtId="0" fontId="39" fillId="25" borderId="0" xfId="0" applyAlignment="1">
      <alignment horizontal="center"/>
    </xf>
    <xf numFmtId="0" fontId="39" fillId="37" borderId="0" xfId="0" applyAlignment="1">
      <alignment horizontal="center"/>
    </xf>
    <xf numFmtId="0" fontId="39" fillId="32" borderId="0" xfId="0" applyAlignment="1">
      <alignment horizontal="center"/>
    </xf>
    <xf numFmtId="0" fontId="39" fillId="24" borderId="0" xfId="0" applyAlignment="1">
      <alignment horizontal="center"/>
    </xf>
    <xf numFmtId="0" fontId="39" fillId="42" borderId="0" xfId="0" applyAlignment="1">
      <alignment horizontal="center"/>
    </xf>
    <xf numFmtId="0" fontId="39" fillId="44" borderId="0" xfId="0" applyAlignment="1">
      <alignment horizontal="center"/>
    </xf>
    <xf numFmtId="0" fontId="39" fillId="45" borderId="0" xfId="0" applyAlignment="1">
      <alignment horizontal="center"/>
    </xf>
    <xf numFmtId="0" fontId="39" fillId="26" borderId="0" xfId="0" applyAlignment="1">
      <alignment horizontal="center"/>
    </xf>
    <xf numFmtId="0" fontId="39" fillId="27" borderId="0" xfId="0" applyAlignment="1">
      <alignment horizontal="center"/>
    </xf>
    <xf numFmtId="0" fontId="39" fillId="28" borderId="0" xfId="0" applyAlignment="1">
      <alignment horizontal="center"/>
    </xf>
    <xf numFmtId="0" fontId="39" fillId="18" borderId="0" xfId="0" applyAlignment="1">
      <alignment horizontal="center"/>
    </xf>
    <xf numFmtId="0" fontId="38" fillId="29" borderId="0" xfId="0" applyAlignment="1">
      <alignment horizontal="center"/>
    </xf>
    <xf numFmtId="0" fontId="37" fillId="29" borderId="0" xfId="0" applyAlignment="1">
      <alignment horizontal="center"/>
    </xf>
    <xf numFmtId="0" fontId="24" fillId="29" borderId="0" xfId="0" applyAlignment="1">
      <alignment horizontal="center"/>
    </xf>
    <xf numFmtId="0" fontId="73" fillId="29" borderId="0" xfId="0" applyAlignment="1">
      <alignment horizontal="center"/>
    </xf>
    <xf numFmtId="0" fontId="28" fillId="29" borderId="0" xfId="0" applyAlignment="1">
      <alignment horizontal="center"/>
    </xf>
    <xf numFmtId="0" fontId="60" fillId="29" borderId="0" xfId="0" applyAlignment="1">
      <alignment horizontal="center"/>
    </xf>
    <xf numFmtId="0" fontId="59" fillId="29" borderId="0" xfId="0" applyAlignment="1">
      <alignment horizontal="center"/>
    </xf>
    <xf numFmtId="0" fontId="35" fillId="29" borderId="0" xfId="0" applyAlignment="1">
      <alignment horizontal="center"/>
    </xf>
    <xf numFmtId="0" fontId="29" fillId="29" borderId="0" xfId="0" applyAlignment="1">
      <alignment horizontal="center"/>
    </xf>
    <xf numFmtId="0" fontId="27" fillId="29" borderId="0" xfId="0" applyAlignment="1">
      <alignment horizontal="center"/>
    </xf>
    <xf numFmtId="0" fontId="31" fillId="29" borderId="0" xfId="0" applyAlignment="1">
      <alignment horizontal="center"/>
    </xf>
    <xf numFmtId="0" fontId="58" fillId="29" borderId="0" xfId="0" applyAlignment="1">
      <alignment horizontal="center"/>
    </xf>
    <xf numFmtId="0" fontId="36" fillId="29" borderId="0" xfId="0" applyAlignment="1">
      <alignment horizontal="center"/>
    </xf>
    <xf numFmtId="0" fontId="62" fillId="29" borderId="0" xfId="0" applyAlignment="1">
      <alignment horizontal="center"/>
    </xf>
    <xf numFmtId="0" fontId="36" fillId="16" borderId="0" xfId="0" applyAlignment="1">
      <alignment horizontal="center"/>
    </xf>
    <xf numFmtId="0" fontId="36" fillId="3" borderId="0" xfId="0" applyAlignment="1">
      <alignment horizontal="center"/>
    </xf>
    <xf numFmtId="0" fontId="44" fillId="3" borderId="0" xfId="0" applyAlignment="1">
      <alignment horizontal="center"/>
    </xf>
    <xf numFmtId="0" fontId="45" fillId="3" borderId="0" xfId="0" applyAlignment="1">
      <alignment horizontal="center"/>
    </xf>
    <xf numFmtId="0" fontId="42" fillId="3" borderId="0" xfId="0" applyAlignment="1">
      <alignment horizontal="center"/>
    </xf>
    <xf numFmtId="0" fontId="43" fillId="3" borderId="0" xfId="0" applyAlignment="1">
      <alignment horizontal="center"/>
    </xf>
    <xf numFmtId="0" fontId="36" fillId="3" borderId="0" xfId="0" applyAlignment="1">
      <alignment/>
    </xf>
    <xf numFmtId="0" fontId="58" fillId="3" borderId="0" xfId="0" applyAlignment="1">
      <alignment/>
    </xf>
    <xf numFmtId="0" fontId="58" fillId="33" borderId="0" xfId="0" applyAlignment="1">
      <alignment/>
    </xf>
    <xf numFmtId="0" fontId="58" fillId="27" borderId="0" xfId="0" applyAlignment="1">
      <alignment/>
    </xf>
    <xf numFmtId="0" fontId="58" fillId="20" borderId="0" xfId="0" applyAlignment="1">
      <alignment/>
    </xf>
    <xf numFmtId="0" fontId="58" fillId="30" borderId="0" xfId="0" applyAlignment="1">
      <alignment/>
    </xf>
    <xf numFmtId="0" fontId="58" fillId="22" borderId="0" xfId="0" applyAlignment="1">
      <alignment/>
    </xf>
    <xf numFmtId="0" fontId="58" fillId="35" borderId="0" xfId="0" applyAlignment="1">
      <alignment/>
    </xf>
    <xf numFmtId="0" fontId="58" fillId="31" borderId="0" xfId="0" applyAlignment="1">
      <alignment/>
    </xf>
    <xf numFmtId="0" fontId="58" fillId="40" borderId="0" xfId="0" applyAlignment="1">
      <alignment/>
    </xf>
    <xf numFmtId="0" fontId="28" fillId="36" borderId="0" xfId="0" applyAlignment="1">
      <alignment horizontal="center"/>
    </xf>
    <xf numFmtId="0" fontId="28" fillId="2" borderId="0" xfId="0" applyAlignment="1">
      <alignment horizontal="center"/>
    </xf>
    <xf numFmtId="0" fontId="56" fillId="2" borderId="0" xfId="0" applyAlignment="1">
      <alignment horizontal="center"/>
    </xf>
    <xf numFmtId="0" fontId="44" fillId="2" borderId="0" xfId="0" applyAlignment="1">
      <alignment horizontal="center"/>
    </xf>
    <xf numFmtId="0" fontId="29" fillId="3" borderId="0" xfId="0" applyAlignment="1">
      <alignment/>
    </xf>
    <xf numFmtId="0" fontId="43" fillId="3" borderId="0" xfId="0" applyAlignment="1">
      <alignment/>
    </xf>
    <xf numFmtId="0" fontId="57" fillId="3" borderId="0" xfId="0" applyAlignment="1">
      <alignment/>
    </xf>
    <xf numFmtId="0" fontId="33" fillId="3" borderId="0" xfId="0" applyAlignment="1">
      <alignment/>
    </xf>
    <xf numFmtId="0" fontId="38" fillId="3" borderId="0" xfId="0" applyAlignment="1">
      <alignment/>
    </xf>
    <xf numFmtId="0" fontId="37" fillId="3" borderId="0" xfId="0" applyAlignment="1">
      <alignment/>
    </xf>
    <xf numFmtId="0" fontId="106" fillId="3" borderId="0" xfId="0" applyAlignment="1">
      <alignment/>
    </xf>
    <xf numFmtId="0" fontId="52" fillId="3" borderId="0" xfId="0" applyAlignment="1">
      <alignment/>
    </xf>
    <xf numFmtId="0" fontId="27" fillId="34" borderId="0" xfId="0" applyAlignment="1">
      <alignment/>
    </xf>
    <xf numFmtId="0" fontId="27" fillId="10" borderId="0" xfId="0" applyAlignment="1">
      <alignment/>
    </xf>
    <xf numFmtId="0" fontId="36" fillId="16" borderId="0" xfId="0" applyAlignment="1">
      <alignment/>
    </xf>
    <xf numFmtId="0" fontId="70" fillId="2" borderId="0" xfId="0" applyAlignment="1">
      <alignment/>
    </xf>
    <xf numFmtId="0" fontId="41" fillId="2" borderId="0" xfId="0" applyAlignment="1">
      <alignment/>
    </xf>
    <xf numFmtId="0" fontId="30" fillId="36" borderId="0" xfId="0" applyAlignment="1">
      <alignment horizontal="center"/>
    </xf>
    <xf numFmtId="0" fontId="111" fillId="2" borderId="0" xfId="0" applyAlignment="1">
      <alignment horizontal="center"/>
    </xf>
    <xf numFmtId="0" fontId="30" fillId="2" borderId="0" xfId="0" applyAlignment="1">
      <alignment/>
    </xf>
    <xf numFmtId="0" fontId="96" fillId="2" borderId="0" xfId="0" applyAlignment="1">
      <alignment/>
    </xf>
    <xf numFmtId="0" fontId="62" fillId="16" borderId="0" xfId="0" applyAlignment="1">
      <alignment/>
    </xf>
    <xf numFmtId="0" fontId="62" fillId="3" borderId="0" xfId="0" applyAlignment="1">
      <alignment/>
    </xf>
    <xf numFmtId="0" fontId="62" fillId="8" borderId="0" xfId="0" applyAlignment="1">
      <alignment/>
    </xf>
    <xf numFmtId="0" fontId="62" fillId="11" borderId="0" xfId="0" applyAlignment="1">
      <alignment/>
    </xf>
    <xf numFmtId="0" fontId="36" fillId="16" borderId="0" xfId="0" applyAlignment="1">
      <alignment/>
    </xf>
    <xf numFmtId="0" fontId="51" fillId="33" borderId="0" xfId="0" applyAlignment="1">
      <alignment/>
    </xf>
    <xf numFmtId="0" fontId="51" fillId="5" borderId="0" xfId="0" applyAlignment="1">
      <alignment/>
    </xf>
    <xf numFmtId="0" fontId="51" fillId="17" borderId="0" xfId="0" applyAlignment="1">
      <alignment/>
    </xf>
    <xf numFmtId="0" fontId="51" fillId="19" borderId="0" xfId="0" applyAlignment="1">
      <alignment/>
    </xf>
    <xf numFmtId="0" fontId="51" fillId="28" borderId="0" xfId="0" applyAlignment="1">
      <alignment/>
    </xf>
    <xf numFmtId="0" fontId="51" fillId="3" borderId="0" xfId="0" applyAlignment="1">
      <alignment/>
    </xf>
    <xf numFmtId="0" fontId="51" fillId="16" borderId="0" xfId="0" applyAlignment="1">
      <alignment/>
    </xf>
    <xf numFmtId="0" fontId="31" fillId="16" borderId="0" xfId="0" applyAlignment="1">
      <alignment/>
    </xf>
    <xf numFmtId="0" fontId="36" fillId="22" borderId="0" xfId="0" applyAlignment="1">
      <alignment/>
    </xf>
    <xf numFmtId="0" fontId="36" fillId="21" borderId="0" xfId="0" applyAlignment="1">
      <alignment/>
    </xf>
    <xf numFmtId="0" fontId="36" fillId="26" borderId="0" xfId="0" applyAlignment="1">
      <alignment/>
    </xf>
    <xf numFmtId="0" fontId="53" fillId="22" borderId="0" xfId="0" applyAlignment="1">
      <alignment/>
    </xf>
    <xf numFmtId="0" fontId="70" fillId="22" borderId="0" xfId="0" applyAlignment="1">
      <alignment/>
    </xf>
    <xf numFmtId="0" fontId="37" fillId="22" borderId="0" xfId="0" applyAlignment="1">
      <alignment/>
    </xf>
    <xf numFmtId="0" fontId="73" fillId="22" borderId="0" xfId="0" applyAlignment="1">
      <alignment/>
    </xf>
    <xf numFmtId="0" fontId="60" fillId="22" borderId="0" xfId="0" applyAlignment="1">
      <alignment/>
    </xf>
    <xf numFmtId="0" fontId="59" fillId="22" borderId="0" xfId="0" applyAlignment="1">
      <alignment/>
    </xf>
    <xf numFmtId="0" fontId="72" fillId="22" borderId="0" xfId="0" applyAlignment="1">
      <alignment/>
    </xf>
    <xf numFmtId="0" fontId="52" fillId="22" borderId="0" xfId="0" applyAlignment="1">
      <alignment/>
    </xf>
    <xf numFmtId="0" fontId="4" fillId="12" borderId="0" xfId="0" applyAlignment="1">
      <alignment/>
    </xf>
    <xf numFmtId="0" fontId="29" fillId="10" borderId="0" xfId="0" applyAlignment="1">
      <alignment/>
    </xf>
    <xf numFmtId="0" fontId="44" fillId="10" borderId="0" xfId="0" applyAlignment="1">
      <alignment/>
    </xf>
    <xf numFmtId="0" fontId="43" fillId="10" borderId="0" xfId="0" applyAlignment="1">
      <alignment/>
    </xf>
    <xf numFmtId="0" fontId="57" fillId="10" borderId="0" xfId="0" applyAlignment="1">
      <alignment/>
    </xf>
    <xf numFmtId="0" fontId="33" fillId="10" borderId="0" xfId="0" applyAlignment="1">
      <alignment/>
    </xf>
    <xf numFmtId="0" fontId="31" fillId="10" borderId="0" xfId="0" applyAlignment="1">
      <alignment/>
    </xf>
    <xf numFmtId="0" fontId="51" fillId="10" borderId="0" xfId="0" applyAlignment="1">
      <alignment/>
    </xf>
    <xf numFmtId="0" fontId="112" fillId="16" borderId="0" xfId="0" applyAlignment="1">
      <alignment horizontal="center"/>
    </xf>
    <xf numFmtId="0" fontId="24" fillId="44" borderId="0" xfId="0" applyAlignment="1">
      <alignment/>
    </xf>
    <xf numFmtId="0" fontId="4" fillId="12" borderId="0" xfId="0" applyAlignment="1">
      <alignment/>
    </xf>
    <xf numFmtId="0" fontId="29" fillId="2" borderId="0" xfId="0" applyAlignment="1">
      <alignment/>
    </xf>
    <xf numFmtId="0" fontId="40" fillId="16" borderId="0" xfId="0" applyAlignment="1">
      <alignment/>
    </xf>
    <xf numFmtId="0" fontId="7" fillId="12" borderId="0" xfId="0" applyAlignment="1">
      <alignment horizontal="center"/>
    </xf>
    <xf numFmtId="0" fontId="9" fillId="12" borderId="0" xfId="0" applyAlignment="1">
      <alignment horizontal="center"/>
    </xf>
    <xf numFmtId="0" fontId="10" fillId="12" borderId="0" xfId="0" applyAlignment="1">
      <alignment horizontal="center"/>
    </xf>
    <xf numFmtId="0" fontId="24" fillId="20" borderId="0" xfId="0" applyAlignment="1">
      <alignment/>
    </xf>
    <xf numFmtId="0" fontId="0" fillId="12" borderId="0" xfId="0" applyAlignment="1">
      <alignment horizontal="center"/>
    </xf>
    <xf numFmtId="0" fontId="29" fillId="2" borderId="0" xfId="0" applyAlignment="1">
      <alignment horizontal="center"/>
    </xf>
    <xf numFmtId="0" fontId="40" fillId="16" borderId="0" xfId="0" applyAlignment="1">
      <alignment horizontal="center"/>
    </xf>
    <xf numFmtId="0" fontId="106" fillId="12" borderId="0" xfId="0" applyAlignment="1">
      <alignment/>
    </xf>
    <xf numFmtId="0" fontId="70" fillId="17" borderId="0" xfId="0" applyAlignment="1">
      <alignment/>
    </xf>
    <xf numFmtId="0" fontId="71" fillId="5" borderId="0" xfId="0" applyAlignment="1">
      <alignment/>
    </xf>
    <xf numFmtId="0" fontId="0" fillId="32" borderId="0" xfId="0" applyAlignment="1">
      <alignment horizontal="center"/>
    </xf>
    <xf numFmtId="0" fontId="73" fillId="32" borderId="0" xfId="0" applyAlignment="1">
      <alignment horizontal="center"/>
    </xf>
    <xf numFmtId="0" fontId="24" fillId="32" borderId="0" xfId="0" applyAlignment="1">
      <alignment horizontal="center"/>
    </xf>
    <xf numFmtId="0" fontId="58" fillId="32" borderId="0" xfId="0" applyAlignment="1">
      <alignment horizontal="center"/>
    </xf>
    <xf numFmtId="0" fontId="33" fillId="32" borderId="0" xfId="0" applyAlignment="1">
      <alignment horizontal="center"/>
    </xf>
    <xf numFmtId="0" fontId="31" fillId="32" borderId="0" xfId="0" applyAlignment="1">
      <alignment horizontal="center"/>
    </xf>
    <xf numFmtId="0" fontId="29" fillId="32" borderId="0" xfId="0" applyAlignment="1">
      <alignment horizontal="center"/>
    </xf>
    <xf numFmtId="0" fontId="27" fillId="32" borderId="0" xfId="0" applyAlignment="1">
      <alignment horizontal="center"/>
    </xf>
    <xf numFmtId="0" fontId="35" fillId="32" borderId="0" xfId="0" applyAlignment="1">
      <alignment horizontal="center"/>
    </xf>
    <xf numFmtId="0" fontId="36" fillId="32" borderId="0" xfId="0" applyAlignment="1">
      <alignment horizontal="center"/>
    </xf>
    <xf numFmtId="0" fontId="28" fillId="32" borderId="0" xfId="0" applyAlignment="1">
      <alignment horizontal="center"/>
    </xf>
    <xf numFmtId="0" fontId="61" fillId="32" borderId="0" xfId="0" applyAlignment="1">
      <alignment horizontal="center"/>
    </xf>
    <xf numFmtId="0" fontId="60" fillId="32" borderId="0" xfId="0" applyAlignment="1">
      <alignment horizontal="center"/>
    </xf>
    <xf numFmtId="0" fontId="24" fillId="12" borderId="0" xfId="0" applyAlignment="1">
      <alignment horizontal="center"/>
    </xf>
    <xf numFmtId="0" fontId="56" fillId="12" borderId="0" xfId="0" applyAlignment="1">
      <alignment horizontal="center"/>
    </xf>
    <xf numFmtId="0" fontId="40" fillId="12" borderId="0" xfId="0" applyAlignment="1">
      <alignment horizontal="center"/>
    </xf>
    <xf numFmtId="0" fontId="28" fillId="10" borderId="0" xfId="0" applyAlignment="1">
      <alignment/>
    </xf>
    <xf numFmtId="0" fontId="110" fillId="2" borderId="0" xfId="0" applyAlignment="1">
      <alignment/>
    </xf>
    <xf numFmtId="0" fontId="38" fillId="2" borderId="0" xfId="0" applyAlignment="1">
      <alignment/>
    </xf>
    <xf numFmtId="0" fontId="27" fillId="33" borderId="0" xfId="0" applyAlignment="1">
      <alignment/>
    </xf>
    <xf numFmtId="0" fontId="27" fillId="5" borderId="0" xfId="0" applyAlignment="1">
      <alignment/>
    </xf>
    <xf numFmtId="0" fontId="27" fillId="17" borderId="0" xfId="0" applyAlignment="1">
      <alignment/>
    </xf>
    <xf numFmtId="0" fontId="27" fillId="19" borderId="0" xfId="0" applyAlignment="1">
      <alignment/>
    </xf>
    <xf numFmtId="0" fontId="27" fillId="28" borderId="0" xfId="0" applyAlignment="1">
      <alignment/>
    </xf>
    <xf numFmtId="0" fontId="24" fillId="28" borderId="0" xfId="0" applyAlignment="1">
      <alignment/>
    </xf>
    <xf numFmtId="0" fontId="27" fillId="27" borderId="0" xfId="0" applyAlignment="1">
      <alignment/>
    </xf>
    <xf numFmtId="0" fontId="24" fillId="27" borderId="0" xfId="0" applyAlignment="1">
      <alignment/>
    </xf>
    <xf numFmtId="0" fontId="27" fillId="20" borderId="0" xfId="0" applyAlignment="1">
      <alignment/>
    </xf>
    <xf numFmtId="0" fontId="27" fillId="21" borderId="0" xfId="0" applyAlignment="1">
      <alignment/>
    </xf>
    <xf numFmtId="0" fontId="24" fillId="21" borderId="0" xfId="0" applyAlignment="1">
      <alignment/>
    </xf>
    <xf numFmtId="0" fontId="27" fillId="22" borderId="0" xfId="0" applyAlignment="1">
      <alignment/>
    </xf>
    <xf numFmtId="0" fontId="24" fillId="22" borderId="0" xfId="0" applyAlignment="1">
      <alignment/>
    </xf>
    <xf numFmtId="0" fontId="27" fillId="23" borderId="0" xfId="0" applyAlignment="1">
      <alignment/>
    </xf>
    <xf numFmtId="0" fontId="24" fillId="23" borderId="0" xfId="0" applyAlignment="1">
      <alignment/>
    </xf>
    <xf numFmtId="0" fontId="27" fillId="39" borderId="0" xfId="0" applyAlignment="1">
      <alignment/>
    </xf>
    <xf numFmtId="0" fontId="27" fillId="40" borderId="0" xfId="0" applyAlignment="1">
      <alignment/>
    </xf>
    <xf numFmtId="0" fontId="27" fillId="43" borderId="0" xfId="0" applyAlignment="1">
      <alignment/>
    </xf>
    <xf numFmtId="0" fontId="24" fillId="43" borderId="0" xfId="0" applyAlignment="1">
      <alignment/>
    </xf>
    <xf numFmtId="0" fontId="27" fillId="37" borderId="0" xfId="0" applyAlignment="1">
      <alignment/>
    </xf>
    <xf numFmtId="0" fontId="27" fillId="36" borderId="0" xfId="0" applyAlignment="1">
      <alignment/>
    </xf>
    <xf numFmtId="0" fontId="24" fillId="36" borderId="0" xfId="0" applyAlignment="1">
      <alignment/>
    </xf>
    <xf numFmtId="0" fontId="28" fillId="3" borderId="0" xfId="0" applyAlignment="1">
      <alignment horizontal="center"/>
    </xf>
    <xf numFmtId="0" fontId="29" fillId="8" borderId="0" xfId="0" applyAlignment="1">
      <alignment/>
    </xf>
    <xf numFmtId="0" fontId="28" fillId="36" borderId="0" xfId="0" applyAlignment="1">
      <alignment/>
    </xf>
    <xf numFmtId="0" fontId="29" fillId="35" borderId="0" xfId="0" applyAlignment="1">
      <alignment/>
    </xf>
    <xf numFmtId="0" fontId="29" fillId="31" borderId="0" xfId="0" applyAlignment="1">
      <alignment/>
    </xf>
    <xf numFmtId="0" fontId="29" fillId="9" borderId="0" xfId="0" applyAlignment="1">
      <alignment/>
    </xf>
    <xf numFmtId="0" fontId="29" fillId="10" borderId="0" xfId="0" applyAlignment="1">
      <alignment horizontal="center"/>
    </xf>
    <xf numFmtId="0" fontId="44" fillId="2" borderId="0" xfId="0" applyAlignment="1">
      <alignment/>
    </xf>
    <xf numFmtId="0" fontId="43" fillId="2" borderId="0" xfId="0" applyAlignment="1">
      <alignment/>
    </xf>
    <xf numFmtId="0" fontId="44" fillId="3" borderId="0" xfId="0" applyAlignment="1">
      <alignment/>
    </xf>
    <xf numFmtId="0" fontId="53" fillId="2" borderId="0" xfId="0" applyAlignment="1">
      <alignment horizontal="left"/>
    </xf>
    <xf numFmtId="0" fontId="31" fillId="2" borderId="0" xfId="0" applyAlignment="1">
      <alignment horizontal="left"/>
    </xf>
    <xf numFmtId="0" fontId="38" fillId="16" borderId="0" xfId="0" applyAlignment="1">
      <alignment horizontal="center"/>
    </xf>
    <xf numFmtId="0" fontId="28" fillId="16" borderId="0" xfId="0" applyAlignment="1">
      <alignment/>
    </xf>
    <xf numFmtId="0" fontId="113" fillId="12" borderId="0" xfId="0" applyAlignment="1">
      <alignment/>
    </xf>
    <xf numFmtId="0" fontId="114" fillId="12" borderId="0" xfId="0" applyAlignment="1">
      <alignment/>
    </xf>
    <xf numFmtId="0" fontId="38" fillId="34" borderId="0" xfId="0" applyAlignment="1">
      <alignment horizontal="center"/>
    </xf>
    <xf numFmtId="0" fontId="29" fillId="34" borderId="0" xfId="0" applyAlignment="1">
      <alignment horizontal="center"/>
    </xf>
    <xf numFmtId="0" fontId="24" fillId="45" borderId="0" xfId="0" applyAlignment="1">
      <alignment/>
    </xf>
    <xf numFmtId="0" fontId="28" fillId="45" borderId="0" xfId="0" applyAlignment="1">
      <alignment/>
    </xf>
    <xf numFmtId="0" fontId="36" fillId="45" borderId="0" xfId="0" applyAlignment="1">
      <alignment/>
    </xf>
    <xf numFmtId="0" fontId="0" fillId="45" borderId="0" xfId="0" applyAlignment="1">
      <alignment/>
    </xf>
    <xf numFmtId="0" fontId="0" fillId="35" borderId="0" xfId="0" applyAlignment="1">
      <alignment/>
    </xf>
    <xf numFmtId="0" fontId="42" fillId="2" borderId="0" xfId="0" applyAlignment="1">
      <alignment/>
    </xf>
    <xf numFmtId="0" fontId="44" fillId="2" borderId="0" xfId="0" applyAlignment="1">
      <alignment/>
    </xf>
    <xf numFmtId="0" fontId="31" fillId="3" borderId="0" xfId="0" applyAlignment="1">
      <alignment/>
    </xf>
    <xf numFmtId="0" fontId="58" fillId="16" borderId="0" xfId="0" applyAlignment="1">
      <alignment/>
    </xf>
    <xf numFmtId="0" fontId="69" fillId="16" borderId="0" xfId="0" applyAlignment="1">
      <alignment/>
    </xf>
    <xf numFmtId="0" fontId="38" fillId="28" borderId="0" xfId="0" applyAlignment="1">
      <alignment/>
    </xf>
    <xf numFmtId="0" fontId="27" fillId="28" borderId="0" xfId="0" applyAlignment="1">
      <alignment/>
    </xf>
    <xf numFmtId="0" fontId="38" fillId="34" borderId="0" xfId="0" applyAlignment="1">
      <alignment/>
    </xf>
    <xf numFmtId="0" fontId="38" fillId="38" borderId="0" xfId="0" applyAlignment="1">
      <alignment/>
    </xf>
    <xf numFmtId="0" fontId="28" fillId="38" borderId="0" xfId="0" applyAlignment="1">
      <alignment/>
    </xf>
    <xf numFmtId="0" fontId="61" fillId="2" borderId="0" xfId="0" applyAlignment="1">
      <alignment/>
    </xf>
    <xf numFmtId="0" fontId="73" fillId="12" borderId="0" xfId="0" applyAlignment="1">
      <alignment/>
    </xf>
    <xf numFmtId="0" fontId="59" fillId="12" borderId="0" xfId="0" applyAlignment="1">
      <alignment/>
    </xf>
    <xf numFmtId="0" fontId="110" fillId="12" borderId="0" xfId="0" applyAlignment="1">
      <alignment/>
    </xf>
    <xf numFmtId="0" fontId="65" fillId="12" borderId="0" xfId="0" applyAlignment="1">
      <alignment/>
    </xf>
    <xf numFmtId="0" fontId="40" fillId="11" borderId="0" xfId="0" applyAlignment="1">
      <alignment horizontal="center"/>
    </xf>
    <xf numFmtId="0" fontId="40" fillId="11" borderId="0" xfId="0" applyAlignment="1">
      <alignment horizontal="right"/>
    </xf>
    <xf numFmtId="3" fontId="27" fillId="2" borderId="0" xfId="23">
      <alignment/>
      <protection/>
    </xf>
    <xf numFmtId="3" fontId="27" fillId="11" borderId="0" xfId="23">
      <alignment/>
      <protection/>
    </xf>
    <xf numFmtId="0" fontId="52" fillId="11" borderId="0" xfId="0" applyAlignment="1">
      <alignment/>
    </xf>
    <xf numFmtId="0" fontId="59" fillId="16" borderId="0" xfId="0" applyAlignment="1">
      <alignment/>
    </xf>
    <xf numFmtId="0" fontId="65" fillId="16" borderId="0" xfId="0" applyAlignment="1">
      <alignment/>
    </xf>
    <xf numFmtId="0" fontId="53" fillId="16" borderId="0" xfId="0" applyAlignment="1">
      <alignment/>
    </xf>
    <xf numFmtId="0" fontId="73" fillId="11" borderId="0" xfId="0" applyAlignment="1">
      <alignment/>
    </xf>
    <xf numFmtId="0" fontId="61" fillId="11" borderId="0" xfId="0" applyAlignment="1">
      <alignment/>
    </xf>
    <xf numFmtId="0" fontId="40" fillId="11" borderId="0" xfId="0" applyAlignment="1">
      <alignment/>
    </xf>
    <xf numFmtId="3" fontId="27" fillId="11" borderId="0" xfId="23">
      <alignment horizontal="center"/>
      <protection/>
    </xf>
    <xf numFmtId="0" fontId="31" fillId="26" borderId="0" xfId="0" applyAlignment="1">
      <alignment horizontal="center"/>
    </xf>
    <xf numFmtId="0" fontId="31" fillId="2" borderId="0" xfId="0" applyAlignment="1">
      <alignment horizontal="center"/>
    </xf>
    <xf numFmtId="0" fontId="27" fillId="2" borderId="0" xfId="0" applyAlignment="1">
      <alignment horizontal="center"/>
    </xf>
    <xf numFmtId="0" fontId="73" fillId="2" borderId="0" xfId="0" applyAlignment="1">
      <alignment/>
    </xf>
    <xf numFmtId="0" fontId="60" fillId="2" borderId="0" xfId="0" applyAlignment="1">
      <alignment/>
    </xf>
    <xf numFmtId="0" fontId="40" fillId="2" borderId="0" xfId="0" applyAlignment="1">
      <alignment/>
    </xf>
    <xf numFmtId="0" fontId="40" fillId="2" borderId="0" xfId="0" applyAlignment="1">
      <alignment/>
    </xf>
    <xf numFmtId="0" fontId="24" fillId="42" borderId="0" xfId="0" applyAlignment="1">
      <alignment/>
    </xf>
    <xf numFmtId="0" fontId="24" fillId="24" borderId="0" xfId="0" applyAlignment="1">
      <alignment/>
    </xf>
    <xf numFmtId="0" fontId="24" fillId="2" borderId="0" xfId="0" applyAlignment="1">
      <alignment/>
    </xf>
    <xf numFmtId="0" fontId="61" fillId="12" borderId="0" xfId="0" applyAlignment="1">
      <alignment/>
    </xf>
    <xf numFmtId="0" fontId="70" fillId="12" borderId="0" xfId="0" applyAlignment="1">
      <alignment/>
    </xf>
    <xf numFmtId="0" fontId="51" fillId="12" borderId="0" xfId="0" applyAlignment="1">
      <alignment/>
    </xf>
    <xf numFmtId="0" fontId="48" fillId="12" borderId="0" xfId="0" applyAlignment="1">
      <alignment/>
    </xf>
    <xf numFmtId="0" fontId="0" fillId="12" borderId="0" xfId="0" applyAlignment="1">
      <alignment/>
    </xf>
    <xf numFmtId="0" fontId="56" fillId="12" borderId="0" xfId="0" applyAlignment="1">
      <alignment/>
    </xf>
    <xf numFmtId="0" fontId="40" fillId="2" borderId="0" xfId="0" applyAlignment="1">
      <alignment/>
    </xf>
    <xf numFmtId="0" fontId="0" fillId="12" borderId="0" xfId="0" applyAlignment="1">
      <alignment horizontal="left"/>
    </xf>
    <xf numFmtId="0" fontId="24" fillId="26" borderId="0" xfId="0" applyAlignment="1">
      <alignment/>
    </xf>
    <xf numFmtId="0" fontId="70" fillId="26" borderId="0" xfId="0" applyAlignment="1">
      <alignment/>
    </xf>
    <xf numFmtId="0" fontId="115" fillId="46" borderId="0" xfId="0" applyAlignment="1">
      <alignment horizontal="left"/>
    </xf>
    <xf numFmtId="0" fontId="32" fillId="2" borderId="0" xfId="0" applyAlignment="1">
      <alignment/>
    </xf>
    <xf numFmtId="0" fontId="0" fillId="38" borderId="0" xfId="0" applyAlignment="1">
      <alignment/>
    </xf>
    <xf numFmtId="0" fontId="0" fillId="38" borderId="0" xfId="0" applyAlignment="1">
      <alignment horizontal="center"/>
    </xf>
    <xf numFmtId="0" fontId="56" fillId="2" borderId="0" xfId="0" applyAlignment="1">
      <alignment/>
    </xf>
    <xf numFmtId="3" fontId="40" fillId="11" borderId="0" xfId="23">
      <alignment horizontal="center"/>
      <protection/>
    </xf>
    <xf numFmtId="0" fontId="58" fillId="2" borderId="0" xfId="0" applyAlignment="1">
      <alignment/>
    </xf>
    <xf numFmtId="0" fontId="27" fillId="2" borderId="0" xfId="0" applyAlignment="1">
      <alignment/>
    </xf>
    <xf numFmtId="0" fontId="41" fillId="16" borderId="0" xfId="0" applyAlignment="1">
      <alignment/>
    </xf>
    <xf numFmtId="0" fontId="41" fillId="16" borderId="0" xfId="0" applyAlignment="1">
      <alignment horizontal="center"/>
    </xf>
    <xf numFmtId="3" fontId="24" fillId="2" borderId="0" xfId="23">
      <alignment horizontal="center"/>
      <protection/>
    </xf>
    <xf numFmtId="3" fontId="28" fillId="2" borderId="0" xfId="23">
      <alignment horizontal="center"/>
      <protection/>
    </xf>
    <xf numFmtId="0" fontId="28" fillId="10" borderId="0" xfId="0" applyAlignment="1">
      <alignment horizontal="center"/>
    </xf>
    <xf numFmtId="0" fontId="28" fillId="2" borderId="0" xfId="0" applyAlignment="1">
      <alignment horizontal="center" vertical="top"/>
    </xf>
    <xf numFmtId="0" fontId="44" fillId="2" borderId="0" xfId="0" applyAlignment="1">
      <alignment vertical="center"/>
    </xf>
    <xf numFmtId="3" fontId="87" fillId="11" borderId="0" xfId="23">
      <alignment horizontal="center"/>
      <protection/>
    </xf>
    <xf numFmtId="3" fontId="87" fillId="11" borderId="0" xfId="23">
      <alignment horizontal="center"/>
      <protection/>
    </xf>
    <xf numFmtId="0" fontId="24" fillId="41" borderId="0" xfId="0" applyAlignment="1">
      <alignment/>
    </xf>
    <xf numFmtId="0" fontId="28" fillId="29" borderId="0" xfId="0" applyAlignment="1">
      <alignment/>
    </xf>
    <xf numFmtId="0" fontId="28" fillId="34" borderId="0" xfId="0" applyAlignment="1">
      <alignment/>
    </xf>
    <xf numFmtId="0" fontId="70" fillId="2" borderId="0" xfId="0" applyAlignment="1">
      <alignment/>
    </xf>
    <xf numFmtId="0" fontId="51" fillId="2" borderId="0" xfId="0" applyAlignment="1">
      <alignment/>
    </xf>
    <xf numFmtId="0" fontId="50" fillId="2" borderId="0" xfId="0" applyAlignment="1">
      <alignment/>
    </xf>
    <xf numFmtId="0" fontId="49" fillId="2" borderId="0" xfId="0" applyAlignment="1">
      <alignment/>
    </xf>
    <xf numFmtId="0" fontId="110" fillId="29" borderId="0" xfId="0" applyAlignment="1">
      <alignment/>
    </xf>
    <xf numFmtId="0" fontId="61" fillId="2" borderId="0" xfId="0" applyAlignment="1">
      <alignment/>
    </xf>
    <xf numFmtId="0" fontId="69" fillId="2" borderId="0" xfId="0" applyAlignment="1">
      <alignment/>
    </xf>
    <xf numFmtId="0" fontId="56" fillId="3" borderId="0" xfId="0" applyAlignment="1">
      <alignment/>
    </xf>
    <xf numFmtId="0" fontId="36" fillId="29" borderId="0" xfId="0" applyAlignment="1">
      <alignment/>
    </xf>
    <xf numFmtId="0" fontId="36" fillId="36" borderId="0" xfId="0" applyAlignment="1">
      <alignment/>
    </xf>
    <xf numFmtId="0" fontId="30" fillId="11" borderId="0" xfId="0" applyAlignment="1">
      <alignment/>
    </xf>
    <xf numFmtId="3" fontId="26" fillId="15" borderId="0" xfId="0" applyAlignment="1">
      <alignment/>
    </xf>
    <xf numFmtId="3" fontId="24" fillId="15" borderId="0" xfId="0" applyAlignment="1">
      <alignment/>
    </xf>
    <xf numFmtId="0" fontId="28" fillId="10" borderId="0" xfId="0" applyAlignment="1">
      <alignment/>
    </xf>
    <xf numFmtId="0" fontId="58" fillId="34" borderId="0" xfId="0" applyAlignment="1">
      <alignment/>
    </xf>
    <xf numFmtId="0" fontId="24" fillId="2" borderId="0" xfId="0" applyAlignment="1">
      <alignment/>
    </xf>
    <xf numFmtId="0" fontId="0" fillId="12" borderId="0" xfId="0" applyAlignment="1">
      <alignment/>
    </xf>
    <xf numFmtId="0" fontId="49" fillId="12" borderId="0" xfId="0" applyAlignment="1">
      <alignment/>
    </xf>
    <xf numFmtId="0" fontId="53" fillId="12" borderId="0" xfId="0" applyAlignment="1">
      <alignment/>
    </xf>
    <xf numFmtId="0" fontId="70" fillId="12" borderId="0" xfId="0" applyAlignment="1">
      <alignment/>
    </xf>
    <xf numFmtId="3" fontId="28" fillId="11" borderId="0" xfId="23">
      <alignment horizontal="center"/>
      <protection/>
    </xf>
    <xf numFmtId="3" fontId="31" fillId="11" borderId="0" xfId="23">
      <alignment horizontal="center"/>
      <protection/>
    </xf>
    <xf numFmtId="0" fontId="28" fillId="2" borderId="0" xfId="0" applyAlignment="1">
      <alignment/>
    </xf>
    <xf numFmtId="0" fontId="40" fillId="11" borderId="0" xfId="23">
      <alignment/>
      <protection/>
    </xf>
    <xf numFmtId="0" fontId="28" fillId="2" borderId="0" xfId="0" applyAlignment="1">
      <alignment/>
    </xf>
    <xf numFmtId="0" fontId="28" fillId="11" borderId="0" xfId="23">
      <alignment/>
      <protection/>
    </xf>
    <xf numFmtId="0" fontId="31" fillId="2" borderId="0" xfId="0" applyAlignment="1">
      <alignment/>
    </xf>
    <xf numFmtId="0" fontId="40" fillId="2" borderId="0" xfId="0" applyAlignment="1">
      <alignment/>
    </xf>
    <xf numFmtId="0" fontId="58" fillId="2" borderId="0" xfId="0" applyAlignment="1">
      <alignment/>
    </xf>
    <xf numFmtId="0" fontId="40" fillId="2" borderId="0" xfId="0" applyAlignment="1">
      <alignment horizontal="center"/>
    </xf>
    <xf numFmtId="3" fontId="40" fillId="11" borderId="0" xfId="23">
      <alignment horizontal="center"/>
      <protection/>
    </xf>
    <xf numFmtId="0" fontId="31" fillId="2" borderId="0" xfId="0" applyAlignment="1">
      <alignment/>
    </xf>
    <xf numFmtId="0" fontId="116" fillId="2" borderId="0" xfId="0" applyAlignment="1">
      <alignment/>
    </xf>
    <xf numFmtId="0" fontId="92" fillId="2" borderId="0" xfId="0" applyAlignment="1">
      <alignment/>
    </xf>
    <xf numFmtId="0" fontId="102" fillId="2" borderId="0" xfId="0" applyAlignment="1">
      <alignment/>
    </xf>
    <xf numFmtId="0" fontId="28" fillId="2" borderId="0" xfId="0" applyAlignment="1">
      <alignment horizontal="center"/>
    </xf>
    <xf numFmtId="0" fontId="28" fillId="2" borderId="0" xfId="0" applyAlignment="1">
      <alignment horizontal="center" vertical="center"/>
    </xf>
    <xf numFmtId="0" fontId="31" fillId="16" borderId="0" xfId="0" applyAlignment="1">
      <alignment/>
    </xf>
    <xf numFmtId="0" fontId="31" fillId="2" borderId="0" xfId="0" applyAlignment="1">
      <alignment/>
    </xf>
    <xf numFmtId="3" fontId="28" fillId="2" borderId="0" xfId="23">
      <alignment vertical="center"/>
      <protection/>
    </xf>
    <xf numFmtId="0" fontId="58" fillId="2" borderId="0" xfId="0" applyAlignment="1">
      <alignment horizontal="center" vertical="center"/>
    </xf>
    <xf numFmtId="0" fontId="57" fillId="2" borderId="0" xfId="0" applyAlignment="1">
      <alignment horizontal="center" vertical="center"/>
    </xf>
    <xf numFmtId="0" fontId="31" fillId="2" borderId="0" xfId="0" applyAlignment="1">
      <alignment horizontal="center" vertical="center"/>
    </xf>
    <xf numFmtId="0" fontId="28" fillId="2" borderId="0" xfId="0" applyAlignment="1">
      <alignment horizontal="center" vertical="center"/>
    </xf>
    <xf numFmtId="0" fontId="31" fillId="16" borderId="0" xfId="0" applyAlignment="1">
      <alignment vertical="center"/>
    </xf>
    <xf numFmtId="0" fontId="31" fillId="2" borderId="0" xfId="0" applyAlignment="1">
      <alignment vertical="center"/>
    </xf>
    <xf numFmtId="0" fontId="29" fillId="2" borderId="0" xfId="0" applyAlignment="1">
      <alignment horizontal="center" vertical="center"/>
    </xf>
    <xf numFmtId="0" fontId="31" fillId="3" borderId="0" xfId="0" applyAlignment="1">
      <alignment vertical="center"/>
    </xf>
    <xf numFmtId="0" fontId="63" fillId="13" borderId="0" xfId="0" applyAlignment="1">
      <alignment horizontal="left"/>
    </xf>
    <xf numFmtId="0" fontId="93" fillId="2" borderId="0" xfId="0" applyAlignment="1">
      <alignment/>
    </xf>
    <xf numFmtId="0" fontId="27" fillId="2" borderId="0" xfId="0" applyAlignment="1">
      <alignment/>
    </xf>
    <xf numFmtId="3" fontId="26" fillId="15" borderId="0" xfId="0" applyAlignment="1">
      <alignment/>
    </xf>
    <xf numFmtId="0" fontId="28" fillId="11" borderId="0" xfId="0" applyAlignment="1">
      <alignment/>
    </xf>
    <xf numFmtId="0" fontId="36" fillId="2" borderId="0" xfId="0" applyAlignment="1">
      <alignment/>
    </xf>
    <xf numFmtId="0" fontId="31" fillId="2" borderId="0" xfId="0" applyAlignment="1">
      <alignment/>
    </xf>
    <xf numFmtId="0" fontId="24" fillId="2" borderId="0" xfId="0" applyAlignment="1">
      <alignment/>
    </xf>
    <xf numFmtId="0" fontId="29" fillId="2" borderId="0" xfId="0" applyAlignment="1">
      <alignment/>
    </xf>
    <xf numFmtId="3" fontId="24" fillId="15" borderId="0" xfId="0" applyAlignment="1">
      <alignment/>
    </xf>
    <xf numFmtId="0" fontId="28" fillId="10" borderId="0" xfId="0" applyAlignment="1">
      <alignment/>
    </xf>
    <xf numFmtId="0" fontId="28" fillId="2" borderId="0" xfId="23">
      <alignment vertical="center"/>
      <protection/>
    </xf>
    <xf numFmtId="0" fontId="111" fillId="16" borderId="0" xfId="0" applyAlignment="1">
      <alignment horizontal="center"/>
    </xf>
    <xf numFmtId="0" fontId="38" fillId="29" borderId="0" xfId="0" applyAlignment="1">
      <alignment/>
    </xf>
    <xf numFmtId="0" fontId="73" fillId="29" borderId="0" xfId="0" applyAlignment="1">
      <alignment/>
    </xf>
    <xf numFmtId="0" fontId="24" fillId="2" borderId="0" xfId="0" applyAlignment="1">
      <alignment horizontal="center" vertical="center"/>
    </xf>
    <xf numFmtId="0" fontId="24" fillId="32" borderId="0" xfId="0" applyAlignment="1">
      <alignment horizontal="center" vertical="center"/>
    </xf>
    <xf numFmtId="0" fontId="24" fillId="34" borderId="0" xfId="0" applyAlignment="1">
      <alignment horizontal="center" vertical="center"/>
    </xf>
    <xf numFmtId="0" fontId="61" fillId="34" borderId="0" xfId="0" applyAlignment="1">
      <alignment horizontal="center" vertical="center"/>
    </xf>
    <xf numFmtId="0" fontId="28" fillId="34" borderId="0" xfId="0" applyAlignment="1">
      <alignment horizontal="center" vertical="center"/>
    </xf>
    <xf numFmtId="0" fontId="111" fillId="16" borderId="0" xfId="0" applyAlignment="1">
      <alignment horizontal="center" vertical="center"/>
    </xf>
    <xf numFmtId="0" fontId="53" fillId="28" borderId="0" xfId="0" applyAlignment="1">
      <alignment/>
    </xf>
    <xf numFmtId="0" fontId="53" fillId="19" borderId="0" xfId="0" applyAlignment="1">
      <alignment/>
    </xf>
    <xf numFmtId="0" fontId="53" fillId="17" borderId="0" xfId="0" applyAlignment="1">
      <alignment/>
    </xf>
    <xf numFmtId="0" fontId="40" fillId="16" borderId="0" xfId="0" applyAlignment="1">
      <alignment vertical="center"/>
    </xf>
    <xf numFmtId="0" fontId="24" fillId="2" borderId="0" xfId="0" applyAlignment="1">
      <alignment vertical="center"/>
    </xf>
    <xf numFmtId="0" fontId="56" fillId="16" borderId="0" xfId="0" applyAlignment="1">
      <alignment vertical="center"/>
    </xf>
    <xf numFmtId="0" fontId="35" fillId="16" borderId="0" xfId="0" applyAlignment="1">
      <alignment vertical="center"/>
    </xf>
    <xf numFmtId="0" fontId="36" fillId="16" borderId="0" xfId="0" applyAlignment="1">
      <alignment vertical="center"/>
    </xf>
    <xf numFmtId="0" fontId="28" fillId="28" borderId="0" xfId="0" applyAlignment="1">
      <alignment/>
    </xf>
    <xf numFmtId="0" fontId="117" fillId="2" borderId="0" xfId="0" applyAlignment="1">
      <alignment/>
    </xf>
    <xf numFmtId="0" fontId="118" fillId="2" borderId="0" xfId="0" applyAlignment="1">
      <alignment/>
    </xf>
    <xf numFmtId="0" fontId="119" fillId="2" borderId="0" xfId="0" applyAlignment="1">
      <alignment/>
    </xf>
    <xf numFmtId="0" fontId="36" fillId="2" borderId="0" xfId="0" applyAlignment="1">
      <alignment horizontal="center" vertical="center"/>
    </xf>
    <xf numFmtId="0" fontId="28" fillId="31" borderId="0" xfId="0" applyAlignment="1">
      <alignment horizontal="center" vertical="center"/>
    </xf>
    <xf numFmtId="0" fontId="28" fillId="7" borderId="0" xfId="0" applyAlignment="1">
      <alignment horizontal="center" vertical="center"/>
    </xf>
    <xf numFmtId="0" fontId="28" fillId="8" borderId="0" xfId="0" applyAlignment="1">
      <alignment horizontal="center" vertical="center"/>
    </xf>
    <xf numFmtId="0" fontId="28" fillId="3" borderId="0" xfId="0" applyAlignment="1">
      <alignment horizontal="center" vertical="center"/>
    </xf>
    <xf numFmtId="0" fontId="28" fillId="11" borderId="0" xfId="0" applyAlignment="1">
      <alignment horizontal="center" vertical="center"/>
    </xf>
    <xf numFmtId="0" fontId="28" fillId="10" borderId="0" xfId="0" applyAlignment="1">
      <alignment horizontal="center" vertical="center"/>
    </xf>
    <xf numFmtId="0" fontId="28" fillId="36" borderId="0" xfId="0" applyAlignment="1">
      <alignment horizontal="center" vertical="center"/>
    </xf>
    <xf numFmtId="0" fontId="28" fillId="47" borderId="0" xfId="0" applyAlignment="1">
      <alignment horizontal="center" vertical="center"/>
    </xf>
    <xf numFmtId="3" fontId="31" fillId="2" borderId="0" xfId="23">
      <alignment/>
      <protection/>
    </xf>
    <xf numFmtId="3" fontId="56" fillId="2" borderId="0" xfId="23">
      <alignment/>
      <protection/>
    </xf>
    <xf numFmtId="0" fontId="29" fillId="2" borderId="0" xfId="0" applyAlignment="1">
      <alignment horizontal="left"/>
    </xf>
    <xf numFmtId="0" fontId="29" fillId="2" borderId="0" xfId="0" applyAlignment="1">
      <alignment wrapText="1"/>
    </xf>
    <xf numFmtId="0" fontId="29" fillId="2" borderId="0" xfId="0" applyAlignment="1">
      <alignment horizontal="left" wrapText="1"/>
    </xf>
    <xf numFmtId="0" fontId="24" fillId="2" borderId="0" xfId="0" applyAlignment="1">
      <alignment wrapText="1"/>
    </xf>
    <xf numFmtId="0" fontId="24" fillId="2" borderId="0" xfId="0" applyAlignment="1">
      <alignment horizontal="center" wrapText="1"/>
    </xf>
    <xf numFmtId="0" fontId="28" fillId="2" borderId="0" xfId="0" applyAlignment="1">
      <alignment wrapText="1"/>
    </xf>
    <xf numFmtId="0" fontId="28" fillId="2" borderId="0" xfId="0" applyAlignment="1">
      <alignment horizontal="center" wrapText="1"/>
    </xf>
    <xf numFmtId="0" fontId="28" fillId="2" borderId="0" xfId="0" applyAlignment="1">
      <alignment horizontal="center"/>
    </xf>
    <xf numFmtId="3" fontId="61" fillId="2" borderId="0" xfId="23">
      <alignment vertical="center"/>
      <protection/>
    </xf>
    <xf numFmtId="3" fontId="61" fillId="2" borderId="0" xfId="23">
      <alignment horizontal="left" vertical="center"/>
      <protection/>
    </xf>
    <xf numFmtId="0" fontId="24" fillId="2" borderId="0" xfId="0" applyAlignment="1">
      <alignment vertical="center"/>
    </xf>
    <xf numFmtId="0" fontId="61" fillId="2" borderId="0" xfId="0" applyAlignment="1">
      <alignment vertical="center"/>
    </xf>
    <xf numFmtId="0" fontId="60" fillId="2" borderId="0" xfId="0" applyAlignment="1">
      <alignment vertical="center"/>
    </xf>
    <xf numFmtId="0" fontId="36" fillId="2" borderId="0" xfId="0" applyAlignment="1">
      <alignment vertical="center"/>
    </xf>
    <xf numFmtId="0" fontId="73" fillId="2" borderId="0" xfId="0" applyAlignment="1">
      <alignment vertical="center"/>
    </xf>
    <xf numFmtId="0" fontId="58" fillId="2" borderId="0" xfId="0" applyAlignment="1">
      <alignment vertical="center"/>
    </xf>
    <xf numFmtId="0" fontId="28" fillId="2" borderId="0" xfId="0" applyAlignment="1">
      <alignment vertical="center"/>
    </xf>
    <xf numFmtId="0" fontId="28" fillId="2" borderId="0" xfId="0" applyAlignment="1">
      <alignment vertical="center"/>
    </xf>
    <xf numFmtId="0" fontId="56" fillId="2" borderId="0" xfId="0" applyAlignment="1">
      <alignment vertical="center"/>
    </xf>
    <xf numFmtId="3" fontId="68" fillId="2" borderId="0" xfId="23">
      <alignment horizontal="center"/>
      <protection/>
    </xf>
    <xf numFmtId="0" fontId="120" fillId="2" borderId="0" xfId="0" applyAlignment="1">
      <alignment/>
    </xf>
    <xf numFmtId="0" fontId="78" fillId="2" borderId="0" xfId="0" applyAlignment="1">
      <alignment/>
    </xf>
    <xf numFmtId="0" fontId="80" fillId="2" borderId="0" xfId="0" applyAlignment="1">
      <alignment/>
    </xf>
    <xf numFmtId="0" fontId="68" fillId="34" borderId="0" xfId="0" applyAlignment="1">
      <alignment/>
    </xf>
    <xf numFmtId="0" fontId="27" fillId="2" borderId="0" xfId="0" applyAlignment="1">
      <alignment vertical="center"/>
    </xf>
    <xf numFmtId="0" fontId="27" fillId="2" borderId="0" xfId="0" applyAlignment="1">
      <alignment vertical="center"/>
    </xf>
    <xf numFmtId="0" fontId="120" fillId="2" borderId="0" xfId="0" applyAlignment="1">
      <alignment vertical="center"/>
    </xf>
    <xf numFmtId="0" fontId="68" fillId="2" borderId="0" xfId="0" applyAlignment="1">
      <alignment vertical="center"/>
    </xf>
    <xf numFmtId="3" fontId="28" fillId="2" borderId="0" xfId="23">
      <alignment/>
      <protection/>
    </xf>
    <xf numFmtId="3" fontId="28" fillId="2" borderId="0" xfId="23">
      <alignment vertical="center"/>
      <protection/>
    </xf>
    <xf numFmtId="3" fontId="68" fillId="2" borderId="0" xfId="23">
      <alignment vertical="center"/>
      <protection/>
    </xf>
    <xf numFmtId="3" fontId="68" fillId="3" borderId="0" xfId="23">
      <alignment vertical="center"/>
      <protection/>
    </xf>
    <xf numFmtId="3" fontId="28" fillId="2" borderId="0" xfId="23">
      <alignment horizontal="center" vertical="center"/>
      <protection/>
    </xf>
    <xf numFmtId="3" fontId="28" fillId="2" borderId="0" xfId="23">
      <alignment horizontal="center" vertical="center"/>
      <protection/>
    </xf>
    <xf numFmtId="3" fontId="68" fillId="2" borderId="0" xfId="23">
      <alignment horizontal="center" vertical="center"/>
      <protection/>
    </xf>
    <xf numFmtId="3" fontId="68" fillId="3" borderId="0" xfId="23">
      <alignment horizontal="center" vertical="center"/>
      <protection/>
    </xf>
    <xf numFmtId="3" fontId="68" fillId="8" borderId="0" xfId="23">
      <alignment horizontal="center" vertical="center"/>
      <protection/>
    </xf>
    <xf numFmtId="3" fontId="68" fillId="11" borderId="0" xfId="23">
      <alignment horizontal="center" vertical="center"/>
      <protection/>
    </xf>
    <xf numFmtId="3" fontId="68" fillId="16" borderId="0" xfId="23">
      <alignment horizontal="center" vertical="center"/>
      <protection/>
    </xf>
    <xf numFmtId="3" fontId="24" fillId="2" borderId="0" xfId="23">
      <alignment vertical="center"/>
      <protection/>
    </xf>
    <xf numFmtId="3" fontId="24" fillId="2" borderId="0" xfId="23">
      <alignment vertical="center"/>
      <protection/>
    </xf>
    <xf numFmtId="3" fontId="35" fillId="2" borderId="0" xfId="23">
      <alignment vertical="center"/>
      <protection/>
    </xf>
    <xf numFmtId="3" fontId="36" fillId="2" borderId="0" xfId="23">
      <alignment vertical="center"/>
      <protection/>
    </xf>
    <xf numFmtId="3" fontId="90" fillId="2" borderId="0" xfId="23">
      <alignment vertical="center"/>
      <protection/>
    </xf>
    <xf numFmtId="0" fontId="56" fillId="2" borderId="0" xfId="0" applyAlignment="1">
      <alignment vertical="center"/>
    </xf>
    <xf numFmtId="0" fontId="24" fillId="2" borderId="0" xfId="0" applyAlignment="1">
      <alignment vertical="top"/>
    </xf>
    <xf numFmtId="0" fontId="24" fillId="2" borderId="0" xfId="0" applyAlignment="1">
      <alignment vertical="top"/>
    </xf>
    <xf numFmtId="0" fontId="31" fillId="2" borderId="0" xfId="0" applyAlignment="1">
      <alignment vertical="center"/>
    </xf>
    <xf numFmtId="0" fontId="31" fillId="2" borderId="0" xfId="0" applyAlignment="1">
      <alignment vertical="top"/>
    </xf>
    <xf numFmtId="0" fontId="68" fillId="19" borderId="0" xfId="0" applyAlignment="1">
      <alignment vertical="center"/>
    </xf>
    <xf numFmtId="0" fontId="68" fillId="17" borderId="0" xfId="0" applyAlignment="1">
      <alignment vertical="center"/>
    </xf>
    <xf numFmtId="0" fontId="68" fillId="28" borderId="0" xfId="0" applyAlignment="1">
      <alignment vertical="center"/>
    </xf>
    <xf numFmtId="0" fontId="68" fillId="20" borderId="0" xfId="0" applyAlignment="1">
      <alignment vertical="center"/>
    </xf>
    <xf numFmtId="0" fontId="68" fillId="30" borderId="0" xfId="0" applyAlignment="1">
      <alignment vertical="center"/>
    </xf>
    <xf numFmtId="0" fontId="68" fillId="35" borderId="0" xfId="0" applyAlignment="1">
      <alignment vertical="center"/>
    </xf>
    <xf numFmtId="0" fontId="68" fillId="31" borderId="0" xfId="0" applyAlignment="1">
      <alignment vertical="center"/>
    </xf>
    <xf numFmtId="0" fontId="68" fillId="40" borderId="0" xfId="0" applyAlignment="1">
      <alignment vertical="center"/>
    </xf>
    <xf numFmtId="0" fontId="68" fillId="32" borderId="0" xfId="0" applyAlignment="1">
      <alignment vertical="center"/>
    </xf>
    <xf numFmtId="0" fontId="68" fillId="37" borderId="0" xfId="0" applyAlignment="1">
      <alignment vertical="center"/>
    </xf>
    <xf numFmtId="0" fontId="68" fillId="36" borderId="0" xfId="0" applyAlignment="1">
      <alignment vertical="center"/>
    </xf>
    <xf numFmtId="0" fontId="69" fillId="6" borderId="0" xfId="0" applyAlignment="1">
      <alignment/>
    </xf>
    <xf numFmtId="0" fontId="69" fillId="7" borderId="0" xfId="0" applyAlignment="1">
      <alignment/>
    </xf>
    <xf numFmtId="0" fontId="69" fillId="31" borderId="0" xfId="0" applyAlignment="1">
      <alignment/>
    </xf>
    <xf numFmtId="0" fontId="69" fillId="9" borderId="0" xfId="0" applyAlignment="1">
      <alignment/>
    </xf>
    <xf numFmtId="0" fontId="69" fillId="10" borderId="0" xfId="0" applyAlignment="1">
      <alignment/>
    </xf>
    <xf numFmtId="0" fontId="69" fillId="11" borderId="0" xfId="0" applyAlignment="1">
      <alignment/>
    </xf>
    <xf numFmtId="0" fontId="121" fillId="2" borderId="0" xfId="0" applyAlignment="1">
      <alignment/>
    </xf>
    <xf numFmtId="0" fontId="35" fillId="2" borderId="0" xfId="0" applyAlignment="1">
      <alignment/>
    </xf>
    <xf numFmtId="0" fontId="29" fillId="2" borderId="0" xfId="0" applyAlignment="1">
      <alignment vertical="center"/>
    </xf>
    <xf numFmtId="0" fontId="27" fillId="2" borderId="0" xfId="0" applyAlignment="1">
      <alignment vertical="center"/>
    </xf>
    <xf numFmtId="0" fontId="24" fillId="2" borderId="0" xfId="0" applyAlignment="1">
      <alignment horizontal="center" vertical="top"/>
    </xf>
    <xf numFmtId="0" fontId="24" fillId="2" borderId="0" xfId="0" applyAlignment="1">
      <alignment horizontal="center" vertical="top"/>
    </xf>
    <xf numFmtId="0" fontId="28" fillId="28" borderId="0" xfId="0" applyAlignment="1">
      <alignment vertical="center"/>
    </xf>
    <xf numFmtId="3" fontId="28" fillId="3" borderId="0" xfId="23">
      <alignment vertical="center"/>
      <protection/>
    </xf>
    <xf numFmtId="3" fontId="28" fillId="11" borderId="0" xfId="23">
      <alignment horizontal="center" vertical="center"/>
      <protection/>
    </xf>
    <xf numFmtId="3" fontId="122" fillId="2" borderId="0" xfId="23">
      <alignment vertical="center"/>
      <protection/>
    </xf>
    <xf numFmtId="3" fontId="36" fillId="2" borderId="0" xfId="23">
      <alignment vertical="center"/>
      <protection/>
    </xf>
    <xf numFmtId="3" fontId="28" fillId="11" borderId="0" xfId="23">
      <alignment horizontal="right" vertical="center"/>
      <protection/>
    </xf>
    <xf numFmtId="3" fontId="24" fillId="35" borderId="0" xfId="23">
      <alignment/>
      <protection/>
    </xf>
    <xf numFmtId="3" fontId="24" fillId="31" borderId="0" xfId="23">
      <alignment/>
      <protection/>
    </xf>
    <xf numFmtId="3" fontId="24" fillId="7" borderId="0" xfId="23">
      <alignment/>
      <protection/>
    </xf>
    <xf numFmtId="3" fontId="24" fillId="8" borderId="0" xfId="23">
      <alignment/>
      <protection/>
    </xf>
    <xf numFmtId="3" fontId="24" fillId="11" borderId="0" xfId="23">
      <alignment/>
      <protection/>
    </xf>
    <xf numFmtId="3" fontId="28" fillId="11" borderId="0" xfId="23">
      <alignment/>
      <protection/>
    </xf>
    <xf numFmtId="3" fontId="28" fillId="11" borderId="0" xfId="23">
      <alignment vertical="center"/>
      <protection/>
    </xf>
    <xf numFmtId="0" fontId="28" fillId="16" borderId="0" xfId="0" applyAlignment="1">
      <alignment vertical="center"/>
    </xf>
    <xf numFmtId="0" fontId="28" fillId="2" borderId="0" xfId="0" applyAlignment="1">
      <alignment vertical="center"/>
    </xf>
    <xf numFmtId="0" fontId="28" fillId="2" borderId="0" xfId="0" applyAlignment="1">
      <alignment horizontal="center" vertical="top"/>
    </xf>
    <xf numFmtId="0" fontId="29" fillId="3" borderId="0" xfId="0" applyAlignment="1">
      <alignment horizontal="center" vertical="center"/>
    </xf>
    <xf numFmtId="3" fontId="36" fillId="11" borderId="0" xfId="23">
      <alignment/>
      <protection/>
    </xf>
    <xf numFmtId="3" fontId="60" fillId="11" borderId="0" xfId="23">
      <alignment/>
      <protection/>
    </xf>
    <xf numFmtId="3" fontId="73" fillId="11" borderId="0" xfId="23">
      <alignment/>
      <protection/>
    </xf>
    <xf numFmtId="3" fontId="28" fillId="2" borderId="0" xfId="23">
      <alignment horizontal="left" vertical="center"/>
      <protection/>
    </xf>
    <xf numFmtId="0" fontId="56" fillId="2" borderId="0" xfId="0" applyAlignment="1">
      <alignment vertical="center"/>
    </xf>
    <xf numFmtId="0" fontId="29" fillId="2" borderId="0" xfId="0" applyAlignment="1">
      <alignment vertical="center"/>
    </xf>
    <xf numFmtId="0" fontId="27" fillId="2" borderId="0" xfId="0" applyAlignment="1">
      <alignment vertical="center"/>
    </xf>
    <xf numFmtId="0" fontId="61" fillId="2" borderId="0" xfId="0" applyAlignment="1">
      <alignment vertical="center"/>
    </xf>
    <xf numFmtId="0" fontId="28" fillId="34" borderId="0" xfId="0" applyAlignment="1">
      <alignment vertical="center"/>
    </xf>
    <xf numFmtId="0" fontId="28" fillId="2" borderId="0" xfId="0" applyAlignment="1">
      <alignment horizontal="center" vertical="center"/>
    </xf>
    <xf numFmtId="0" fontId="28" fillId="2" borderId="0" xfId="23">
      <alignment/>
      <protection/>
    </xf>
    <xf numFmtId="3" fontId="0" fillId="12" borderId="0" xfId="23">
      <alignment/>
      <protection/>
    </xf>
    <xf numFmtId="3" fontId="28" fillId="2" borderId="0" xfId="23">
      <alignment horizontal="right" vertical="center"/>
      <protection/>
    </xf>
    <xf numFmtId="0" fontId="65" fillId="2" borderId="0" xfId="0" applyAlignment="1">
      <alignment horizontal="right"/>
    </xf>
    <xf numFmtId="3" fontId="65" fillId="2" borderId="0" xfId="23">
      <alignment/>
      <protection/>
    </xf>
    <xf numFmtId="0" fontId="27" fillId="2" borderId="0" xfId="0" applyAlignment="1">
      <alignment vertical="center"/>
    </xf>
    <xf numFmtId="0" fontId="100" fillId="2" borderId="0" xfId="0" applyAlignment="1">
      <alignment/>
    </xf>
    <xf numFmtId="3" fontId="58" fillId="2" borderId="0" xfId="23">
      <alignment/>
      <protection/>
    </xf>
    <xf numFmtId="0" fontId="123" fillId="2" borderId="0" xfId="0" applyAlignment="1">
      <alignment vertical="center"/>
    </xf>
    <xf numFmtId="0" fontId="36" fillId="2" borderId="0" xfId="0" applyAlignment="1">
      <alignment horizontal="left"/>
    </xf>
    <xf numFmtId="0" fontId="24" fillId="11" borderId="0" xfId="0" applyAlignment="1">
      <alignment vertical="center"/>
    </xf>
    <xf numFmtId="0" fontId="28" fillId="11" borderId="0" xfId="0" applyAlignment="1">
      <alignment vertical="center"/>
    </xf>
    <xf numFmtId="0" fontId="93" fillId="2" borderId="0" xfId="0" applyAlignment="1">
      <alignment vertical="center"/>
    </xf>
    <xf numFmtId="0" fontId="124" fillId="2" borderId="0" xfId="0" applyAlignment="1">
      <alignment vertical="center"/>
    </xf>
    <xf numFmtId="0" fontId="125" fillId="2" borderId="0" xfId="0" applyAlignment="1">
      <alignment vertical="center"/>
    </xf>
    <xf numFmtId="0" fontId="126" fillId="2" borderId="0" xfId="0" applyAlignment="1">
      <alignment vertical="center"/>
    </xf>
    <xf numFmtId="0" fontId="127" fillId="2" borderId="0" xfId="0" applyAlignment="1">
      <alignment vertical="center"/>
    </xf>
    <xf numFmtId="0" fontId="24" fillId="2" borderId="0" xfId="0" applyAlignment="1">
      <alignment vertical="center"/>
    </xf>
    <xf numFmtId="0" fontId="0" fillId="12" borderId="0" xfId="23">
      <alignment/>
      <protection/>
    </xf>
    <xf numFmtId="0" fontId="28" fillId="2" borderId="0" xfId="0" applyAlignment="1">
      <alignment horizontal="right"/>
    </xf>
    <xf numFmtId="0" fontId="51" fillId="2" borderId="0" xfId="0" applyAlignment="1">
      <alignment vertical="center"/>
    </xf>
    <xf numFmtId="0" fontId="50" fillId="2" borderId="0" xfId="0" applyAlignment="1">
      <alignment vertical="center"/>
    </xf>
    <xf numFmtId="0" fontId="52" fillId="2" borderId="0" xfId="0" applyAlignment="1">
      <alignment vertical="center"/>
    </xf>
    <xf numFmtId="0" fontId="0" fillId="2" borderId="0" xfId="0" applyAlignment="1">
      <alignment vertical="center"/>
    </xf>
    <xf numFmtId="0" fontId="28" fillId="11" borderId="0" xfId="0" applyAlignment="1">
      <alignment vertical="center"/>
    </xf>
    <xf numFmtId="3" fontId="28" fillId="11" borderId="0" xfId="23">
      <alignment vertical="center"/>
      <protection/>
    </xf>
    <xf numFmtId="3" fontId="29" fillId="2" borderId="0" xfId="23">
      <alignment/>
      <protection/>
    </xf>
    <xf numFmtId="0" fontId="86" fillId="2" borderId="0" xfId="0" applyAlignment="1">
      <alignment/>
    </xf>
    <xf numFmtId="0" fontId="40" fillId="2" borderId="0" xfId="0" applyAlignment="1">
      <alignment/>
    </xf>
    <xf numFmtId="0" fontId="128" fillId="2" borderId="0" xfId="0" applyAlignment="1">
      <alignment/>
    </xf>
    <xf numFmtId="0" fontId="61" fillId="2" borderId="0" xfId="0" applyAlignment="1">
      <alignment horizontal="right"/>
    </xf>
    <xf numFmtId="0" fontId="60" fillId="2" borderId="0" xfId="0" applyAlignment="1">
      <alignment horizontal="right"/>
    </xf>
    <xf numFmtId="0" fontId="36" fillId="2" borderId="0" xfId="0" applyAlignment="1">
      <alignment horizontal="right"/>
    </xf>
    <xf numFmtId="0" fontId="29" fillId="2" borderId="0" xfId="0" applyAlignment="1">
      <alignment horizontal="right"/>
    </xf>
    <xf numFmtId="0" fontId="129" fillId="2" borderId="0" xfId="0" applyAlignment="1">
      <alignment/>
    </xf>
    <xf numFmtId="0" fontId="130" fillId="2" borderId="0" xfId="0" applyAlignment="1">
      <alignment/>
    </xf>
    <xf numFmtId="0" fontId="131" fillId="2" borderId="0" xfId="0" applyAlignment="1">
      <alignment/>
    </xf>
    <xf numFmtId="3" fontId="24" fillId="12" borderId="0" xfId="23">
      <alignment/>
      <protection/>
    </xf>
    <xf numFmtId="0" fontId="56" fillId="22" borderId="0" xfId="0" applyAlignment="1">
      <alignment/>
    </xf>
    <xf numFmtId="0" fontId="24" fillId="22" borderId="2" xfId="0" applyAlignment="1">
      <alignment/>
    </xf>
    <xf numFmtId="0" fontId="24" fillId="22" borderId="3" xfId="0" applyAlignment="1">
      <alignment/>
    </xf>
    <xf numFmtId="0" fontId="24" fillId="22" borderId="0" xfId="0" applyAlignment="1">
      <alignment/>
    </xf>
    <xf numFmtId="0" fontId="24" fillId="22" borderId="0" xfId="0" applyAlignment="1">
      <alignment/>
    </xf>
    <xf numFmtId="0" fontId="36" fillId="2" borderId="0" xfId="0" applyAlignment="1">
      <alignment vertical="center"/>
    </xf>
    <xf numFmtId="0" fontId="35" fillId="2" borderId="0" xfId="0" applyAlignment="1">
      <alignment vertical="center"/>
    </xf>
    <xf numFmtId="0" fontId="132" fillId="2" borderId="0" xfId="0" applyAlignment="1">
      <alignment vertical="center"/>
    </xf>
    <xf numFmtId="0" fontId="0" fillId="34" borderId="0" xfId="0" applyAlignment="1">
      <alignment/>
    </xf>
    <xf numFmtId="3" fontId="0" fillId="34" borderId="0" xfId="23">
      <alignment/>
      <protection/>
    </xf>
    <xf numFmtId="0" fontId="61" fillId="34" borderId="0" xfId="0" applyAlignment="1">
      <alignment/>
    </xf>
    <xf numFmtId="3" fontId="61" fillId="34" borderId="0" xfId="23">
      <alignment/>
      <protection/>
    </xf>
    <xf numFmtId="3" fontId="61" fillId="12" borderId="0" xfId="23">
      <alignment/>
      <protection/>
    </xf>
    <xf numFmtId="3" fontId="28" fillId="48" borderId="0" xfId="23">
      <alignment vertical="center"/>
      <protection/>
    </xf>
    <xf numFmtId="3" fontId="28" fillId="12" borderId="0" xfId="23">
      <alignment/>
      <protection/>
    </xf>
    <xf numFmtId="0" fontId="56" fillId="38" borderId="0" xfId="0" applyAlignment="1">
      <alignment/>
    </xf>
    <xf numFmtId="0" fontId="56" fillId="38" borderId="0" xfId="0" applyAlignment="1">
      <alignment horizontal="center"/>
    </xf>
    <xf numFmtId="0" fontId="56" fillId="2" borderId="0" xfId="0" applyAlignment="1">
      <alignment horizontal="center"/>
    </xf>
    <xf numFmtId="0" fontId="56" fillId="5" borderId="0" xfId="0" applyAlignment="1">
      <alignment/>
    </xf>
    <xf numFmtId="0" fontId="110" fillId="2" borderId="0" xfId="0" applyAlignment="1">
      <alignment/>
    </xf>
    <xf numFmtId="0" fontId="48" fillId="2" borderId="0" xfId="0" applyAlignment="1">
      <alignment/>
    </xf>
    <xf numFmtId="0" fontId="71" fillId="2" borderId="0" xfId="0" applyAlignment="1">
      <alignment/>
    </xf>
    <xf numFmtId="0" fontId="69" fillId="2" borderId="0" xfId="0" applyAlignment="1">
      <alignment/>
    </xf>
    <xf numFmtId="0" fontId="106" fillId="2" borderId="0" xfId="0" applyAlignment="1">
      <alignment/>
    </xf>
    <xf numFmtId="0" fontId="37" fillId="2" borderId="0" xfId="0" applyAlignment="1">
      <alignment/>
    </xf>
    <xf numFmtId="3" fontId="58" fillId="12" borderId="0" xfId="23">
      <alignment/>
      <protection/>
    </xf>
    <xf numFmtId="3" fontId="37" fillId="12" borderId="0" xfId="23">
      <alignment/>
      <protection/>
    </xf>
    <xf numFmtId="3" fontId="53" fillId="12" borderId="0" xfId="23">
      <alignment/>
      <protection/>
    </xf>
    <xf numFmtId="3" fontId="52" fillId="12" borderId="0" xfId="23">
      <alignment/>
      <protection/>
    </xf>
    <xf numFmtId="0" fontId="61" fillId="2" borderId="0" xfId="0" applyAlignment="1">
      <alignment textRotation="255"/>
    </xf>
    <xf numFmtId="0" fontId="31" fillId="45" borderId="0" xfId="0" applyAlignment="1">
      <alignment/>
    </xf>
    <xf numFmtId="0" fontId="28" fillId="2" borderId="0" xfId="23">
      <alignment/>
      <protection/>
    </xf>
    <xf numFmtId="0" fontId="27" fillId="2" borderId="0" xfId="23">
      <alignment/>
      <protection/>
    </xf>
    <xf numFmtId="0" fontId="56" fillId="37" borderId="0" xfId="0" applyAlignment="1">
      <alignment/>
    </xf>
    <xf numFmtId="0" fontId="56" fillId="43" borderId="0" xfId="0" applyAlignment="1">
      <alignment/>
    </xf>
    <xf numFmtId="0" fontId="56" fillId="28" borderId="0" xfId="0" applyAlignment="1">
      <alignment/>
    </xf>
    <xf numFmtId="0" fontId="56" fillId="19" borderId="0" xfId="0" applyAlignment="1">
      <alignment/>
    </xf>
    <xf numFmtId="0" fontId="39" fillId="2" borderId="0" xfId="0" applyAlignment="1">
      <alignment/>
    </xf>
    <xf numFmtId="0" fontId="46" fillId="2" borderId="0" xfId="0" applyAlignment="1">
      <alignment/>
    </xf>
    <xf numFmtId="0" fontId="28" fillId="2" borderId="0" xfId="0" applyAlignment="1">
      <alignment/>
    </xf>
    <xf numFmtId="0" fontId="28" fillId="12" borderId="0" xfId="0" applyAlignment="1">
      <alignment horizontal="center"/>
    </xf>
    <xf numFmtId="0" fontId="0" fillId="6" borderId="0" xfId="0" applyAlignment="1">
      <alignment/>
    </xf>
    <xf numFmtId="0" fontId="0" fillId="7" borderId="0" xfId="0" applyAlignment="1">
      <alignment/>
    </xf>
    <xf numFmtId="0" fontId="0" fillId="33" borderId="0" xfId="0" applyAlignment="1">
      <alignment/>
    </xf>
    <xf numFmtId="0" fontId="0" fillId="3" borderId="0" xfId="0" applyAlignment="1">
      <alignment/>
    </xf>
    <xf numFmtId="0" fontId="31" fillId="3" borderId="0" xfId="0" applyAlignment="1">
      <alignment/>
    </xf>
    <xf numFmtId="0" fontId="29" fillId="3" borderId="0" xfId="0" applyAlignment="1">
      <alignment/>
    </xf>
    <xf numFmtId="3" fontId="28" fillId="36" borderId="0" xfId="23">
      <alignment/>
      <protection/>
    </xf>
    <xf numFmtId="3" fontId="28" fillId="36" borderId="0" xfId="23">
      <alignment vertical="center"/>
      <protection/>
    </xf>
    <xf numFmtId="0" fontId="0" fillId="39" borderId="0" xfId="0" applyAlignment="1">
      <alignment/>
    </xf>
    <xf numFmtId="3" fontId="28" fillId="2" borderId="0" xfId="23">
      <alignment/>
      <protection/>
    </xf>
    <xf numFmtId="3" fontId="28" fillId="3" borderId="0" xfId="23">
      <alignment/>
      <protection/>
    </xf>
    <xf numFmtId="3" fontId="28" fillId="16" borderId="0" xfId="23">
      <alignment/>
      <protection/>
    </xf>
    <xf numFmtId="3" fontId="44" fillId="2" borderId="0" xfId="23">
      <alignment/>
      <protection/>
    </xf>
    <xf numFmtId="3" fontId="43" fillId="2" borderId="0" xfId="23">
      <alignment/>
      <protection/>
    </xf>
    <xf numFmtId="3" fontId="57" fillId="2" borderId="0" xfId="23">
      <alignment/>
      <protection/>
    </xf>
    <xf numFmtId="3" fontId="28" fillId="3" borderId="0" xfId="23">
      <alignment vertical="center"/>
      <protection/>
    </xf>
    <xf numFmtId="0" fontId="24" fillId="2" borderId="0" xfId="0" applyAlignment="1">
      <alignment vertical="center"/>
    </xf>
    <xf numFmtId="0" fontId="36" fillId="2" borderId="0" xfId="0" applyAlignment="1">
      <alignment/>
    </xf>
    <xf numFmtId="0" fontId="65" fillId="2" borderId="0" xfId="0" applyAlignment="1">
      <alignment/>
    </xf>
    <xf numFmtId="0" fontId="35" fillId="2" borderId="0" xfId="0" applyAlignment="1">
      <alignment/>
    </xf>
    <xf numFmtId="0" fontId="57" fillId="2" borderId="0" xfId="0" applyAlignment="1">
      <alignment/>
    </xf>
    <xf numFmtId="0" fontId="41" fillId="2" borderId="0" xfId="0" applyAlignment="1">
      <alignment/>
    </xf>
    <xf numFmtId="0" fontId="42" fillId="2" borderId="0" xfId="0" applyAlignment="1">
      <alignment/>
    </xf>
    <xf numFmtId="0" fontId="45" fillId="2" borderId="0" xfId="0" applyAlignment="1">
      <alignment/>
    </xf>
    <xf numFmtId="0" fontId="47" fillId="2" borderId="0" xfId="0" applyAlignment="1">
      <alignment/>
    </xf>
    <xf numFmtId="0" fontId="28" fillId="3" borderId="0" xfId="0" applyAlignment="1">
      <alignment/>
    </xf>
    <xf numFmtId="0" fontId="28" fillId="2" borderId="0" xfId="0" applyAlignment="1">
      <alignment horizontal="right" vertical="center"/>
    </xf>
    <xf numFmtId="0" fontId="36" fillId="3" borderId="0" xfId="0" applyAlignment="1">
      <alignment vertical="center"/>
    </xf>
    <xf numFmtId="3" fontId="29" fillId="33" borderId="0" xfId="23">
      <alignment vertical="center"/>
      <protection/>
    </xf>
    <xf numFmtId="0" fontId="28" fillId="16" borderId="0" xfId="0" applyAlignment="1">
      <alignment/>
    </xf>
    <xf numFmtId="0" fontId="27" fillId="2" borderId="0" xfId="0" applyAlignment="1">
      <alignment vertical="top"/>
    </xf>
  </cellXfs>
  <cellStyles count="12">
    <cellStyle name="Normal" xfId="0" builtinId="0"/>
    <cellStyle name="Comma" xfId="15" builtinId="3"/>
    <cellStyle name="Currency" xfId="16" builtinId="4"/>
    <cellStyle name="Percent" xfId="17" builtinId="5"/>
    <cellStyle name="Fixed" xfId="18"/>
    <cellStyle name="Date" xfId="19"/>
    <cellStyle name="Heading 1" xfId="20"/>
    <cellStyle name="Heading 2" xfId="21"/>
    <cellStyle name="Total" xfId="22"/>
    <cellStyle name="Comma0" xfId="23"/>
    <cellStyle name="Currency0" xfId="24"/>
    <cellStyle name="ulor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C0C0C0"/>
      <rgbColor rgb="00667457"/>
      <rgbColor rgb="00000000"/>
      <rgbColor rgb="00FF0000"/>
      <rgbColor rgb="0000FF00"/>
      <rgbColor rgb="000000FF"/>
      <rgbColor rgb="0000FFFF"/>
      <rgbColor rgb="00FF00FF"/>
      <rgbColor rgb="00FFFF00"/>
      <rgbColor rgb="00800080"/>
      <rgbColor rgb="00008000"/>
      <rgbColor rgb="00808000"/>
      <rgbColor rgb="00000080"/>
      <rgbColor rgb="00800000"/>
      <rgbColor rgb="00008080"/>
      <rgbColor rgb="00FFFFFF"/>
      <rgbColor rgb="00000050"/>
      <rgbColor rgb="00FFE0C0"/>
      <rgbColor rgb="00B0B0FF"/>
      <rgbColor rgb="00C890FF"/>
      <rgbColor rgb="00A040FF"/>
      <rgbColor rgb="006000C0"/>
      <rgbColor rgb="00005050"/>
      <rgbColor rgb="000080FF"/>
      <rgbColor rgb="00A0D0FF"/>
      <rgbColor rgb="00B0FFFF"/>
      <rgbColor rgb="0070FFFF"/>
      <rgbColor rgb="00005000"/>
      <rgbColor rgb="00B0FFB0"/>
      <rgbColor rgb="00FFFF90"/>
      <rgbColor rgb="00FFCC00"/>
      <rgbColor rgb="00500000"/>
      <rgbColor rgb="00FFB0B0"/>
      <rgbColor rgb="00FFB870"/>
      <rgbColor rgb="00FF8000"/>
      <rgbColor rgb="00FF6000"/>
      <rgbColor rgb="00500050"/>
      <rgbColor rgb="00FFB0FF"/>
      <rgbColor rgb="00FFA0D0"/>
      <rgbColor rgb="00FF80C0"/>
      <rgbColor rgb="00FF0080"/>
      <rgbColor rgb="00909090"/>
      <rgbColor rgb="00E0B090"/>
      <rgbColor rgb="00B07050"/>
      <rgbColor rgb="00005555"/>
      <rgbColor rgb="00AAAAFF"/>
      <rgbColor rgb="00C0C0FF"/>
      <rgbColor rgb="00005500"/>
      <rgbColor rgb="00005555"/>
      <rgbColor rgb="00000055"/>
      <rgbColor rgb="00D5AAAA"/>
      <rgbColor rgb="00AA55FF"/>
      <rgbColor rgb="00FFAA55"/>
      <rgbColor rgb="00FFC0C0"/>
      <rgbColor rgb="00FFAAFF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alcChain" Target="calcChain.xml" /><Relationship Id="rId1" Type="http://schemas.openxmlformats.org/officeDocument/2006/relationships/theme" Target="theme/theme1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244b05-3b62-4ef9-8028-c748a57ec1c4}">
  <sheetPr>
    <tabColor indexed="15"/>
  </sheetPr>
  <dimension ref="A1:T910"/>
  <sheetViews>
    <sheetView tabSelected="1" defaultGridColor="0" zoomScale="125" zoomScaleNormal="125" colorId="0" workbookViewId="0" topLeftCell="A1">
      <pane topLeftCell="A1" activePane="topLeft" state="split"/>
      <selection pane="topLeft" activeCell="O37" sqref="O37"/>
    </sheetView>
  </sheetViews>
  <sheetFormatPr defaultRowHeight="12.75"/>
  <cols>
    <col min="1" max="1" width="5"/>
    <col min="2" max="2" width="5.57142857142857"/>
    <col min="3" max="3" width="8"/>
    <col min="4" max="4" width="3"/>
    <col min="5" max="5" width="15.1428571428571"/>
    <col min="9" max="9" width="11.8571428571429"/>
    <col min="11" max="11" width="8.28571428571429"/>
    <col min="14" max="14" width="3.71428571428571"/>
    <col min="15" max="15" width="4.14285714285714"/>
    <col min="16" max="16" width="28.8571428571429"/>
    <col min="17" max="17" width="27.2857142857143"/>
    <col min="18" max="18" width="24.7142857142857"/>
    <col min="19" max="19" width="59.2857142857143"/>
  </cols>
  <sheetData>
    <row r="1" spans="1:20" ht="12.75">
      <c r="A1" s="910">
        <v>8400</v>
      </c>
      <c r="E1" s="869">
        <v>598720323600</v>
      </c>
      <c r="H1" s="990">
        <v>35633</v>
      </c>
      <c r="I1" s="870">
        <v>16800000</v>
      </c>
      <c r="K1" s="886">
        <v>70375321</v>
      </c>
      <c r="L1">
        <v>4</v>
      </c>
      <c r="M1">
        <v>378</v>
      </c>
      <c r="T1" s="42" t="s">
        <v>1</v>
      </c>
    </row>
    <row r="2" spans="5:20" ht="12.75">
      <c r="E2" s="869">
        <v>598634400000</v>
      </c>
      <c r="I2" s="869">
        <f>H1*I1</f>
        <v>598634400000</v>
      </c>
      <c r="T2" s="42" t="s">
        <v>1</v>
      </c>
    </row>
    <row r="3" spans="19:20" ht="12.75">
      <c r="S3" s="351" t="s">
        <v>2488</v>
      </c>
      <c r="T3" s="42" t="s">
        <v>1</v>
      </c>
    </row>
    <row r="4" spans="1:20" ht="12.75">
      <c r="A4" s="921" t="s">
        <v>2492</v>
      </c>
      <c r="S4" s="116" t="s">
        <v>36</v>
      </c>
      <c r="T4" s="42" t="s">
        <v>1</v>
      </c>
    </row>
    <row r="5" spans="1:20" ht="12.75">
      <c r="A5" s="23" t="s">
        <v>27</v>
      </c>
      <c r="S5" s="116" t="s">
        <v>36</v>
      </c>
      <c r="T5" s="42" t="s">
        <v>1</v>
      </c>
    </row>
    <row r="6" spans="1:20" ht="12.75">
      <c r="A6" s="65">
        <v>853</v>
      </c>
      <c r="B6" s="950">
        <v>1706</v>
      </c>
      <c r="C6" s="950">
        <v>727609</v>
      </c>
      <c r="D6" s="950" t="s">
        <v>2496</v>
      </c>
      <c r="E6" s="115">
        <f>B6-MOD(E$1-A6*3,B6)</f>
        <v>227</v>
      </c>
      <c r="F6" s="644">
        <f>IF(MOD(E6,5)=0,B6,0)+E6</f>
        <v>227</v>
      </c>
      <c r="G6" s="814">
        <f>IF(MOD(F6+$B6,5)=0,$B6,0)+$B6+F6</f>
        <v>1933</v>
      </c>
      <c r="H6" s="814">
        <f>IF(MOD(G6+$B6,5)=0,$B6,0)+$B6+G6</f>
        <v>3639</v>
      </c>
      <c r="I6" s="814">
        <f>IF(MOD(H6+$B6,5)=0,$B6,0)+$B6+H6</f>
        <v>7051</v>
      </c>
      <c r="J6" s="911">
        <v>22</v>
      </c>
      <c r="K6" s="892">
        <v>193</v>
      </c>
      <c r="L6" s="892">
        <v>363</v>
      </c>
      <c r="M6" s="892">
        <v>705</v>
      </c>
      <c r="N6" s="23" t="str">
        <f>D6&amp;FIXED(MOD(F6,10),0)</f>
        <v>hh37</v>
      </c>
      <c r="O6" s="78" t="str">
        <f>MID(A$5,((FIND(N6,A$4,1)-1)+1),4)</f>
        <v>dbe7</v>
      </c>
      <c r="P6" s="76" t="s">
        <v>0</v>
      </c>
      <c r="Q6" s="76" t="s">
        <v>0</v>
      </c>
      <c r="R6" s="76" t="s">
        <v>0</v>
      </c>
      <c r="S6" s="29" t="s">
        <v>0</v>
      </c>
      <c r="T6" s="42" t="s">
        <v>1</v>
      </c>
    </row>
    <row r="7" spans="1:20" ht="12.75">
      <c r="A7" s="65">
        <v>857</v>
      </c>
      <c r="B7" s="950">
        <v>1714</v>
      </c>
      <c r="C7" s="950">
        <v>734449</v>
      </c>
      <c r="D7" s="950" t="s">
        <v>2501</v>
      </c>
      <c r="E7" s="115">
        <f>B7-MOD(E$1-A7*3,B7)</f>
        <v>1331</v>
      </c>
      <c r="F7" s="644">
        <f>IF(MOD(E7,5)=0,B7,0)+E7</f>
        <v>1331</v>
      </c>
      <c r="G7" s="814">
        <f>IF(MOD(F7+$B7,5)=0,$B7,0)+$B7+F7</f>
        <v>4759</v>
      </c>
      <c r="H7" s="814">
        <f>IF(MOD(G7+$B7,5)=0,$B7,0)+$B7+G7</f>
        <v>6473</v>
      </c>
      <c r="I7" s="814">
        <f>IF(MOD(H7+$B7,5)=0,$B7,0)+$B7+H7</f>
        <v>8187</v>
      </c>
      <c r="J7" s="911">
        <v>133</v>
      </c>
      <c r="K7" s="892">
        <v>475</v>
      </c>
      <c r="L7" s="892">
        <v>647</v>
      </c>
      <c r="M7" s="892">
        <v>818</v>
      </c>
      <c r="N7" s="23" t="str">
        <f>D7&amp;FIXED(MOD(F7,10),0)</f>
        <v>hh71</v>
      </c>
      <c r="O7" s="78" t="str">
        <f>MID(A$5,((FIND(N7,A$4,1)-1)+1),4)</f>
        <v>7ebd</v>
      </c>
      <c r="P7" s="76" t="s">
        <v>0</v>
      </c>
      <c r="Q7" s="76" t="s">
        <v>0</v>
      </c>
      <c r="R7" s="76" t="s">
        <v>0</v>
      </c>
      <c r="S7" s="29" t="s">
        <v>0</v>
      </c>
      <c r="T7" s="42" t="s">
        <v>1</v>
      </c>
    </row>
    <row r="8" spans="1:20" ht="12.75">
      <c r="A8" s="65">
        <v>859</v>
      </c>
      <c r="B8" s="950">
        <v>1718</v>
      </c>
      <c r="C8" s="950">
        <v>737881</v>
      </c>
      <c r="D8" s="950" t="s">
        <v>2506</v>
      </c>
      <c r="E8" s="115">
        <f>B8-MOD(E$1-A8*3,B8)</f>
        <v>615</v>
      </c>
      <c r="F8" s="644">
        <f>IF(MOD(E8,5)=0,B8,0)+E8</f>
        <v>2333</v>
      </c>
      <c r="G8" s="814">
        <f>IF(MOD(F8+$B8,5)=0,$B8,0)+$B8+F8</f>
        <v>4051</v>
      </c>
      <c r="H8" s="814">
        <f>IF(MOD(G8+$B8,5)=0,$B8,0)+$B8+G8</f>
        <v>5769</v>
      </c>
      <c r="I8" s="814">
        <f>IF(MOD(H8+$B8,5)=0,$B8,0)+$B8+H8</f>
        <v>7487</v>
      </c>
      <c r="J8" s="911">
        <v>233</v>
      </c>
      <c r="K8" s="892">
        <v>405</v>
      </c>
      <c r="L8" s="892">
        <v>576</v>
      </c>
      <c r="M8" s="892">
        <v>748</v>
      </c>
      <c r="N8" s="23" t="str">
        <f>D8&amp;FIXED(MOD(F8,10),0)</f>
        <v>hh93</v>
      </c>
      <c r="O8" s="78" t="str">
        <f>MID(A$5,((FIND(N8,A$4,1)-1)+1),4)</f>
        <v>b7ed</v>
      </c>
      <c r="P8" s="76" t="s">
        <v>0</v>
      </c>
      <c r="Q8" s="76" t="s">
        <v>0</v>
      </c>
      <c r="R8" s="76" t="s">
        <v>0</v>
      </c>
      <c r="S8" s="29" t="s">
        <v>0</v>
      </c>
      <c r="T8" s="42" t="s">
        <v>1</v>
      </c>
    </row>
    <row r="9" spans="1:20" ht="12.75">
      <c r="A9" s="65">
        <v>863</v>
      </c>
      <c r="B9" s="950">
        <v>1726</v>
      </c>
      <c r="C9" s="950">
        <v>744769</v>
      </c>
      <c r="D9" s="950" t="s">
        <v>2496</v>
      </c>
      <c r="E9" s="115">
        <f>B9-MOD(E$1-A9*3,B9)</f>
        <v>1067</v>
      </c>
      <c r="F9" s="644">
        <f>IF(MOD(E9,5)=0,B9,0)+E9</f>
        <v>1067</v>
      </c>
      <c r="G9" s="814">
        <f>IF(MOD(F9+$B9,5)=0,$B9,0)+$B9+F9</f>
        <v>2793</v>
      </c>
      <c r="H9" s="814">
        <f>IF(MOD(G9+$B9,5)=0,$B9,0)+$B9+G9</f>
        <v>4519</v>
      </c>
      <c r="I9" s="814">
        <f>IF(MOD(H9+$B9,5)=0,$B9,0)+$B9+H9</f>
        <v>7971</v>
      </c>
      <c r="J9" s="911">
        <v>106</v>
      </c>
      <c r="K9" s="892">
        <v>279</v>
      </c>
      <c r="L9" s="892">
        <v>451</v>
      </c>
      <c r="M9" s="892">
        <v>797</v>
      </c>
      <c r="N9" s="23" t="str">
        <f>D9&amp;FIXED(MOD(F9,10),0)</f>
        <v>hh37</v>
      </c>
      <c r="O9" s="78" t="str">
        <f>MID(A$5,((FIND(N9,A$4,1)-1)+1),4)</f>
        <v>dbe7</v>
      </c>
      <c r="P9" s="76" t="s">
        <v>0</v>
      </c>
      <c r="Q9" s="76" t="s">
        <v>0</v>
      </c>
      <c r="R9" s="76" t="s">
        <v>0</v>
      </c>
      <c r="S9" s="29" t="s">
        <v>0</v>
      </c>
      <c r="T9" s="42" t="s">
        <v>1</v>
      </c>
    </row>
    <row r="10" spans="1:20" ht="12.75">
      <c r="A10" s="65">
        <v>877</v>
      </c>
      <c r="B10" s="950">
        <v>1754</v>
      </c>
      <c r="C10" s="950">
        <v>769129</v>
      </c>
      <c r="D10" s="950" t="s">
        <v>2501</v>
      </c>
      <c r="E10" s="115">
        <f>B10-MOD(E$1-A10*3,B10)</f>
        <v>1751</v>
      </c>
      <c r="F10" s="644">
        <f>IF(MOD(E10,5)=0,B10,0)+E10</f>
        <v>1751</v>
      </c>
      <c r="G10" s="814">
        <f>IF(MOD(F10+$B10,5)=0,$B10,0)+$B10+F10</f>
        <v>5259</v>
      </c>
      <c r="H10" s="814">
        <f>IF(MOD(G10+$B10,5)=0,$B10,0)+$B10+G10</f>
        <v>7013</v>
      </c>
      <c r="I10" s="814">
        <f>IF(MOD(H10+$B10,5)=0,$B10,0)+$B10+H10</f>
        <v>8767</v>
      </c>
      <c r="J10" s="911">
        <v>175</v>
      </c>
      <c r="K10" s="892">
        <v>525</v>
      </c>
      <c r="L10" s="892">
        <v>701</v>
      </c>
      <c r="M10" s="892">
        <v>876</v>
      </c>
      <c r="N10" s="23" t="str">
        <f>D10&amp;FIXED(MOD(F10,10),0)</f>
        <v>hh71</v>
      </c>
      <c r="O10" s="78" t="str">
        <f>MID(A$5,((FIND(N10,A$4,1)-1)+1),4)</f>
        <v>7ebd</v>
      </c>
      <c r="P10" s="76" t="s">
        <v>0</v>
      </c>
      <c r="Q10" s="76" t="s">
        <v>0</v>
      </c>
      <c r="R10" s="76" t="s">
        <v>0</v>
      </c>
      <c r="S10" s="29" t="s">
        <v>0</v>
      </c>
      <c r="T10" s="42" t="s">
        <v>1</v>
      </c>
    </row>
    <row r="11" spans="1:20" ht="12.75">
      <c r="A11" s="65">
        <v>881</v>
      </c>
      <c r="B11" s="950">
        <v>1762</v>
      </c>
      <c r="C11" s="950">
        <v>776161</v>
      </c>
      <c r="D11" s="950" t="s">
        <v>2490</v>
      </c>
      <c r="E11" s="115">
        <f>B11-MOD(E$1-A11*3,B11)</f>
        <v>221</v>
      </c>
      <c r="F11" s="644">
        <f>IF(MOD(E11,5)=0,B11,0)+E11</f>
        <v>221</v>
      </c>
      <c r="G11" s="814">
        <f>IF(MOD(F11+$B11,5)=0,$B11,0)+$B11+F11</f>
        <v>1983</v>
      </c>
      <c r="H11" s="814">
        <f>IF(MOD(G11+$B11,5)=0,$B11,0)+$B11+G11</f>
        <v>5507</v>
      </c>
      <c r="I11" s="814">
        <f>IF(MOD(H11+$B11,5)=0,$B11,0)+$B11+H11</f>
        <v>7269</v>
      </c>
      <c r="J11" s="911">
        <v>22</v>
      </c>
      <c r="K11" s="892">
        <v>198</v>
      </c>
      <c r="L11" s="892">
        <v>550</v>
      </c>
      <c r="M11" s="892">
        <v>726</v>
      </c>
      <c r="N11" s="23" t="str">
        <f>D11&amp;FIXED(MOD(F11,10),0)</f>
        <v>hh11</v>
      </c>
      <c r="O11" s="78" t="str">
        <f>MID(A$5,((FIND(N11,A$4,1)-1)+1),4)</f>
        <v>7bde</v>
      </c>
      <c r="P11" s="76" t="s">
        <v>0</v>
      </c>
      <c r="Q11" s="76" t="s">
        <v>0</v>
      </c>
      <c r="R11" s="76" t="s">
        <v>0</v>
      </c>
      <c r="S11" s="29" t="s">
        <v>0</v>
      </c>
      <c r="T11" s="42" t="s">
        <v>1</v>
      </c>
    </row>
    <row r="12" spans="1:20" ht="12.75">
      <c r="A12" s="65">
        <v>883</v>
      </c>
      <c r="B12" s="950">
        <v>1766</v>
      </c>
      <c r="C12" s="950">
        <v>779689</v>
      </c>
      <c r="D12" s="950" t="s">
        <v>2496</v>
      </c>
      <c r="E12" s="115">
        <f>B12-MOD(E$1-A12*3,B12)</f>
        <v>1229</v>
      </c>
      <c r="F12" s="644">
        <f>IF(MOD(E12,5)=0,B12,0)+E12</f>
        <v>1229</v>
      </c>
      <c r="G12" s="814">
        <f>IF(MOD(F12+$B12,5)=0,$B12,0)+$B12+F12</f>
        <v>4761</v>
      </c>
      <c r="H12" s="814">
        <f>IF(MOD(G12+$B12,5)=0,$B12,0)+$B12+G12</f>
        <v>6527</v>
      </c>
      <c r="I12" s="814">
        <f>IF(MOD(H12+$B12,5)=0,$B12,0)+$B12+H12</f>
        <v>8293</v>
      </c>
      <c r="J12" s="911">
        <v>122</v>
      </c>
      <c r="K12" s="892">
        <v>476</v>
      </c>
      <c r="L12" s="892">
        <v>652</v>
      </c>
      <c r="M12" s="892">
        <v>829</v>
      </c>
      <c r="N12" s="23" t="str">
        <f>D12&amp;FIXED(MOD(F12,10),0)</f>
        <v>hh39</v>
      </c>
      <c r="O12" s="78" t="str">
        <f>MID(A$5,((FIND(N12,A$4,1)-1)+1),4)</f>
        <v>e7db</v>
      </c>
      <c r="P12" s="76" t="s">
        <v>0</v>
      </c>
      <c r="Q12" s="76" t="s">
        <v>0</v>
      </c>
      <c r="R12" s="76" t="s">
        <v>0</v>
      </c>
      <c r="S12" s="29" t="s">
        <v>0</v>
      </c>
      <c r="T12" s="42" t="s">
        <v>1</v>
      </c>
    </row>
    <row r="13" spans="1:20" ht="12.75">
      <c r="A13" s="65">
        <v>887</v>
      </c>
      <c r="B13" s="950">
        <v>1774</v>
      </c>
      <c r="C13" s="950">
        <v>786769</v>
      </c>
      <c r="D13" s="950" t="s">
        <v>2501</v>
      </c>
      <c r="E13" s="115">
        <f>B13-MOD(E$1-A13*3,B13)</f>
        <v>1023</v>
      </c>
      <c r="F13" s="644">
        <f>IF(MOD(E13,5)=0,B13,0)+E13</f>
        <v>1023</v>
      </c>
      <c r="G13" s="814">
        <f>IF(MOD(F13+$B13,5)=0,$B13,0)+$B13+F13</f>
        <v>2797</v>
      </c>
      <c r="H13" s="814">
        <f>IF(MOD(G13+$B13,5)=0,$B13,0)+$B13+G13</f>
        <v>4571</v>
      </c>
      <c r="I13" s="814">
        <f>IF(MOD(H13+$B13,5)=0,$B13,0)+$B13+H13</f>
        <v>8119</v>
      </c>
      <c r="J13" s="911">
        <v>102</v>
      </c>
      <c r="K13" s="892">
        <v>279</v>
      </c>
      <c r="L13" s="892">
        <v>457</v>
      </c>
      <c r="M13" s="892">
        <v>811</v>
      </c>
      <c r="N13" s="23" t="str">
        <f>D13&amp;FIXED(MOD(F13,10),0)</f>
        <v>hh73</v>
      </c>
      <c r="O13" s="78" t="str">
        <f>MID(A$5,((FIND(N13,A$4,1)-1)+1),4)</f>
        <v>bd7e</v>
      </c>
      <c r="P13" s="76" t="s">
        <v>0</v>
      </c>
      <c r="Q13" s="76" t="s">
        <v>0</v>
      </c>
      <c r="R13" s="76" t="s">
        <v>0</v>
      </c>
      <c r="S13" s="29" t="s">
        <v>0</v>
      </c>
      <c r="T13" s="42" t="s">
        <v>1</v>
      </c>
    </row>
    <row r="14" spans="1:20" ht="12.75">
      <c r="A14" s="65">
        <v>907</v>
      </c>
      <c r="B14" s="950">
        <v>1814</v>
      </c>
      <c r="C14" s="950">
        <v>822649</v>
      </c>
      <c r="D14" s="950" t="s">
        <v>2501</v>
      </c>
      <c r="E14" s="115">
        <f>B14-MOD(E$1-A14*3,B14)</f>
        <v>577</v>
      </c>
      <c r="F14" s="644">
        <f>IF(MOD(E14,5)=0,B14,0)+E14</f>
        <v>577</v>
      </c>
      <c r="G14" s="814">
        <f>IF(MOD(F14+$B14,5)=0,$B14,0)+$B14+F14</f>
        <v>2391</v>
      </c>
      <c r="H14" s="814">
        <f>IF(MOD(G14+$B14,5)=0,$B14,0)+$B14+G14</f>
        <v>6019</v>
      </c>
      <c r="I14" s="814">
        <f>IF(MOD(H14+$B14,5)=0,$B14,0)+$B14+H14</f>
        <v>7833</v>
      </c>
      <c r="J14" s="911">
        <v>57</v>
      </c>
      <c r="K14" s="892">
        <v>239</v>
      </c>
      <c r="L14" s="892">
        <v>601</v>
      </c>
      <c r="M14" s="892">
        <v>783</v>
      </c>
      <c r="N14" s="23" t="str">
        <f>D14&amp;FIXED(MOD(F14,10),0)</f>
        <v>hh77</v>
      </c>
      <c r="O14" s="78" t="str">
        <f>MID(A$5,((FIND(N14,A$4,1)-1)+1),4)</f>
        <v>d7eb</v>
      </c>
      <c r="P14" s="76" t="s">
        <v>0</v>
      </c>
      <c r="Q14" s="76" t="s">
        <v>0</v>
      </c>
      <c r="R14" s="76" t="s">
        <v>0</v>
      </c>
      <c r="S14" s="29" t="s">
        <v>0</v>
      </c>
      <c r="T14" s="42" t="s">
        <v>1</v>
      </c>
    </row>
    <row r="15" spans="1:20" ht="12.75">
      <c r="A15" s="65">
        <v>911</v>
      </c>
      <c r="B15" s="950">
        <v>1822</v>
      </c>
      <c r="C15" s="950">
        <v>829921</v>
      </c>
      <c r="D15" s="950" t="s">
        <v>2490</v>
      </c>
      <c r="E15" s="115">
        <f>B15-MOD(E$1-A15*3,B15)</f>
        <v>621</v>
      </c>
      <c r="F15" s="644">
        <f>IF(MOD(E15,5)=0,B15,0)+E15</f>
        <v>621</v>
      </c>
      <c r="G15" s="814">
        <f>IF(MOD(F15+$B15,5)=0,$B15,0)+$B15+F15</f>
        <v>2443</v>
      </c>
      <c r="H15" s="814">
        <f>IF(MOD(G15+$B15,5)=0,$B15,0)+$B15+G15</f>
        <v>6087</v>
      </c>
      <c r="I15" s="814">
        <f>IF(MOD(H15+$B15,5)=0,$B15,0)+$B15+H15</f>
        <v>7909</v>
      </c>
      <c r="J15" s="911">
        <v>62</v>
      </c>
      <c r="K15" s="892">
        <v>244</v>
      </c>
      <c r="L15" s="892">
        <v>608</v>
      </c>
      <c r="M15" s="892">
        <v>790</v>
      </c>
      <c r="N15" s="23" t="str">
        <f>D15&amp;FIXED(MOD(F15,10),0)</f>
        <v>hh11</v>
      </c>
      <c r="O15" s="78" t="str">
        <f>MID(A$5,((FIND(N15,A$4,1)-1)+1),4)</f>
        <v>7bde</v>
      </c>
      <c r="P15" s="76" t="s">
        <v>0</v>
      </c>
      <c r="Q15" s="76" t="s">
        <v>0</v>
      </c>
      <c r="R15" s="76" t="s">
        <v>0</v>
      </c>
      <c r="S15" s="29" t="s">
        <v>0</v>
      </c>
      <c r="T15" s="42" t="s">
        <v>1</v>
      </c>
    </row>
    <row r="16" spans="1:20" ht="12.75">
      <c r="A16" s="65">
        <v>919</v>
      </c>
      <c r="B16" s="950">
        <v>1838</v>
      </c>
      <c r="C16" s="950">
        <v>844561</v>
      </c>
      <c r="D16" s="950" t="s">
        <v>2506</v>
      </c>
      <c r="E16" s="115">
        <f>B16-MOD(E$1-A16*3,B16)</f>
        <v>57</v>
      </c>
      <c r="F16" s="644">
        <f>IF(MOD(E16,5)=0,B16,0)+E16</f>
        <v>57</v>
      </c>
      <c r="G16" s="814">
        <f>IF(MOD(F16+$B16,5)=0,$B16,0)+$B16+F16</f>
        <v>3733</v>
      </c>
      <c r="H16" s="814">
        <f>IF(MOD(G16+$B16,5)=0,$B16,0)+$B16+G16</f>
        <v>5571</v>
      </c>
      <c r="I16" s="814">
        <f>IF(MOD(H16+$B16,5)=0,$B16,0)+$B16+H16</f>
        <v>7409</v>
      </c>
      <c r="J16" s="911">
        <v>5</v>
      </c>
      <c r="K16" s="892">
        <v>373</v>
      </c>
      <c r="L16" s="892">
        <v>557</v>
      </c>
      <c r="M16" s="892">
        <v>740</v>
      </c>
      <c r="N16" s="23" t="str">
        <f>D16&amp;FIXED(MOD(F16,10),0)</f>
        <v>hh97</v>
      </c>
      <c r="O16" s="78" t="str">
        <f>MID(A$5,((FIND(N16,A$4,1)-1)+1),4)</f>
        <v>db7e</v>
      </c>
      <c r="P16" s="76" t="s">
        <v>0</v>
      </c>
      <c r="Q16" s="76" t="s">
        <v>0</v>
      </c>
      <c r="R16" s="76" t="s">
        <v>0</v>
      </c>
      <c r="S16" s="29" t="s">
        <v>0</v>
      </c>
      <c r="T16" s="42" t="s">
        <v>1</v>
      </c>
    </row>
    <row r="17" spans="1:20" ht="12.75">
      <c r="A17" s="65">
        <v>929</v>
      </c>
      <c r="B17" s="950">
        <v>1858</v>
      </c>
      <c r="C17" s="950">
        <v>863041</v>
      </c>
      <c r="D17" s="950" t="s">
        <v>2506</v>
      </c>
      <c r="E17" s="115">
        <f>B17-MOD(E$1-A17*3,B17)</f>
        <v>1307</v>
      </c>
      <c r="F17" s="644">
        <f>IF(MOD(E17,5)=0,B17,0)+E17</f>
        <v>1307</v>
      </c>
      <c r="G17" s="814">
        <f>IF(MOD(F17+$B17,5)=0,$B17,0)+$B17+F17</f>
        <v>5023</v>
      </c>
      <c r="H17" s="814">
        <f>IF(MOD(G17+$B17,5)=0,$B17,0)+$B17+G17</f>
        <v>6881</v>
      </c>
      <c r="I17" s="814">
        <f>IF(MOD(H17+$B17,5)=0,$B17,0)+$B17+H17</f>
        <v>8739</v>
      </c>
      <c r="J17" s="911">
        <v>130</v>
      </c>
      <c r="K17" s="892">
        <v>502</v>
      </c>
      <c r="L17" s="892">
        <v>688</v>
      </c>
      <c r="M17" s="892">
        <v>873</v>
      </c>
      <c r="N17" s="23" t="str">
        <f>D17&amp;FIXED(MOD(F17,10),0)</f>
        <v>hh97</v>
      </c>
      <c r="O17" s="78" t="str">
        <f>MID(A$5,((FIND(N17,A$4,1)-1)+1),4)</f>
        <v>db7e</v>
      </c>
      <c r="P17" s="76" t="s">
        <v>0</v>
      </c>
      <c r="Q17" s="76" t="s">
        <v>0</v>
      </c>
      <c r="R17" s="76" t="s">
        <v>0</v>
      </c>
      <c r="S17" s="29" t="s">
        <v>0</v>
      </c>
      <c r="T17" s="42" t="s">
        <v>1</v>
      </c>
    </row>
    <row r="18" spans="1:20" ht="12.75">
      <c r="A18" s="65">
        <v>937</v>
      </c>
      <c r="B18" s="950">
        <v>1874</v>
      </c>
      <c r="C18" s="950">
        <v>877969</v>
      </c>
      <c r="D18" s="950" t="s">
        <v>2501</v>
      </c>
      <c r="E18" s="115">
        <f>B18-MOD(E$1-A18*3,B18)</f>
        <v>63</v>
      </c>
      <c r="F18" s="644">
        <f>IF(MOD(E18,5)=0,B18,0)+E18</f>
        <v>63</v>
      </c>
      <c r="G18" s="814">
        <f>IF(MOD(F18+$B18,5)=0,$B18,0)+$B18+F18</f>
        <v>1937</v>
      </c>
      <c r="H18" s="814">
        <f>IF(MOD(G18+$B18,5)=0,$B18,0)+$B18+G18</f>
        <v>3811</v>
      </c>
      <c r="I18" s="814">
        <f>IF(MOD(H18+$B18,5)=0,$B18,0)+$B18+H18</f>
        <v>7559</v>
      </c>
      <c r="J18" s="911">
        <v>6</v>
      </c>
      <c r="K18" s="892">
        <v>193</v>
      </c>
      <c r="L18" s="892">
        <v>381</v>
      </c>
      <c r="M18" s="892">
        <v>755</v>
      </c>
      <c r="N18" s="23" t="str">
        <f>D18&amp;FIXED(MOD(F18,10),0)</f>
        <v>hh73</v>
      </c>
      <c r="O18" s="78" t="str">
        <f>MID(A$5,((FIND(N18,A$4,1)-1)+1),4)</f>
        <v>bd7e</v>
      </c>
      <c r="P18" s="76" t="s">
        <v>0</v>
      </c>
      <c r="Q18" s="76" t="s">
        <v>0</v>
      </c>
      <c r="R18" s="76" t="s">
        <v>0</v>
      </c>
      <c r="S18" s="29" t="s">
        <v>0</v>
      </c>
      <c r="T18" s="42" t="s">
        <v>1</v>
      </c>
    </row>
    <row r="19" spans="1:20" ht="12.75">
      <c r="A19" s="65">
        <v>941</v>
      </c>
      <c r="B19" s="950">
        <v>1882</v>
      </c>
      <c r="C19" s="950">
        <v>885481</v>
      </c>
      <c r="D19" s="950" t="s">
        <v>2490</v>
      </c>
      <c r="E19" s="115">
        <f>B19-MOD(E$1-A19*3,B19)</f>
        <v>463</v>
      </c>
      <c r="F19" s="644">
        <f>IF(MOD(E19,5)=0,B19,0)+E19</f>
        <v>463</v>
      </c>
      <c r="G19" s="814">
        <f>IF(MOD(F19+$B19,5)=0,$B19,0)+$B19+F19</f>
        <v>4227</v>
      </c>
      <c r="H19" s="814">
        <f>IF(MOD(G19+$B19,5)=0,$B19,0)+$B19+G19</f>
        <v>6109</v>
      </c>
      <c r="I19" s="814">
        <f>IF(MOD(H19+$B19,5)=0,$B19,0)+$B19+H19</f>
        <v>7991</v>
      </c>
      <c r="J19" s="911">
        <v>46</v>
      </c>
      <c r="K19" s="892">
        <v>422</v>
      </c>
      <c r="L19" s="892">
        <v>610</v>
      </c>
      <c r="M19" s="892">
        <v>799</v>
      </c>
      <c r="N19" s="23" t="str">
        <f>D19&amp;FIXED(MOD(F19,10),0)</f>
        <v>hh13</v>
      </c>
      <c r="O19" s="78" t="str">
        <f>MID(A$5,((FIND(N19,A$4,1)-1)+1),4)</f>
        <v>bde7</v>
      </c>
      <c r="P19" s="76" t="s">
        <v>0</v>
      </c>
      <c r="Q19" s="76" t="s">
        <v>0</v>
      </c>
      <c r="R19" s="76" t="s">
        <v>0</v>
      </c>
      <c r="S19" s="29" t="s">
        <v>0</v>
      </c>
      <c r="T19" s="42" t="s">
        <v>1</v>
      </c>
    </row>
    <row r="20" spans="1:20" ht="12.75">
      <c r="A20" s="65">
        <v>947</v>
      </c>
      <c r="B20" s="950">
        <v>1894</v>
      </c>
      <c r="C20" s="950">
        <v>896809</v>
      </c>
      <c r="D20" s="950" t="s">
        <v>2501</v>
      </c>
      <c r="E20" s="115">
        <f>B20-MOD(E$1-A20*3,B20)</f>
        <v>557</v>
      </c>
      <c r="F20" s="644">
        <f>IF(MOD(E20,5)=0,B20,0)+E20</f>
        <v>557</v>
      </c>
      <c r="G20" s="814">
        <f>IF(MOD(F20+$B20,5)=0,$B20,0)+$B20+F20</f>
        <v>2451</v>
      </c>
      <c r="H20" s="814">
        <f>IF(MOD(G20+$B20,5)=0,$B20,0)+$B20+G20</f>
        <v>6239</v>
      </c>
      <c r="I20" s="814">
        <f>IF(MOD(H20+$B20,5)=0,$B20,0)+$B20+H20</f>
        <v>8133</v>
      </c>
      <c r="J20" s="911">
        <v>55</v>
      </c>
      <c r="K20" s="892">
        <v>245</v>
      </c>
      <c r="L20" s="892">
        <v>623</v>
      </c>
      <c r="M20" s="892">
        <v>813</v>
      </c>
      <c r="N20" s="23" t="str">
        <f>D20&amp;FIXED(MOD(F20,10),0)</f>
        <v>hh77</v>
      </c>
      <c r="O20" s="78" t="str">
        <f>MID(A$5,((FIND(N20,A$4,1)-1)+1),4)</f>
        <v>d7eb</v>
      </c>
      <c r="P20" s="76" t="s">
        <v>0</v>
      </c>
      <c r="Q20" s="76" t="s">
        <v>0</v>
      </c>
      <c r="R20" s="76" t="s">
        <v>0</v>
      </c>
      <c r="S20" s="29" t="s">
        <v>0</v>
      </c>
      <c r="T20" s="42" t="s">
        <v>1</v>
      </c>
    </row>
    <row r="21" spans="1:20" ht="12.75">
      <c r="A21" s="65">
        <v>953</v>
      </c>
      <c r="B21" s="950">
        <v>1906</v>
      </c>
      <c r="C21" s="950">
        <v>908209</v>
      </c>
      <c r="D21" s="950" t="s">
        <v>2496</v>
      </c>
      <c r="E21" s="115">
        <f>B21-MOD(E$1-A21*3,B21)</f>
        <v>387</v>
      </c>
      <c r="F21" s="644">
        <f>IF(MOD(E21,5)=0,B21,0)+E21</f>
        <v>387</v>
      </c>
      <c r="G21" s="814">
        <f>IF(MOD(F21+$B21,5)=0,$B21,0)+$B21+F21</f>
        <v>2293</v>
      </c>
      <c r="H21" s="814">
        <f>IF(MOD(G21+$B21,5)=0,$B21,0)+$B21+G21</f>
        <v>4199</v>
      </c>
      <c r="I21" s="814">
        <f>IF(MOD(H21+$B21,5)=0,$B21,0)+$B21+H21</f>
        <v>8011</v>
      </c>
      <c r="J21" s="911">
        <v>38</v>
      </c>
      <c r="K21" s="892">
        <v>229</v>
      </c>
      <c r="L21" s="892">
        <v>419</v>
      </c>
      <c r="M21" s="892">
        <v>801</v>
      </c>
      <c r="N21" s="23" t="str">
        <f>D21&amp;FIXED(MOD(F21,10),0)</f>
        <v>hh37</v>
      </c>
      <c r="O21" s="78" t="str">
        <f>MID(A$5,((FIND(N21,A$4,1)-1)+1),4)</f>
        <v>dbe7</v>
      </c>
      <c r="P21" s="76" t="s">
        <v>0</v>
      </c>
      <c r="Q21" s="76" t="s">
        <v>0</v>
      </c>
      <c r="R21" s="76" t="s">
        <v>0</v>
      </c>
      <c r="S21" s="29" t="s">
        <v>0</v>
      </c>
      <c r="T21" s="42" t="s">
        <v>1</v>
      </c>
    </row>
    <row r="22" spans="1:20" ht="12.75">
      <c r="A22" s="65">
        <v>967</v>
      </c>
      <c r="B22" s="950">
        <v>1934</v>
      </c>
      <c r="C22" s="950">
        <v>935089</v>
      </c>
      <c r="D22" s="950" t="s">
        <v>2501</v>
      </c>
      <c r="E22" s="115">
        <f>B22-MOD(E$1-A22*3,B22)</f>
        <v>1751</v>
      </c>
      <c r="F22" s="644">
        <f>IF(MOD(E22,5)=0,B22,0)+E22</f>
        <v>1751</v>
      </c>
      <c r="G22" s="814">
        <f>IF(MOD(F22+$B22,5)=0,$B22,0)+$B22+F22</f>
        <v>5619</v>
      </c>
      <c r="H22" s="814">
        <f>IF(MOD(G22+$B22,5)=0,$B22,0)+$B22+G22</f>
        <v>7553</v>
      </c>
      <c r="I22" s="814">
        <f>IF(MOD(H22+$B22,5)=0,$B22,0)+$B22+H22</f>
        <v>9487</v>
      </c>
      <c r="J22" s="911">
        <v>175</v>
      </c>
      <c r="K22" s="892">
        <v>561</v>
      </c>
      <c r="L22" s="892">
        <v>755</v>
      </c>
      <c r="M22" s="892">
        <v>948</v>
      </c>
      <c r="N22" s="23" t="str">
        <f>D22&amp;FIXED(MOD(F22,10),0)</f>
        <v>hh71</v>
      </c>
      <c r="O22" s="78" t="str">
        <f>MID(A$5,((FIND(N22,A$4,1)-1)+1),4)</f>
        <v>7ebd</v>
      </c>
      <c r="P22" s="76" t="s">
        <v>0</v>
      </c>
      <c r="Q22" s="76" t="s">
        <v>0</v>
      </c>
      <c r="R22" s="76" t="s">
        <v>0</v>
      </c>
      <c r="S22" s="29" t="s">
        <v>0</v>
      </c>
      <c r="T22" s="42" t="s">
        <v>1</v>
      </c>
    </row>
    <row r="23" spans="1:20" ht="12.75">
      <c r="A23" s="65">
        <v>971</v>
      </c>
      <c r="B23" s="950">
        <v>1942</v>
      </c>
      <c r="C23" s="950">
        <v>942841</v>
      </c>
      <c r="D23" s="950" t="s">
        <v>2490</v>
      </c>
      <c r="E23" s="115">
        <f>B23-MOD(E$1-A23*3,B23)</f>
        <v>1867</v>
      </c>
      <c r="F23" s="644">
        <f>IF(MOD(E23,5)=0,B23,0)+E23</f>
        <v>1867</v>
      </c>
      <c r="G23" s="814">
        <f>IF(MOD(F23+$B23,5)=0,$B23,0)+$B23+F23</f>
        <v>3809</v>
      </c>
      <c r="H23" s="814">
        <f>IF(MOD(G23+$B23,5)=0,$B23,0)+$B23+G23</f>
        <v>5751</v>
      </c>
      <c r="I23" s="814">
        <f>IF(MOD(H23+$B23,5)=0,$B23,0)+$B23+H23</f>
        <v>7693</v>
      </c>
      <c r="J23" s="911">
        <v>186</v>
      </c>
      <c r="K23" s="892">
        <v>380</v>
      </c>
      <c r="L23" s="892">
        <v>575</v>
      </c>
      <c r="M23" s="892">
        <v>769</v>
      </c>
      <c r="N23" s="23" t="str">
        <f>D23&amp;FIXED(MOD(F23,10),0)</f>
        <v>hh17</v>
      </c>
      <c r="O23" s="78" t="str">
        <f>MID(A$5,((FIND(N23,A$4,1)-1)+1),4)</f>
        <v>de7b</v>
      </c>
      <c r="P23" s="76" t="s">
        <v>0</v>
      </c>
      <c r="Q23" s="76" t="s">
        <v>0</v>
      </c>
      <c r="R23" s="76" t="s">
        <v>0</v>
      </c>
      <c r="S23" s="29" t="s">
        <v>0</v>
      </c>
      <c r="T23" s="42" t="s">
        <v>1</v>
      </c>
    </row>
    <row r="24" spans="1:20" ht="12.75">
      <c r="A24" s="65">
        <v>977</v>
      </c>
      <c r="B24" s="950">
        <v>1954</v>
      </c>
      <c r="C24" s="950">
        <v>954529</v>
      </c>
      <c r="D24" s="950" t="s">
        <v>2501</v>
      </c>
      <c r="E24" s="115">
        <f>B24-MOD(E$1-A24*3,B24)</f>
        <v>767</v>
      </c>
      <c r="F24" s="644">
        <f>IF(MOD(E24,5)=0,B24,0)+E24</f>
        <v>767</v>
      </c>
      <c r="G24" s="814">
        <f>IF(MOD(F24+$B24,5)=0,$B24,0)+$B24+F24</f>
        <v>2721</v>
      </c>
      <c r="H24" s="814">
        <f>IF(MOD(G24+$B24,5)=0,$B24,0)+$B24+G24</f>
        <v>6629</v>
      </c>
      <c r="I24" s="814">
        <f>IF(MOD(H24+$B24,5)=0,$B24,0)+$B24+H24</f>
        <v>8583</v>
      </c>
      <c r="J24" s="911">
        <v>76</v>
      </c>
      <c r="K24" s="892">
        <v>272</v>
      </c>
      <c r="L24" s="892">
        <v>662</v>
      </c>
      <c r="M24" s="892">
        <v>858</v>
      </c>
      <c r="N24" s="23" t="str">
        <f>D24&amp;FIXED(MOD(F24,10),0)</f>
        <v>hh77</v>
      </c>
      <c r="O24" s="78" t="str">
        <f>MID(A$5,((FIND(N24,A$4,1)-1)+1),4)</f>
        <v>d7eb</v>
      </c>
      <c r="P24" s="76" t="s">
        <v>0</v>
      </c>
      <c r="Q24" s="76" t="s">
        <v>0</v>
      </c>
      <c r="R24" s="76" t="s">
        <v>0</v>
      </c>
      <c r="S24" s="29" t="s">
        <v>0</v>
      </c>
      <c r="T24" s="42" t="s">
        <v>1</v>
      </c>
    </row>
    <row r="25" spans="1:20" ht="12.75">
      <c r="A25" s="65">
        <v>983</v>
      </c>
      <c r="B25" s="950">
        <v>1966</v>
      </c>
      <c r="C25" s="950">
        <v>966289</v>
      </c>
      <c r="D25" s="950" t="s">
        <v>2496</v>
      </c>
      <c r="E25" s="115">
        <f>B25-MOD(E$1-A25*3,B25)</f>
        <v>1319</v>
      </c>
      <c r="F25" s="644">
        <f>IF(MOD(E25,5)=0,B25,0)+E25</f>
        <v>1319</v>
      </c>
      <c r="G25" s="814">
        <f>IF(MOD(F25+$B25,5)=0,$B25,0)+$B25+F25</f>
        <v>5251</v>
      </c>
      <c r="H25" s="814">
        <f>IF(MOD(G25+$B25,5)=0,$B25,0)+$B25+G25</f>
        <v>7217</v>
      </c>
      <c r="I25" s="814">
        <f>IF(MOD(H25+$B25,5)=0,$B25,0)+$B25+H25</f>
        <v>9183</v>
      </c>
      <c r="J25" s="911">
        <v>131</v>
      </c>
      <c r="K25" s="892">
        <v>525</v>
      </c>
      <c r="L25" s="892">
        <v>721</v>
      </c>
      <c r="M25" s="892">
        <v>918</v>
      </c>
      <c r="N25" s="23" t="str">
        <f>D25&amp;FIXED(MOD(F25,10),0)</f>
        <v>hh39</v>
      </c>
      <c r="O25" s="78" t="str">
        <f>MID(A$5,((FIND(N25,A$4,1)-1)+1),4)</f>
        <v>e7db</v>
      </c>
      <c r="P25" s="76" t="s">
        <v>0</v>
      </c>
      <c r="Q25" s="76" t="s">
        <v>0</v>
      </c>
      <c r="R25" s="76" t="s">
        <v>0</v>
      </c>
      <c r="S25" s="29" t="s">
        <v>0</v>
      </c>
      <c r="T25" s="42" t="s">
        <v>1</v>
      </c>
    </row>
    <row r="26" spans="1:20" ht="12.75">
      <c r="A26" s="65">
        <v>991</v>
      </c>
      <c r="B26" s="950">
        <v>1982</v>
      </c>
      <c r="C26" s="950">
        <v>982081</v>
      </c>
      <c r="D26" s="950" t="s">
        <v>2490</v>
      </c>
      <c r="E26" s="115">
        <f>B26-MOD(E$1-A26*3,B26)</f>
        <v>1695</v>
      </c>
      <c r="F26" s="644">
        <f>IF(MOD(E26,5)=0,B26,0)+E26</f>
        <v>3677</v>
      </c>
      <c r="G26" s="814">
        <f>IF(MOD(F26+$B26,5)=0,$B26,0)+$B26+F26</f>
        <v>5659</v>
      </c>
      <c r="H26" s="814">
        <f>IF(MOD(G26+$B26,5)=0,$B26,0)+$B26+G26</f>
        <v>7641</v>
      </c>
      <c r="I26" s="814">
        <f>IF(MOD(H26+$B26,5)=0,$B26,0)+$B26+H26</f>
        <v>9623</v>
      </c>
      <c r="J26" s="911">
        <v>367</v>
      </c>
      <c r="K26" s="892">
        <v>565</v>
      </c>
      <c r="L26" s="892">
        <v>764</v>
      </c>
      <c r="M26" s="892">
        <v>962</v>
      </c>
      <c r="N26" s="23" t="str">
        <f>D26&amp;FIXED(MOD(F26,10),0)</f>
        <v>hh17</v>
      </c>
      <c r="O26" s="78" t="str">
        <f>MID(A$5,((FIND(N26,A$4,1)-1)+1),4)</f>
        <v>de7b</v>
      </c>
      <c r="P26" s="76" t="s">
        <v>0</v>
      </c>
      <c r="Q26" s="76" t="s">
        <v>0</v>
      </c>
      <c r="R26" s="76" t="s">
        <v>0</v>
      </c>
      <c r="S26" s="29" t="s">
        <v>0</v>
      </c>
      <c r="T26" s="42" t="s">
        <v>1</v>
      </c>
    </row>
    <row r="27" spans="1:20" ht="12.75">
      <c r="A27" s="65">
        <v>997</v>
      </c>
      <c r="B27" s="950">
        <v>1994</v>
      </c>
      <c r="C27" s="950">
        <v>994009</v>
      </c>
      <c r="D27" s="950" t="s">
        <v>2501</v>
      </c>
      <c r="E27" s="115">
        <f>B27-MOD(E$1-A27*3,B27)</f>
        <v>1727</v>
      </c>
      <c r="F27" s="644">
        <f>IF(MOD(E27,5)=0,B27,0)+E27</f>
        <v>1727</v>
      </c>
      <c r="G27" s="814">
        <f>IF(MOD(F27+$B27,5)=0,$B27,0)+$B27+F27</f>
        <v>3721</v>
      </c>
      <c r="H27" s="814">
        <f>IF(MOD(G27+$B27,5)=0,$B27,0)+$B27+G27</f>
        <v>7709</v>
      </c>
      <c r="I27" s="814">
        <f>IF(MOD(H27+$B27,5)=0,$B27,0)+$B27+H27</f>
        <v>9703</v>
      </c>
      <c r="J27" s="911">
        <v>172</v>
      </c>
      <c r="K27" s="892">
        <v>372</v>
      </c>
      <c r="L27" s="892">
        <v>770</v>
      </c>
      <c r="M27" s="892">
        <v>970</v>
      </c>
      <c r="N27" s="23" t="str">
        <f>D27&amp;FIXED(MOD(F27,10),0)</f>
        <v>hh77</v>
      </c>
      <c r="O27" s="78" t="str">
        <f>MID(A$5,((FIND(N27,A$4,1)-1)+1),4)</f>
        <v>d7eb</v>
      </c>
      <c r="P27" s="76" t="s">
        <v>0</v>
      </c>
      <c r="Q27" s="76" t="s">
        <v>0</v>
      </c>
      <c r="R27" s="76" t="s">
        <v>0</v>
      </c>
      <c r="S27" s="29" t="s">
        <v>0</v>
      </c>
      <c r="T27" s="42" t="s">
        <v>1</v>
      </c>
    </row>
    <row r="28" spans="1:20" ht="12.75">
      <c r="A28" s="65">
        <v>1009</v>
      </c>
      <c r="B28" s="950">
        <v>2018</v>
      </c>
      <c r="C28" s="950">
        <v>1018081</v>
      </c>
      <c r="D28" s="950" t="s">
        <v>2506</v>
      </c>
      <c r="E28" s="115">
        <f>B28-MOD(E$1-A28*3,B28)</f>
        <v>545</v>
      </c>
      <c r="F28" s="644">
        <f>IF(MOD(E28,5)=0,B28,0)+E28</f>
        <v>2563</v>
      </c>
      <c r="G28" s="814">
        <f>IF(MOD(F28+$B28,5)=0,$B28,0)+$B28+F28</f>
        <v>4581</v>
      </c>
      <c r="H28" s="814">
        <f>IF(MOD(G28+$B28,5)=0,$B28,0)+$B28+G28</f>
        <v>6599</v>
      </c>
      <c r="I28" s="814">
        <f>IF(MOD(H28+$B28,5)=0,$B28,0)+$B28+H28</f>
        <v>8617</v>
      </c>
      <c r="J28" s="911">
        <v>256</v>
      </c>
      <c r="K28" s="892">
        <v>458</v>
      </c>
      <c r="L28" s="892">
        <v>659</v>
      </c>
      <c r="M28" s="892">
        <v>861</v>
      </c>
      <c r="N28" s="23" t="str">
        <f>D28&amp;FIXED(MOD(F28,10),0)</f>
        <v>hh93</v>
      </c>
      <c r="O28" s="78" t="str">
        <f>MID(A$5,((FIND(N28,A$4,1)-1)+1),4)</f>
        <v>b7ed</v>
      </c>
      <c r="P28" s="76" t="s">
        <v>0</v>
      </c>
      <c r="Q28" s="76" t="s">
        <v>0</v>
      </c>
      <c r="R28" s="76" t="s">
        <v>0</v>
      </c>
      <c r="S28" s="29" t="s">
        <v>0</v>
      </c>
      <c r="T28" s="42" t="s">
        <v>1</v>
      </c>
    </row>
    <row r="29" spans="1:20" ht="12.75">
      <c r="A29" s="65">
        <v>1013</v>
      </c>
      <c r="B29" s="950">
        <v>2026</v>
      </c>
      <c r="C29" s="950">
        <v>1026169</v>
      </c>
      <c r="D29" s="950" t="s">
        <v>2496</v>
      </c>
      <c r="E29" s="115">
        <f>B29-MOD(E$1-A29*3,B29)</f>
        <v>385</v>
      </c>
      <c r="F29" s="644">
        <f>IF(MOD(E29,5)=0,B29,0)+E29</f>
        <v>2411</v>
      </c>
      <c r="G29" s="814">
        <f>IF(MOD(F29+$B29,5)=0,$B29,0)+$B29+F29</f>
        <v>4437</v>
      </c>
      <c r="H29" s="814">
        <f>IF(MOD(G29+$B29,5)=0,$B29,0)+$B29+G29</f>
        <v>6463</v>
      </c>
      <c r="I29" s="814">
        <f>IF(MOD(H29+$B29,5)=0,$B29,0)+$B29+H29</f>
        <v>8489</v>
      </c>
      <c r="J29" s="911">
        <v>241</v>
      </c>
      <c r="K29" s="892">
        <v>443</v>
      </c>
      <c r="L29" s="892">
        <v>646</v>
      </c>
      <c r="M29" s="892">
        <v>848</v>
      </c>
      <c r="N29" s="23" t="str">
        <f>D29&amp;FIXED(MOD(F29,10),0)</f>
        <v>hh31</v>
      </c>
      <c r="O29" s="78" t="str">
        <f>MID(A$5,((FIND(N29,A$4,1)-1)+1),4)</f>
        <v>7dbe</v>
      </c>
      <c r="P29" s="76" t="s">
        <v>0</v>
      </c>
      <c r="Q29" s="76" t="s">
        <v>0</v>
      </c>
      <c r="R29" s="76" t="s">
        <v>0</v>
      </c>
      <c r="S29" s="29" t="s">
        <v>0</v>
      </c>
      <c r="T29" s="42" t="s">
        <v>1</v>
      </c>
    </row>
    <row r="30" spans="1:20" ht="12.75">
      <c r="A30" s="65">
        <v>1019</v>
      </c>
      <c r="B30" s="950">
        <v>2038</v>
      </c>
      <c r="C30" s="950">
        <v>1038361</v>
      </c>
      <c r="D30" s="950" t="s">
        <v>2506</v>
      </c>
      <c r="E30" s="115">
        <f>B30-MOD(E$1-A30*3,B30)</f>
        <v>1593</v>
      </c>
      <c r="F30" s="644">
        <f>IF(MOD(E30,5)=0,B30,0)+E30</f>
        <v>1593</v>
      </c>
      <c r="G30" s="814">
        <f>IF(MOD(F30+$B30,5)=0,$B30,0)+$B30+F30</f>
        <v>3631</v>
      </c>
      <c r="H30" s="814">
        <f>IF(MOD(G30+$B30,5)=0,$B30,0)+$B30+G30</f>
        <v>5669</v>
      </c>
      <c r="I30" s="814">
        <f>IF(MOD(H30+$B30,5)=0,$B30,0)+$B30+H30</f>
        <v>7707</v>
      </c>
      <c r="J30" s="911">
        <v>159</v>
      </c>
      <c r="K30" s="892">
        <v>363</v>
      </c>
      <c r="L30" s="892">
        <v>566</v>
      </c>
      <c r="M30" s="892">
        <v>770</v>
      </c>
      <c r="N30" s="23" t="str">
        <f>D30&amp;FIXED(MOD(F30,10),0)</f>
        <v>hh93</v>
      </c>
      <c r="O30" s="78" t="str">
        <f>MID(A$5,((FIND(N30,A$4,1)-1)+1),4)</f>
        <v>b7ed</v>
      </c>
      <c r="P30" s="76" t="s">
        <v>0</v>
      </c>
      <c r="Q30" s="76" t="s">
        <v>0</v>
      </c>
      <c r="R30" s="76" t="s">
        <v>0</v>
      </c>
      <c r="S30" s="29" t="s">
        <v>0</v>
      </c>
      <c r="T30" s="42" t="s">
        <v>1</v>
      </c>
    </row>
    <row r="31" spans="1:20" ht="12.75">
      <c r="A31" s="65">
        <v>1021</v>
      </c>
      <c r="B31" s="950">
        <v>2042</v>
      </c>
      <c r="C31" s="950">
        <v>1042441</v>
      </c>
      <c r="D31" s="950" t="s">
        <v>2490</v>
      </c>
      <c r="E31" s="115">
        <f>B31-MOD(E$1-A31*3,B31)</f>
        <v>1263</v>
      </c>
      <c r="F31" s="644">
        <f>IF(MOD(E31,5)=0,B31,0)+E31</f>
        <v>1263</v>
      </c>
      <c r="G31" s="814">
        <f>IF(MOD(F31+$B31,5)=0,$B31,0)+$B31+F31</f>
        <v>5347</v>
      </c>
      <c r="H31" s="814">
        <f>IF(MOD(G31+$B31,5)=0,$B31,0)+$B31+G31</f>
        <v>7389</v>
      </c>
      <c r="I31" s="814">
        <f>IF(MOD(H31+$B31,5)=0,$B31,0)+$B31+H31</f>
        <v>9431</v>
      </c>
      <c r="J31" s="911">
        <v>126</v>
      </c>
      <c r="K31" s="892">
        <v>534</v>
      </c>
      <c r="L31" s="892">
        <v>738</v>
      </c>
      <c r="M31" s="892">
        <v>943</v>
      </c>
      <c r="N31" s="23" t="str">
        <f>D31&amp;FIXED(MOD(F31,10),0)</f>
        <v>hh13</v>
      </c>
      <c r="O31" s="78" t="str">
        <f>MID(A$5,((FIND(N31,A$4,1)-1)+1),4)</f>
        <v>bde7</v>
      </c>
      <c r="P31" s="76" t="s">
        <v>0</v>
      </c>
      <c r="Q31" s="76" t="s">
        <v>0</v>
      </c>
      <c r="R31" s="76" t="s">
        <v>0</v>
      </c>
      <c r="S31" s="29" t="s">
        <v>0</v>
      </c>
      <c r="T31" s="42" t="s">
        <v>1</v>
      </c>
    </row>
    <row r="32" spans="1:20" ht="12.75">
      <c r="A32" s="65">
        <v>1031</v>
      </c>
      <c r="B32" s="950">
        <v>2062</v>
      </c>
      <c r="C32" s="950">
        <v>1062961</v>
      </c>
      <c r="D32" s="950" t="s">
        <v>2490</v>
      </c>
      <c r="E32" s="115">
        <f>B32-MOD(E$1-A32*3,B32)</f>
        <v>1415</v>
      </c>
      <c r="F32" s="644">
        <f>IF(MOD(E32,5)=0,B32,0)+E32</f>
        <v>3477</v>
      </c>
      <c r="G32" s="814">
        <f>IF(MOD(F32+$B32,5)=0,$B32,0)+$B32+F32</f>
        <v>5539</v>
      </c>
      <c r="H32" s="814">
        <f>IF(MOD(G32+$B32,5)=0,$B32,0)+$B32+G32</f>
        <v>7601</v>
      </c>
      <c r="I32" s="814">
        <f>IF(MOD(H32+$B32,5)=0,$B32,0)+$B32+H32</f>
        <v>9663</v>
      </c>
      <c r="J32" s="911">
        <v>347</v>
      </c>
      <c r="K32" s="892">
        <v>553</v>
      </c>
      <c r="L32" s="892">
        <v>760</v>
      </c>
      <c r="M32" s="892">
        <v>966</v>
      </c>
      <c r="N32" s="23" t="str">
        <f>D32&amp;FIXED(MOD(F32,10),0)</f>
        <v>hh17</v>
      </c>
      <c r="O32" s="78" t="str">
        <f>MID(A$5,((FIND(N32,A$4,1)-1)+1),4)</f>
        <v>de7b</v>
      </c>
      <c r="P32" s="76" t="s">
        <v>0</v>
      </c>
      <c r="Q32" s="76" t="s">
        <v>0</v>
      </c>
      <c r="R32" s="76" t="s">
        <v>0</v>
      </c>
      <c r="S32" s="29" t="s">
        <v>0</v>
      </c>
      <c r="T32" s="42" t="s">
        <v>1</v>
      </c>
    </row>
    <row r="33" spans="1:20" ht="12.75">
      <c r="A33" s="65">
        <v>1033</v>
      </c>
      <c r="B33" s="950">
        <v>2066</v>
      </c>
      <c r="C33" s="950">
        <v>1067089</v>
      </c>
      <c r="D33" s="950" t="s">
        <v>2496</v>
      </c>
      <c r="E33" s="115">
        <f>B33-MOD(E$1-A33*3,B33)</f>
        <v>523</v>
      </c>
      <c r="F33" s="644">
        <f>IF(MOD(E33,5)=0,B33,0)+E33</f>
        <v>523</v>
      </c>
      <c r="G33" s="814">
        <f>IF(MOD(F33+$B33,5)=0,$B33,0)+$B33+F33</f>
        <v>2589</v>
      </c>
      <c r="H33" s="814">
        <f>IF(MOD(G33+$B33,5)=0,$B33,0)+$B33+G33</f>
        <v>6721</v>
      </c>
      <c r="I33" s="814">
        <f>IF(MOD(H33+$B33,5)=0,$B33,0)+$B33+H33</f>
        <v>8787</v>
      </c>
      <c r="J33" s="911">
        <v>52</v>
      </c>
      <c r="K33" s="892">
        <v>258</v>
      </c>
      <c r="L33" s="892">
        <v>672</v>
      </c>
      <c r="M33" s="892">
        <v>878</v>
      </c>
      <c r="N33" s="23" t="str">
        <f>D33&amp;FIXED(MOD(F33,10),0)</f>
        <v>hh33</v>
      </c>
      <c r="O33" s="78" t="str">
        <f>MID(A$5,((FIND(N33,A$4,1)-1)+1),4)</f>
        <v>be7d</v>
      </c>
      <c r="P33" s="76" t="s">
        <v>0</v>
      </c>
      <c r="Q33" s="76" t="s">
        <v>0</v>
      </c>
      <c r="R33" s="76" t="s">
        <v>0</v>
      </c>
      <c r="S33" s="29" t="s">
        <v>0</v>
      </c>
      <c r="T33" s="42" t="s">
        <v>1</v>
      </c>
    </row>
    <row r="34" spans="1:20" ht="12.75">
      <c r="A34" s="65">
        <v>1039</v>
      </c>
      <c r="B34" s="950">
        <v>2078</v>
      </c>
      <c r="C34" s="950">
        <v>1079521</v>
      </c>
      <c r="D34" s="950" t="s">
        <v>2506</v>
      </c>
      <c r="E34" s="115">
        <f>B34-MOD(E$1-A34*3,B34)</f>
        <v>817</v>
      </c>
      <c r="F34" s="644">
        <f>IF(MOD(E34,5)=0,B34,0)+E34</f>
        <v>817</v>
      </c>
      <c r="G34" s="814">
        <f>IF(MOD(F34+$B34,5)=0,$B34,0)+$B34+F34</f>
        <v>4973</v>
      </c>
      <c r="H34" s="814">
        <f>IF(MOD(G34+$B34,5)=0,$B34,0)+$B34+G34</f>
        <v>7051</v>
      </c>
      <c r="I34" s="814">
        <f>IF(MOD(H34+$B34,5)=0,$B34,0)+$B34+H34</f>
        <v>9129</v>
      </c>
      <c r="J34" s="911">
        <v>81</v>
      </c>
      <c r="K34" s="892">
        <v>497</v>
      </c>
      <c r="L34" s="892">
        <v>705</v>
      </c>
      <c r="M34" s="892">
        <v>912</v>
      </c>
      <c r="N34" s="23" t="str">
        <f>D34&amp;FIXED(MOD(F34,10),0)</f>
        <v>hh97</v>
      </c>
      <c r="O34" s="78" t="str">
        <f>MID(A$5,((FIND(N34,A$4,1)-1)+1),4)</f>
        <v>db7e</v>
      </c>
      <c r="P34" s="76" t="s">
        <v>0</v>
      </c>
      <c r="Q34" s="76" t="s">
        <v>0</v>
      </c>
      <c r="R34" s="76" t="s">
        <v>0</v>
      </c>
      <c r="S34" s="29" t="s">
        <v>0</v>
      </c>
      <c r="T34" s="42" t="s">
        <v>1</v>
      </c>
    </row>
    <row r="35" spans="1:20" ht="12.75">
      <c r="A35" s="65">
        <v>1049</v>
      </c>
      <c r="B35" s="950">
        <v>2098</v>
      </c>
      <c r="C35" s="950">
        <v>1100401</v>
      </c>
      <c r="D35" s="950" t="s">
        <v>2506</v>
      </c>
      <c r="E35" s="115">
        <f>B35-MOD(E$1-A35*3,B35)</f>
        <v>343</v>
      </c>
      <c r="F35" s="644">
        <f>IF(MOD(E35,5)=0,B35,0)+E35</f>
        <v>343</v>
      </c>
      <c r="G35" s="814">
        <f>IF(MOD(F35+$B35,5)=0,$B35,0)+$B35+F35</f>
        <v>2441</v>
      </c>
      <c r="H35" s="814">
        <f>IF(MOD(G35+$B35,5)=0,$B35,0)+$B35+G35</f>
        <v>4539</v>
      </c>
      <c r="I35" s="814">
        <f>IF(MOD(H35+$B35,5)=0,$B35,0)+$B35+H35</f>
        <v>6637</v>
      </c>
      <c r="J35" s="911">
        <v>34</v>
      </c>
      <c r="K35" s="892">
        <v>244</v>
      </c>
      <c r="L35" s="892">
        <v>453</v>
      </c>
      <c r="M35" s="892">
        <v>663</v>
      </c>
      <c r="N35" s="23" t="str">
        <f>D35&amp;FIXED(MOD(F35,10),0)</f>
        <v>hh93</v>
      </c>
      <c r="O35" s="78" t="str">
        <f>MID(A$5,((FIND(N35,A$4,1)-1)+1),4)</f>
        <v>b7ed</v>
      </c>
      <c r="P35" s="76" t="s">
        <v>0</v>
      </c>
      <c r="Q35" s="76" t="s">
        <v>0</v>
      </c>
      <c r="R35" s="76" t="s">
        <v>0</v>
      </c>
      <c r="S35" s="29" t="s">
        <v>0</v>
      </c>
      <c r="T35" s="42" t="s">
        <v>1</v>
      </c>
    </row>
    <row r="36" spans="1:20" ht="12.75">
      <c r="A36" s="65">
        <v>1051</v>
      </c>
      <c r="B36" s="950">
        <v>2102</v>
      </c>
      <c r="C36" s="950">
        <v>1104601</v>
      </c>
      <c r="D36" s="950" t="s">
        <v>2490</v>
      </c>
      <c r="E36" s="115">
        <f>B36-MOD(E$1-A36*3,B36)</f>
        <v>1343</v>
      </c>
      <c r="F36" s="644">
        <f>IF(MOD(E36,5)=0,B36,0)+E36</f>
        <v>1343</v>
      </c>
      <c r="G36" s="814">
        <f>IF(MOD(F36+$B36,5)=0,$B36,0)+$B36+F36</f>
        <v>5547</v>
      </c>
      <c r="H36" s="814">
        <f>IF(MOD(G36+$B36,5)=0,$B36,0)+$B36+G36</f>
        <v>7649</v>
      </c>
      <c r="I36" s="814">
        <f>IF(MOD(H36+$B36,5)=0,$B36,0)+$B36+H36</f>
        <v>9751</v>
      </c>
      <c r="J36" s="911">
        <v>134</v>
      </c>
      <c r="K36" s="892">
        <v>554</v>
      </c>
      <c r="L36" s="892">
        <v>764</v>
      </c>
      <c r="M36" s="892">
        <v>975</v>
      </c>
      <c r="N36" s="23" t="str">
        <f>D36&amp;FIXED(MOD(F36,10),0)</f>
        <v>hh13</v>
      </c>
      <c r="O36" s="78" t="str">
        <f>MID(A$5,((FIND(N36,A$4,1)-1)+1),4)</f>
        <v>bde7</v>
      </c>
      <c r="P36" s="76" t="s">
        <v>0</v>
      </c>
      <c r="Q36" s="76" t="s">
        <v>0</v>
      </c>
      <c r="R36" s="76" t="s">
        <v>0</v>
      </c>
      <c r="S36" s="29" t="s">
        <v>0</v>
      </c>
      <c r="T36" s="42" t="s">
        <v>1</v>
      </c>
    </row>
    <row r="37" spans="1:20" ht="12.75">
      <c r="A37" s="65">
        <v>1061</v>
      </c>
      <c r="B37" s="950">
        <v>2122</v>
      </c>
      <c r="C37" s="950">
        <v>1125721</v>
      </c>
      <c r="D37" s="950" t="s">
        <v>2490</v>
      </c>
      <c r="E37" s="115">
        <f>B37-MOD(E$1-A37*3,B37)</f>
        <v>1879</v>
      </c>
      <c r="F37" s="644">
        <f>IF(MOD(E37,5)=0,B37,0)+E37</f>
        <v>1879</v>
      </c>
      <c r="G37" s="814">
        <f>IF(MOD(F37+$B37,5)=0,$B37,0)+$B37+F37</f>
        <v>4001</v>
      </c>
      <c r="H37" s="814">
        <f>IF(MOD(G37+$B37,5)=0,$B37,0)+$B37+G37</f>
        <v>6123</v>
      </c>
      <c r="I37" s="814">
        <f>IF(MOD(H37+$B37,5)=0,$B37,0)+$B37+H37</f>
        <v>10367</v>
      </c>
      <c r="J37" s="911">
        <v>187</v>
      </c>
      <c r="K37" s="892">
        <v>400</v>
      </c>
      <c r="L37" s="892">
        <v>612</v>
      </c>
      <c r="M37" s="892">
        <v>1036</v>
      </c>
      <c r="N37" s="23" t="str">
        <f>D37&amp;FIXED(MOD(F37,10),0)</f>
        <v>hh19</v>
      </c>
      <c r="O37" s="78" t="str">
        <f>MID(A$5,((FIND(N37,A$4,1)-1)+1),4)</f>
        <v>e7bd</v>
      </c>
      <c r="P37" s="76" t="s">
        <v>0</v>
      </c>
      <c r="Q37" s="76" t="s">
        <v>0</v>
      </c>
      <c r="R37" s="76" t="s">
        <v>0</v>
      </c>
      <c r="S37" s="29" t="s">
        <v>0</v>
      </c>
      <c r="T37" s="42" t="s">
        <v>1</v>
      </c>
    </row>
    <row r="38" spans="1:20" ht="12.75">
      <c r="A38" s="65">
        <v>1063</v>
      </c>
      <c r="B38" s="950">
        <v>2126</v>
      </c>
      <c r="C38" s="950">
        <v>1129969</v>
      </c>
      <c r="D38" s="950" t="s">
        <v>2496</v>
      </c>
      <c r="E38" s="115">
        <f>B38-MOD(E$1-A38*3,B38)</f>
        <v>427</v>
      </c>
      <c r="F38" s="644">
        <f>IF(MOD(E38,5)=0,B38,0)+E38</f>
        <v>427</v>
      </c>
      <c r="G38" s="814">
        <f>IF(MOD(F38+$B38,5)=0,$B38,0)+$B38+F38</f>
        <v>2553</v>
      </c>
      <c r="H38" s="814">
        <f>IF(MOD(G38+$B38,5)=0,$B38,0)+$B38+G38</f>
        <v>4679</v>
      </c>
      <c r="I38" s="814">
        <f>IF(MOD(H38+$B38,5)=0,$B38,0)+$B38+H38</f>
        <v>8931</v>
      </c>
      <c r="J38" s="911">
        <v>42</v>
      </c>
      <c r="K38" s="892">
        <v>255</v>
      </c>
      <c r="L38" s="892">
        <v>467</v>
      </c>
      <c r="M38" s="892">
        <v>893</v>
      </c>
      <c r="N38" s="23" t="str">
        <f>D38&amp;FIXED(MOD(F38,10),0)</f>
        <v>hh37</v>
      </c>
      <c r="O38" s="78" t="str">
        <f>MID(A$5,((FIND(N38,A$4,1)-1)+1),4)</f>
        <v>dbe7</v>
      </c>
      <c r="P38" s="76" t="s">
        <v>0</v>
      </c>
      <c r="Q38" s="76" t="s">
        <v>0</v>
      </c>
      <c r="R38" s="76" t="s">
        <v>0</v>
      </c>
      <c r="S38" s="29" t="s">
        <v>0</v>
      </c>
      <c r="T38" s="42" t="s">
        <v>1</v>
      </c>
    </row>
    <row r="39" spans="1:20" ht="12.75">
      <c r="A39" s="44">
        <v>1069</v>
      </c>
      <c r="B39" s="886">
        <v>2138</v>
      </c>
      <c r="C39" s="886">
        <v>1142761</v>
      </c>
      <c r="D39" s="950" t="s">
        <v>2506</v>
      </c>
      <c r="E39" s="115">
        <f>B39-MOD(E$1-A39*3,B39)</f>
        <v>2129</v>
      </c>
      <c r="F39" s="644">
        <f>IF(MOD(E39,5)=0,B39,0)+E39</f>
        <v>2129</v>
      </c>
      <c r="G39" s="814">
        <f>IF(MOD(F39+$B39,5)=0,$B39,0)+$B39+F39</f>
        <v>4267</v>
      </c>
      <c r="H39" s="814">
        <f>IF(MOD(G39+$B39,5)=0,$B39,0)+$B39+G39</f>
        <v>8543</v>
      </c>
      <c r="I39" s="814">
        <f>IF(MOD(H39+$B39,5)=0,$B39,0)+$B39+H39</f>
        <v>10681</v>
      </c>
      <c r="J39" s="911">
        <v>212</v>
      </c>
      <c r="K39" s="892">
        <v>426</v>
      </c>
      <c r="L39" s="892">
        <v>854</v>
      </c>
      <c r="M39" s="892">
        <v>1068</v>
      </c>
      <c r="N39" s="23" t="str">
        <f>D39&amp;FIXED(MOD(F39,10),0)</f>
        <v>hh99</v>
      </c>
      <c r="O39" s="78" t="str">
        <f>MID(A$5,((FIND(N39,A$4,1)-1)+1),4)</f>
        <v>edb7</v>
      </c>
      <c r="P39" s="76" t="s">
        <v>0</v>
      </c>
      <c r="Q39" s="76" t="s">
        <v>0</v>
      </c>
      <c r="R39" s="76" t="s">
        <v>0</v>
      </c>
      <c r="S39" s="29" t="s">
        <v>0</v>
      </c>
      <c r="T39" s="42" t="s">
        <v>1</v>
      </c>
    </row>
    <row r="40" spans="1:20" ht="12.75">
      <c r="A40" s="44">
        <v>1087</v>
      </c>
      <c r="B40" s="886">
        <v>2174</v>
      </c>
      <c r="C40" s="886">
        <v>1181569</v>
      </c>
      <c r="D40" s="950" t="s">
        <v>2501</v>
      </c>
      <c r="E40" s="115">
        <f>B40-MOD(E$1-A40*3,B40)</f>
        <v>1429</v>
      </c>
      <c r="F40" s="644">
        <f>IF(MOD(E40,5)=0,B40,0)+E40</f>
        <v>1429</v>
      </c>
      <c r="G40" s="814">
        <f>IF(MOD(F40+$B40,5)=0,$B40,0)+$B40+F40</f>
        <v>3603</v>
      </c>
      <c r="H40" s="814">
        <f>IF(MOD(G40+$B40,5)=0,$B40,0)+$B40+G40</f>
        <v>5777</v>
      </c>
      <c r="I40" s="814">
        <f>IF(MOD(H40+$B40,5)=0,$B40,0)+$B40+H40</f>
        <v>7951</v>
      </c>
      <c r="J40" s="911">
        <v>142</v>
      </c>
      <c r="K40" s="892">
        <v>360</v>
      </c>
      <c r="L40" s="892">
        <v>577</v>
      </c>
      <c r="M40" s="892">
        <v>795</v>
      </c>
      <c r="N40" s="23" t="str">
        <f>D40&amp;FIXED(MOD(F40,10),0)</f>
        <v>hh79</v>
      </c>
      <c r="O40" s="78" t="str">
        <f>MID(A$5,((FIND(N40,A$4,1)-1)+1),4)</f>
        <v>ebd7</v>
      </c>
      <c r="P40" s="76" t="s">
        <v>0</v>
      </c>
      <c r="Q40" s="76" t="s">
        <v>0</v>
      </c>
      <c r="R40" s="76" t="s">
        <v>0</v>
      </c>
      <c r="S40" s="29" t="s">
        <v>0</v>
      </c>
      <c r="T40" s="42" t="s">
        <v>1</v>
      </c>
    </row>
    <row r="41" spans="1:20" ht="12.75">
      <c r="A41" s="44">
        <v>1091</v>
      </c>
      <c r="B41" s="886">
        <v>2182</v>
      </c>
      <c r="C41" s="886">
        <v>1190281</v>
      </c>
      <c r="D41" s="950" t="s">
        <v>2490</v>
      </c>
      <c r="E41" s="115">
        <f>B41-MOD(E$1-A41*3,B41)</f>
        <v>1603</v>
      </c>
      <c r="F41" s="644">
        <f>IF(MOD(E41,5)=0,B41,0)+E41</f>
        <v>1603</v>
      </c>
      <c r="G41" s="814">
        <f>IF(MOD(F41+$B41,5)=0,$B41,0)+$B41+F41</f>
        <v>5967</v>
      </c>
      <c r="H41" s="814">
        <f>IF(MOD(G41+$B41,5)=0,$B41,0)+$B41+G41</f>
        <v>8149</v>
      </c>
      <c r="I41" s="814">
        <f>IF(MOD(H41+$B41,5)=0,$B41,0)+$B41+H41</f>
        <v>10331</v>
      </c>
      <c r="J41" s="911">
        <v>160</v>
      </c>
      <c r="K41" s="892">
        <v>596</v>
      </c>
      <c r="L41" s="892">
        <v>814</v>
      </c>
      <c r="M41" s="892">
        <v>1033</v>
      </c>
      <c r="N41" s="23" t="str">
        <f>D41&amp;FIXED(MOD(F41,10),0)</f>
        <v>hh13</v>
      </c>
      <c r="O41" s="78" t="str">
        <f>MID(A$5,((FIND(N41,A$4,1)-1)+1),4)</f>
        <v>bde7</v>
      </c>
      <c r="P41" s="76" t="s">
        <v>0</v>
      </c>
      <c r="Q41" s="76" t="s">
        <v>0</v>
      </c>
      <c r="R41" s="76" t="s">
        <v>0</v>
      </c>
      <c r="S41" s="29" t="s">
        <v>0</v>
      </c>
      <c r="T41" s="42" t="s">
        <v>1</v>
      </c>
    </row>
    <row r="42" spans="1:20" ht="12.75">
      <c r="A42" s="44">
        <v>1093</v>
      </c>
      <c r="B42" s="886">
        <v>2186</v>
      </c>
      <c r="C42" s="886">
        <v>1194649</v>
      </c>
      <c r="D42" s="950" t="s">
        <v>2496</v>
      </c>
      <c r="E42" s="115">
        <f>B42-MOD(E$1-A42*3,B42)</f>
        <v>1887</v>
      </c>
      <c r="F42" s="644">
        <f>IF(MOD(E42,5)=0,B42,0)+E42</f>
        <v>1887</v>
      </c>
      <c r="G42" s="814">
        <f>IF(MOD(F42+$B42,5)=0,$B42,0)+$B42+F42</f>
        <v>4073</v>
      </c>
      <c r="H42" s="814">
        <f>IF(MOD(G42+$B42,5)=0,$B42,0)+$B42+G42</f>
        <v>6259</v>
      </c>
      <c r="I42" s="814">
        <f>IF(MOD(H42+$B42,5)=0,$B42,0)+$B42+H42</f>
        <v>10631</v>
      </c>
      <c r="J42" s="911">
        <v>188</v>
      </c>
      <c r="K42" s="892">
        <v>407</v>
      </c>
      <c r="L42" s="892">
        <v>625</v>
      </c>
      <c r="M42" s="892">
        <v>1063</v>
      </c>
      <c r="N42" s="23" t="str">
        <f>D42&amp;FIXED(MOD(F42,10),0)</f>
        <v>hh37</v>
      </c>
      <c r="O42" s="78" t="str">
        <f>MID(A$5,((FIND(N42,A$4,1)-1)+1),4)</f>
        <v>dbe7</v>
      </c>
      <c r="P42" s="76" t="s">
        <v>0</v>
      </c>
      <c r="Q42" s="76" t="s">
        <v>0</v>
      </c>
      <c r="R42" s="76" t="s">
        <v>0</v>
      </c>
      <c r="S42" s="29" t="s">
        <v>0</v>
      </c>
      <c r="T42" s="42" t="s">
        <v>1</v>
      </c>
    </row>
    <row r="43" spans="1:20" ht="12.75">
      <c r="A43" s="44">
        <v>1097</v>
      </c>
      <c r="B43" s="886">
        <v>2194</v>
      </c>
      <c r="C43" s="886">
        <v>1203409</v>
      </c>
      <c r="D43" s="950" t="s">
        <v>2501</v>
      </c>
      <c r="E43" s="115">
        <f>B43-MOD(E$1-A43*3,B43)</f>
        <v>1815</v>
      </c>
      <c r="F43" s="644">
        <f>IF(MOD(E43,5)=0,B43,0)+E43</f>
        <v>4009</v>
      </c>
      <c r="G43" s="814">
        <f>IF(MOD(F43+$B43,5)=0,$B43,0)+$B43+F43</f>
        <v>6203</v>
      </c>
      <c r="H43" s="814">
        <f>IF(MOD(G43+$B43,5)=0,$B43,0)+$B43+G43</f>
        <v>8397</v>
      </c>
      <c r="I43" s="814">
        <f>IF(MOD(H43+$B43,5)=0,$B43,0)+$B43+H43</f>
        <v>10591</v>
      </c>
      <c r="J43" s="911">
        <v>400</v>
      </c>
      <c r="K43" s="892">
        <v>620</v>
      </c>
      <c r="L43" s="892">
        <v>839</v>
      </c>
      <c r="M43" s="892">
        <v>1059</v>
      </c>
      <c r="N43" s="23" t="str">
        <f>D43&amp;FIXED(MOD(F43,10),0)</f>
        <v>hh79</v>
      </c>
      <c r="O43" s="78" t="str">
        <f>MID(A$5,((FIND(N43,A$4,1)-1)+1),4)</f>
        <v>ebd7</v>
      </c>
      <c r="P43" s="76" t="s">
        <v>0</v>
      </c>
      <c r="Q43" s="76" t="s">
        <v>0</v>
      </c>
      <c r="R43" s="76" t="s">
        <v>0</v>
      </c>
      <c r="S43" s="29" t="s">
        <v>0</v>
      </c>
      <c r="T43" s="42" t="s">
        <v>1</v>
      </c>
    </row>
    <row r="44" spans="1:20" ht="12.75">
      <c r="A44" s="44">
        <v>1103</v>
      </c>
      <c r="B44" s="886">
        <v>2206</v>
      </c>
      <c r="C44" s="886">
        <v>1216609</v>
      </c>
      <c r="D44" s="950" t="s">
        <v>2496</v>
      </c>
      <c r="E44" s="115">
        <f>B44-MOD(E$1-A44*3,B44)</f>
        <v>933</v>
      </c>
      <c r="F44" s="644">
        <f>IF(MOD(E44,5)=0,B44,0)+E44</f>
        <v>933</v>
      </c>
      <c r="G44" s="814">
        <f>IF(MOD(F44+$B44,5)=0,$B44,0)+$B44+F44</f>
        <v>3139</v>
      </c>
      <c r="H44" s="814">
        <f>IF(MOD(G44+$B44,5)=0,$B44,0)+$B44+G44</f>
        <v>7551</v>
      </c>
      <c r="I44" s="814">
        <f>IF(MOD(H44+$B44,5)=0,$B44,0)+$B44+H44</f>
        <v>9757</v>
      </c>
      <c r="J44" s="911">
        <v>93</v>
      </c>
      <c r="K44" s="892">
        <v>313</v>
      </c>
      <c r="L44" s="892">
        <v>755</v>
      </c>
      <c r="M44" s="892">
        <v>975</v>
      </c>
      <c r="N44" s="23" t="str">
        <f>D44&amp;FIXED(MOD(F44,10),0)</f>
        <v>hh33</v>
      </c>
      <c r="O44" s="78" t="str">
        <f>MID(A$5,((FIND(N44,A$4,1)-1)+1),4)</f>
        <v>be7d</v>
      </c>
      <c r="P44" s="76" t="s">
        <v>0</v>
      </c>
      <c r="Q44" s="76" t="s">
        <v>0</v>
      </c>
      <c r="R44" s="76" t="s">
        <v>0</v>
      </c>
      <c r="S44" s="29" t="s">
        <v>0</v>
      </c>
      <c r="T44" s="42" t="s">
        <v>1</v>
      </c>
    </row>
    <row r="45" spans="1:20" ht="12.75">
      <c r="A45" s="44">
        <v>1109</v>
      </c>
      <c r="B45" s="886">
        <v>2218</v>
      </c>
      <c r="C45" s="886">
        <v>1229881</v>
      </c>
      <c r="D45" s="950" t="s">
        <v>2506</v>
      </c>
      <c r="E45" s="115">
        <f>B45-MOD(E$1-A45*3,B45)</f>
        <v>1177</v>
      </c>
      <c r="F45" s="644">
        <f>IF(MOD(E45,5)=0,B45,0)+E45</f>
        <v>1177</v>
      </c>
      <c r="G45" s="814">
        <f>IF(MOD(F45+$B45,5)=0,$B45,0)+$B45+F45</f>
        <v>5613</v>
      </c>
      <c r="H45" s="814">
        <f>IF(MOD(G45+$B45,5)=0,$B45,0)+$B45+G45</f>
        <v>7831</v>
      </c>
      <c r="I45" s="814">
        <f>IF(MOD(H45+$B45,5)=0,$B45,0)+$B45+H45</f>
        <v>10049</v>
      </c>
      <c r="J45" s="911">
        <v>117</v>
      </c>
      <c r="K45" s="892">
        <v>561</v>
      </c>
      <c r="L45" s="892">
        <v>783</v>
      </c>
      <c r="M45" s="892">
        <v>1004</v>
      </c>
      <c r="N45" s="23" t="str">
        <f>D45&amp;FIXED(MOD(F45,10),0)</f>
        <v>hh97</v>
      </c>
      <c r="O45" s="78" t="str">
        <f>MID(A$5,((FIND(N45,A$4,1)-1)+1),4)</f>
        <v>db7e</v>
      </c>
      <c r="P45" s="76" t="s">
        <v>0</v>
      </c>
      <c r="Q45" s="76" t="s">
        <v>0</v>
      </c>
      <c r="R45" s="76" t="s">
        <v>0</v>
      </c>
      <c r="S45" s="29" t="s">
        <v>0</v>
      </c>
      <c r="T45" s="42" t="s">
        <v>1</v>
      </c>
    </row>
    <row r="46" spans="1:20" ht="12.75">
      <c r="A46" s="44">
        <v>1117</v>
      </c>
      <c r="B46" s="886">
        <v>2234</v>
      </c>
      <c r="C46" s="886">
        <v>1247689</v>
      </c>
      <c r="D46" s="950" t="s">
        <v>2501</v>
      </c>
      <c r="E46" s="115">
        <f>B46-MOD(E$1-A46*3,B46)</f>
        <v>1401</v>
      </c>
      <c r="F46" s="644">
        <f>IF(MOD(E46,5)=0,B46,0)+E46</f>
        <v>1401</v>
      </c>
      <c r="G46" s="814">
        <f>IF(MOD(F46+$B46,5)=0,$B46,0)+$B46+F46</f>
        <v>5869</v>
      </c>
      <c r="H46" s="814">
        <f>IF(MOD(G46+$B46,5)=0,$B46,0)+$B46+G46</f>
        <v>8103</v>
      </c>
      <c r="I46" s="814">
        <f>IF(MOD(H46+$B46,5)=0,$B46,0)+$B46+H46</f>
        <v>10337</v>
      </c>
      <c r="J46" s="911">
        <v>140</v>
      </c>
      <c r="K46" s="892">
        <v>586</v>
      </c>
      <c r="L46" s="892">
        <v>810</v>
      </c>
      <c r="M46" s="892">
        <v>1033</v>
      </c>
      <c r="N46" s="23" t="str">
        <f>D46&amp;FIXED(MOD(F46,10),0)</f>
        <v>hh71</v>
      </c>
      <c r="O46" s="78" t="str">
        <f>MID(A$5,((FIND(N46,A$4,1)-1)+1),4)</f>
        <v>7ebd</v>
      </c>
      <c r="P46" s="76" t="s">
        <v>0</v>
      </c>
      <c r="Q46" s="76" t="s">
        <v>0</v>
      </c>
      <c r="R46" s="76" t="s">
        <v>0</v>
      </c>
      <c r="S46" s="29" t="s">
        <v>0</v>
      </c>
      <c r="T46" s="42" t="s">
        <v>1</v>
      </c>
    </row>
    <row r="47" spans="1:20" ht="12.75">
      <c r="A47" s="44">
        <v>1123</v>
      </c>
      <c r="B47" s="886">
        <v>2246</v>
      </c>
      <c r="C47" s="886">
        <v>1261129</v>
      </c>
      <c r="D47" s="950" t="s">
        <v>2496</v>
      </c>
      <c r="E47" s="115">
        <f>B47-MOD(E$1-A47*3,B47)</f>
        <v>965</v>
      </c>
      <c r="F47" s="644">
        <f>IF(MOD(E47,5)=0,B47,0)+E47</f>
        <v>3211</v>
      </c>
      <c r="G47" s="814">
        <f>IF(MOD(F47+$B47,5)=0,$B47,0)+$B47+F47</f>
        <v>5457</v>
      </c>
      <c r="H47" s="814">
        <f>IF(MOD(G47+$B47,5)=0,$B47,0)+$B47+G47</f>
        <v>7703</v>
      </c>
      <c r="I47" s="814">
        <f>IF(MOD(H47+$B47,5)=0,$B47,0)+$B47+H47</f>
        <v>9949</v>
      </c>
      <c r="J47" s="911">
        <v>321</v>
      </c>
      <c r="K47" s="892">
        <v>545</v>
      </c>
      <c r="L47" s="892">
        <v>770</v>
      </c>
      <c r="M47" s="892">
        <v>994</v>
      </c>
      <c r="N47" s="23" t="str">
        <f>D47&amp;FIXED(MOD(F47,10),0)</f>
        <v>hh31</v>
      </c>
      <c r="O47" s="78" t="str">
        <f>MID(A$5,((FIND(N47,A$4,1)-1)+1),4)</f>
        <v>7dbe</v>
      </c>
      <c r="P47" s="76" t="s">
        <v>0</v>
      </c>
      <c r="Q47" s="76" t="s">
        <v>0</v>
      </c>
      <c r="R47" s="76" t="s">
        <v>0</v>
      </c>
      <c r="S47" s="29" t="s">
        <v>0</v>
      </c>
      <c r="T47" s="42" t="s">
        <v>1</v>
      </c>
    </row>
    <row r="48" spans="1:20" ht="12.75">
      <c r="A48" s="44">
        <v>1129</v>
      </c>
      <c r="B48" s="886">
        <v>2258</v>
      </c>
      <c r="C48" s="886">
        <v>1274641</v>
      </c>
      <c r="D48" s="950" t="s">
        <v>2506</v>
      </c>
      <c r="E48" s="115">
        <f>B48-MOD(E$1-A48*3,B48)</f>
        <v>1713</v>
      </c>
      <c r="F48" s="644">
        <f>IF(MOD(E48,5)=0,B48,0)+E48</f>
        <v>1713</v>
      </c>
      <c r="G48" s="814">
        <f>IF(MOD(F48+$B48,5)=0,$B48,0)+$B48+F48</f>
        <v>3971</v>
      </c>
      <c r="H48" s="814">
        <f>IF(MOD(G48+$B48,5)=0,$B48,0)+$B48+G48</f>
        <v>6229</v>
      </c>
      <c r="I48" s="814">
        <f>IF(MOD(H48+$B48,5)=0,$B48,0)+$B48+H48</f>
        <v>8487</v>
      </c>
      <c r="J48" s="911">
        <v>171</v>
      </c>
      <c r="K48" s="892">
        <v>397</v>
      </c>
      <c r="L48" s="892">
        <v>622</v>
      </c>
      <c r="M48" s="892">
        <v>848</v>
      </c>
      <c r="N48" s="23" t="str">
        <f>D48&amp;FIXED(MOD(F48,10),0)</f>
        <v>hh93</v>
      </c>
      <c r="O48" s="78" t="str">
        <f>MID(A$5,((FIND(N48,A$4,1)-1)+1),4)</f>
        <v>b7ed</v>
      </c>
      <c r="P48" s="76" t="s">
        <v>0</v>
      </c>
      <c r="Q48" s="76" t="s">
        <v>0</v>
      </c>
      <c r="R48" s="76" t="s">
        <v>0</v>
      </c>
      <c r="S48" s="29" t="s">
        <v>0</v>
      </c>
      <c r="T48" s="42" t="s">
        <v>1</v>
      </c>
    </row>
    <row r="49" spans="1:20" ht="12.75">
      <c r="A49" s="44">
        <v>1151</v>
      </c>
      <c r="B49" s="886">
        <v>2302</v>
      </c>
      <c r="C49" s="886">
        <v>1324801</v>
      </c>
      <c r="D49" s="950" t="s">
        <v>2490</v>
      </c>
      <c r="E49" s="115">
        <f>B49-MOD(E$1-A49*3,B49)</f>
        <v>2195</v>
      </c>
      <c r="F49" s="644">
        <f>IF(MOD(E49,5)=0,B49,0)+E49</f>
        <v>4497</v>
      </c>
      <c r="G49" s="814">
        <f>IF(MOD(F49+$B49,5)=0,$B49,0)+$B49+F49</f>
        <v>6799</v>
      </c>
      <c r="H49" s="814">
        <f>IF(MOD(G49+$B49,5)=0,$B49,0)+$B49+G49</f>
        <v>9101</v>
      </c>
      <c r="I49" s="814">
        <f>IF(MOD(H49+$B49,5)=0,$B49,0)+$B49+H49</f>
        <v>11403</v>
      </c>
      <c r="J49" s="911">
        <v>449</v>
      </c>
      <c r="K49" s="892">
        <v>679</v>
      </c>
      <c r="L49" s="892">
        <v>910</v>
      </c>
      <c r="M49" s="892">
        <v>1140</v>
      </c>
      <c r="N49" s="23" t="str">
        <f>D49&amp;FIXED(MOD(F49,10),0)</f>
        <v>hh17</v>
      </c>
      <c r="O49" s="78" t="str">
        <f>MID(A$5,((FIND(N49,A$4,1)-1)+1),4)</f>
        <v>de7b</v>
      </c>
      <c r="P49" s="76" t="s">
        <v>0</v>
      </c>
      <c r="Q49" s="76" t="s">
        <v>0</v>
      </c>
      <c r="R49" s="76" t="s">
        <v>0</v>
      </c>
      <c r="S49" s="29" t="s">
        <v>0</v>
      </c>
      <c r="T49" s="42" t="s">
        <v>1</v>
      </c>
    </row>
    <row r="50" spans="1:20" ht="12.75">
      <c r="A50" s="44">
        <v>1153</v>
      </c>
      <c r="B50" s="886">
        <v>2306</v>
      </c>
      <c r="C50" s="886">
        <v>1329409</v>
      </c>
      <c r="D50" s="950" t="s">
        <v>2496</v>
      </c>
      <c r="E50" s="115">
        <f>B50-MOD(E$1-A50*3,B50)</f>
        <v>691</v>
      </c>
      <c r="F50" s="644">
        <f>IF(MOD(E50,5)=0,B50,0)+E50</f>
        <v>691</v>
      </c>
      <c r="G50" s="814">
        <f>IF(MOD(F50+$B50,5)=0,$B50,0)+$B50+F50</f>
        <v>2997</v>
      </c>
      <c r="H50" s="814">
        <f>IF(MOD(G50+$B50,5)=0,$B50,0)+$B50+G50</f>
        <v>5303</v>
      </c>
      <c r="I50" s="814">
        <f>IF(MOD(H50+$B50,5)=0,$B50,0)+$B50+H50</f>
        <v>7609</v>
      </c>
      <c r="J50" s="911">
        <v>69</v>
      </c>
      <c r="K50" s="892">
        <v>299</v>
      </c>
      <c r="L50" s="892">
        <v>530</v>
      </c>
      <c r="M50" s="892">
        <v>760</v>
      </c>
      <c r="N50" s="23" t="str">
        <f>D50&amp;FIXED(MOD(F50,10),0)</f>
        <v>hh31</v>
      </c>
      <c r="O50" s="78" t="str">
        <f>MID(A$5,((FIND(N50,A$4,1)-1)+1),4)</f>
        <v>7dbe</v>
      </c>
      <c r="P50" s="76" t="s">
        <v>0</v>
      </c>
      <c r="Q50" s="76" t="s">
        <v>0</v>
      </c>
      <c r="R50" s="76" t="s">
        <v>0</v>
      </c>
      <c r="S50" s="29" t="s">
        <v>0</v>
      </c>
      <c r="T50" s="42" t="s">
        <v>1</v>
      </c>
    </row>
    <row r="51" spans="1:20" ht="12.75">
      <c r="A51" s="44">
        <v>1163</v>
      </c>
      <c r="B51" s="886">
        <v>2326</v>
      </c>
      <c r="C51" s="886">
        <v>1352569</v>
      </c>
      <c r="D51" s="950" t="s">
        <v>2496</v>
      </c>
      <c r="E51" s="115">
        <f>B51-MOD(E$1-A51*3,B51)</f>
        <v>2245</v>
      </c>
      <c r="F51" s="644">
        <f>IF(MOD(E51,5)=0,B51,0)+E51</f>
        <v>4571</v>
      </c>
      <c r="G51" s="814">
        <f>IF(MOD(F51+$B51,5)=0,$B51,0)+$B51+F51</f>
        <v>6897</v>
      </c>
      <c r="H51" s="814">
        <f>IF(MOD(G51+$B51,5)=0,$B51,0)+$B51+G51</f>
        <v>9223</v>
      </c>
      <c r="I51" s="814">
        <f>IF(MOD(H51+$B51,5)=0,$B51,0)+$B51+H51</f>
        <v>11549</v>
      </c>
      <c r="J51" s="911">
        <v>457</v>
      </c>
      <c r="K51" s="892">
        <v>689</v>
      </c>
      <c r="L51" s="892">
        <v>922</v>
      </c>
      <c r="M51" s="892">
        <v>1154</v>
      </c>
      <c r="N51" s="23" t="str">
        <f>D51&amp;FIXED(MOD(F51,10),0)</f>
        <v>hh31</v>
      </c>
      <c r="O51" s="78" t="str">
        <f>MID(A$5,((FIND(N51,A$4,1)-1)+1),4)</f>
        <v>7dbe</v>
      </c>
      <c r="P51" s="76" t="s">
        <v>0</v>
      </c>
      <c r="Q51" s="76" t="s">
        <v>0</v>
      </c>
      <c r="R51" s="76" t="s">
        <v>0</v>
      </c>
      <c r="S51" s="29" t="s">
        <v>0</v>
      </c>
      <c r="T51" s="42" t="s">
        <v>1</v>
      </c>
    </row>
    <row r="52" spans="1:20" ht="12.75">
      <c r="A52" s="44">
        <v>1171</v>
      </c>
      <c r="B52" s="886">
        <v>2342</v>
      </c>
      <c r="C52" s="886">
        <v>1371241</v>
      </c>
      <c r="D52" s="950" t="s">
        <v>2490</v>
      </c>
      <c r="E52" s="115">
        <f>B52-MOD(E$1-A52*3,B52)</f>
        <v>583</v>
      </c>
      <c r="F52" s="644">
        <f>IF(MOD(E52,5)=0,B52,0)+E52</f>
        <v>583</v>
      </c>
      <c r="G52" s="814">
        <f>IF(MOD(F52+$B52,5)=0,$B52,0)+$B52+F52</f>
        <v>5267</v>
      </c>
      <c r="H52" s="814">
        <f>IF(MOD(G52+$B52,5)=0,$B52,0)+$B52+G52</f>
        <v>7609</v>
      </c>
      <c r="I52" s="814">
        <f>IF(MOD(H52+$B52,5)=0,$B52,0)+$B52+H52</f>
        <v>9951</v>
      </c>
      <c r="J52" s="911">
        <v>58</v>
      </c>
      <c r="K52" s="892">
        <v>526</v>
      </c>
      <c r="L52" s="892">
        <v>760</v>
      </c>
      <c r="M52" s="892">
        <v>995</v>
      </c>
      <c r="N52" s="23" t="str">
        <f>D52&amp;FIXED(MOD(F52,10),0)</f>
        <v>hh13</v>
      </c>
      <c r="O52" s="78" t="str">
        <f>MID(A$5,((FIND(N52,A$4,1)-1)+1),4)</f>
        <v>bde7</v>
      </c>
      <c r="P52" s="76" t="s">
        <v>0</v>
      </c>
      <c r="Q52" s="76" t="s">
        <v>0</v>
      </c>
      <c r="R52" s="76" t="s">
        <v>0</v>
      </c>
      <c r="S52" s="29" t="s">
        <v>0</v>
      </c>
      <c r="T52" s="42" t="s">
        <v>1</v>
      </c>
    </row>
    <row r="53" spans="1:20" ht="12.75">
      <c r="A53" s="44">
        <v>1181</v>
      </c>
      <c r="B53" s="886">
        <v>2362</v>
      </c>
      <c r="C53" s="886">
        <v>1394761</v>
      </c>
      <c r="D53" s="950" t="s">
        <v>2490</v>
      </c>
      <c r="E53" s="115">
        <f>B53-MOD(E$1-A53*3,B53)</f>
        <v>2099</v>
      </c>
      <c r="F53" s="644">
        <f>IF(MOD(E53,5)=0,B53,0)+E53</f>
        <v>2099</v>
      </c>
      <c r="G53" s="814">
        <f>IF(MOD(F53+$B53,5)=0,$B53,0)+$B53+F53</f>
        <v>4461</v>
      </c>
      <c r="H53" s="814">
        <f>IF(MOD(G53+$B53,5)=0,$B53,0)+$B53+G53</f>
        <v>6823</v>
      </c>
      <c r="I53" s="814">
        <f>IF(MOD(H53+$B53,5)=0,$B53,0)+$B53+H53</f>
        <v>11547</v>
      </c>
      <c r="J53" s="911">
        <v>209</v>
      </c>
      <c r="K53" s="892">
        <v>446</v>
      </c>
      <c r="L53" s="892">
        <v>682</v>
      </c>
      <c r="M53" s="892">
        <v>1154</v>
      </c>
      <c r="N53" s="23" t="str">
        <f>D53&amp;FIXED(MOD(F53,10),0)</f>
        <v>hh19</v>
      </c>
      <c r="O53" s="78" t="str">
        <f>MID(A$5,((FIND(N53,A$4,1)-1)+1),4)</f>
        <v>e7bd</v>
      </c>
      <c r="P53" s="76" t="s">
        <v>0</v>
      </c>
      <c r="Q53" s="76" t="s">
        <v>0</v>
      </c>
      <c r="R53" s="76" t="s">
        <v>0</v>
      </c>
      <c r="S53" s="29" t="s">
        <v>0</v>
      </c>
      <c r="T53" s="42" t="s">
        <v>1</v>
      </c>
    </row>
    <row r="54" spans="1:20" ht="12.75">
      <c r="A54" s="44">
        <v>1187</v>
      </c>
      <c r="B54" s="886">
        <v>2374</v>
      </c>
      <c r="C54" s="886">
        <v>1408969</v>
      </c>
      <c r="D54" s="950" t="s">
        <v>2501</v>
      </c>
      <c r="E54" s="115">
        <f>B54-MOD(E$1-A54*3,B54)</f>
        <v>1505</v>
      </c>
      <c r="F54" s="644">
        <f>IF(MOD(E54,5)=0,B54,0)+E54</f>
        <v>3879</v>
      </c>
      <c r="G54" s="814">
        <f>IF(MOD(F54+$B54,5)=0,$B54,0)+$B54+F54</f>
        <v>6253</v>
      </c>
      <c r="H54" s="814">
        <f>IF(MOD(G54+$B54,5)=0,$B54,0)+$B54+G54</f>
        <v>8627</v>
      </c>
      <c r="I54" s="814">
        <f>IF(MOD(H54+$B54,5)=0,$B54,0)+$B54+H54</f>
        <v>11001</v>
      </c>
      <c r="J54" s="911">
        <v>387</v>
      </c>
      <c r="K54" s="892">
        <v>625</v>
      </c>
      <c r="L54" s="892">
        <v>862</v>
      </c>
      <c r="M54" s="892">
        <v>1100</v>
      </c>
      <c r="N54" s="23" t="str">
        <f>D54&amp;FIXED(MOD(F54,10),0)</f>
        <v>hh79</v>
      </c>
      <c r="O54" s="78" t="str">
        <f>MID(A$5,((FIND(N54,A$4,1)-1)+1),4)</f>
        <v>ebd7</v>
      </c>
      <c r="P54" s="76" t="s">
        <v>0</v>
      </c>
      <c r="Q54" s="76" t="s">
        <v>0</v>
      </c>
      <c r="R54" s="76" t="s">
        <v>0</v>
      </c>
      <c r="S54" s="29" t="s">
        <v>0</v>
      </c>
      <c r="T54" s="42" t="s">
        <v>1</v>
      </c>
    </row>
    <row r="55" spans="1:20" ht="12.75">
      <c r="A55" s="44">
        <v>1193</v>
      </c>
      <c r="B55" s="886">
        <v>2386</v>
      </c>
      <c r="C55" s="886">
        <v>1423249</v>
      </c>
      <c r="D55" s="950" t="s">
        <v>2496</v>
      </c>
      <c r="E55" s="115">
        <f>B55-MOD(E$1-A55*3,B55)</f>
        <v>911</v>
      </c>
      <c r="F55" s="644">
        <f>IF(MOD(E55,5)=0,B55,0)+E55</f>
        <v>911</v>
      </c>
      <c r="G55" s="814">
        <f>IF(MOD(F55+$B55,5)=0,$B55,0)+$B55+F55</f>
        <v>3297</v>
      </c>
      <c r="H55" s="814">
        <f>IF(MOD(G55+$B55,5)=0,$B55,0)+$B55+G55</f>
        <v>5683</v>
      </c>
      <c r="I55" s="814">
        <f>IF(MOD(H55+$B55,5)=0,$B55,0)+$B55+H55</f>
        <v>8069</v>
      </c>
      <c r="J55" s="911">
        <v>91</v>
      </c>
      <c r="K55" s="892">
        <v>329</v>
      </c>
      <c r="L55" s="892">
        <v>568</v>
      </c>
      <c r="M55" s="892">
        <v>806</v>
      </c>
      <c r="N55" s="23" t="str">
        <f>D55&amp;FIXED(MOD(F55,10),0)</f>
        <v>hh31</v>
      </c>
      <c r="O55" s="78" t="str">
        <f>MID(A$5,((FIND(N55,A$4,1)-1)+1),4)</f>
        <v>7dbe</v>
      </c>
      <c r="P55" s="76" t="s">
        <v>0</v>
      </c>
      <c r="Q55" s="76" t="s">
        <v>0</v>
      </c>
      <c r="R55" s="76" t="s">
        <v>0</v>
      </c>
      <c r="S55" s="29" t="s">
        <v>0</v>
      </c>
      <c r="T55" s="42" t="s">
        <v>1</v>
      </c>
    </row>
    <row r="56" spans="1:20" ht="12.75">
      <c r="A56" s="44">
        <v>1201</v>
      </c>
      <c r="B56" s="886">
        <v>2402</v>
      </c>
      <c r="C56" s="886">
        <v>1442401</v>
      </c>
      <c r="D56" s="950" t="s">
        <v>2490</v>
      </c>
      <c r="E56" s="115">
        <f>B56-MOD(E$1-A56*3,B56)</f>
        <v>2173</v>
      </c>
      <c r="F56" s="644">
        <f>IF(MOD(E56,5)=0,B56,0)+E56</f>
        <v>2173</v>
      </c>
      <c r="G56" s="814">
        <f>IF(MOD(F56+$B56,5)=0,$B56,0)+$B56+F56</f>
        <v>6977</v>
      </c>
      <c r="H56" s="814">
        <f>IF(MOD(G56+$B56,5)=0,$B56,0)+$B56+G56</f>
        <v>9379</v>
      </c>
      <c r="I56" s="814">
        <f>IF(MOD(H56+$B56,5)=0,$B56,0)+$B56+H56</f>
        <v>11781</v>
      </c>
      <c r="J56" s="911">
        <v>217</v>
      </c>
      <c r="K56" s="892">
        <v>697</v>
      </c>
      <c r="L56" s="892">
        <v>937</v>
      </c>
      <c r="M56" s="892">
        <v>1178</v>
      </c>
      <c r="N56" s="23" t="str">
        <f>D56&amp;FIXED(MOD(F56,10),0)</f>
        <v>hh13</v>
      </c>
      <c r="O56" s="78" t="str">
        <f>MID(A$5,((FIND(N56,A$4,1)-1)+1),4)</f>
        <v>bde7</v>
      </c>
      <c r="P56" s="76" t="s">
        <v>0</v>
      </c>
      <c r="Q56" s="76" t="s">
        <v>0</v>
      </c>
      <c r="R56" s="76" t="s">
        <v>0</v>
      </c>
      <c r="S56" s="29" t="s">
        <v>0</v>
      </c>
      <c r="T56" s="42" t="s">
        <v>1</v>
      </c>
    </row>
    <row r="57" spans="1:20" ht="12.75">
      <c r="A57" s="44">
        <v>1213</v>
      </c>
      <c r="B57" s="886">
        <v>2426</v>
      </c>
      <c r="C57" s="886">
        <v>1471369</v>
      </c>
      <c r="D57" s="950" t="s">
        <v>2496</v>
      </c>
      <c r="E57" s="115">
        <f>B57-MOD(E$1-A57*3,B57)</f>
        <v>221</v>
      </c>
      <c r="F57" s="644">
        <f>IF(MOD(E57,5)=0,B57,0)+E57</f>
        <v>221</v>
      </c>
      <c r="G57" s="814">
        <f>IF(MOD(F57+$B57,5)=0,$B57,0)+$B57+F57</f>
        <v>2647</v>
      </c>
      <c r="H57" s="814">
        <f>IF(MOD(G57+$B57,5)=0,$B57,0)+$B57+G57</f>
        <v>5073</v>
      </c>
      <c r="I57" s="814">
        <f>IF(MOD(H57+$B57,5)=0,$B57,0)+$B57+H57</f>
        <v>7499</v>
      </c>
      <c r="J57" s="911">
        <v>22</v>
      </c>
      <c r="K57" s="892">
        <v>264</v>
      </c>
      <c r="L57" s="892">
        <v>507</v>
      </c>
      <c r="M57" s="892">
        <v>749</v>
      </c>
      <c r="N57" s="23" t="str">
        <f>D57&amp;FIXED(MOD(F57,10),0)</f>
        <v>hh31</v>
      </c>
      <c r="O57" s="78" t="str">
        <f>MID(A$5,((FIND(N57,A$4,1)-1)+1),4)</f>
        <v>7dbe</v>
      </c>
      <c r="P57" s="76" t="s">
        <v>0</v>
      </c>
      <c r="Q57" s="76" t="s">
        <v>0</v>
      </c>
      <c r="R57" s="76" t="s">
        <v>0</v>
      </c>
      <c r="S57" s="29" t="s">
        <v>0</v>
      </c>
      <c r="T57" s="42" t="s">
        <v>1</v>
      </c>
    </row>
    <row r="58" spans="1:20" ht="12.75">
      <c r="A58" s="44">
        <v>1217</v>
      </c>
      <c r="B58" s="886">
        <v>2434</v>
      </c>
      <c r="C58" s="886">
        <v>1481089</v>
      </c>
      <c r="D58" s="950" t="s">
        <v>2501</v>
      </c>
      <c r="E58" s="115">
        <f>B58-MOD(E$1-A58*3,B58)</f>
        <v>1921</v>
      </c>
      <c r="F58" s="644">
        <f>IF(MOD(E58,5)=0,B58,0)+E58</f>
        <v>1921</v>
      </c>
      <c r="G58" s="814">
        <f>IF(MOD(F58+$B58,5)=0,$B58,0)+$B58+F58</f>
        <v>6789</v>
      </c>
      <c r="H58" s="814">
        <f>IF(MOD(G58+$B58,5)=0,$B58,0)+$B58+G58</f>
        <v>9223</v>
      </c>
      <c r="I58" s="814">
        <f>IF(MOD(H58+$B58,5)=0,$B58,0)+$B58+H58</f>
        <v>11657</v>
      </c>
      <c r="J58" s="911">
        <v>192</v>
      </c>
      <c r="K58" s="892">
        <v>678</v>
      </c>
      <c r="L58" s="892">
        <v>922</v>
      </c>
      <c r="M58" s="892">
        <v>1165</v>
      </c>
      <c r="N58" s="23" t="str">
        <f>D58&amp;FIXED(MOD(F58,10),0)</f>
        <v>hh71</v>
      </c>
      <c r="O58" s="78" t="str">
        <f>MID(A$5,((FIND(N58,A$4,1)-1)+1),4)</f>
        <v>7ebd</v>
      </c>
      <c r="P58" s="76" t="s">
        <v>0</v>
      </c>
      <c r="Q58" s="76" t="s">
        <v>0</v>
      </c>
      <c r="R58" s="76" t="s">
        <v>0</v>
      </c>
      <c r="S58" s="29" t="s">
        <v>0</v>
      </c>
      <c r="T58" s="42" t="s">
        <v>1</v>
      </c>
    </row>
    <row r="59" spans="1:20" ht="12.75">
      <c r="A59" s="44">
        <v>1223</v>
      </c>
      <c r="B59" s="886">
        <v>2446</v>
      </c>
      <c r="C59" s="886">
        <v>1495729</v>
      </c>
      <c r="D59" s="950" t="s">
        <v>2496</v>
      </c>
      <c r="E59" s="115">
        <f>B59-MOD(E$1-A59*3,B59)</f>
        <v>273</v>
      </c>
      <c r="F59" s="644">
        <f>IF(MOD(E59,5)=0,B59,0)+E59</f>
        <v>273</v>
      </c>
      <c r="G59" s="814">
        <f>IF(MOD(F59+$B59,5)=0,$B59,0)+$B59+F59</f>
        <v>2719</v>
      </c>
      <c r="H59" s="814">
        <f>IF(MOD(G59+$B59,5)=0,$B59,0)+$B59+G59</f>
        <v>7611</v>
      </c>
      <c r="I59" s="814">
        <f>IF(MOD(H59+$B59,5)=0,$B59,0)+$B59+H59</f>
        <v>10057</v>
      </c>
      <c r="J59" s="911">
        <v>27</v>
      </c>
      <c r="K59" s="892">
        <v>271</v>
      </c>
      <c r="L59" s="892">
        <v>761</v>
      </c>
      <c r="M59" s="892">
        <v>1005</v>
      </c>
      <c r="N59" s="23" t="str">
        <f>D59&amp;FIXED(MOD(F59,10),0)</f>
        <v>hh33</v>
      </c>
      <c r="O59" s="78" t="str">
        <f>MID(A$5,((FIND(N59,A$4,1)-1)+1),4)</f>
        <v>be7d</v>
      </c>
      <c r="P59" s="76" t="s">
        <v>0</v>
      </c>
      <c r="Q59" s="76" t="s">
        <v>0</v>
      </c>
      <c r="R59" s="76" t="s">
        <v>0</v>
      </c>
      <c r="S59" s="29" t="s">
        <v>0</v>
      </c>
      <c r="T59" s="42" t="s">
        <v>1</v>
      </c>
    </row>
    <row r="60" spans="1:20" ht="12.75">
      <c r="A60" s="44">
        <v>1229</v>
      </c>
      <c r="B60" s="886">
        <v>2458</v>
      </c>
      <c r="C60" s="886">
        <v>1510441</v>
      </c>
      <c r="D60" s="950" t="s">
        <v>2506</v>
      </c>
      <c r="E60" s="115">
        <f>B60-MOD(E$1-A60*3,B60)</f>
        <v>953</v>
      </c>
      <c r="F60" s="644">
        <f>IF(MOD(E60,5)=0,B60,0)+E60</f>
        <v>953</v>
      </c>
      <c r="G60" s="814">
        <f>IF(MOD(F60+$B60,5)=0,$B60,0)+$B60+F60</f>
        <v>3411</v>
      </c>
      <c r="H60" s="814">
        <f>IF(MOD(G60+$B60,5)=0,$B60,0)+$B60+G60</f>
        <v>5869</v>
      </c>
      <c r="I60" s="814">
        <f>IF(MOD(H60+$B60,5)=0,$B60,0)+$B60+H60</f>
        <v>8327</v>
      </c>
      <c r="J60" s="911">
        <v>95</v>
      </c>
      <c r="K60" s="892">
        <v>341</v>
      </c>
      <c r="L60" s="892">
        <v>586</v>
      </c>
      <c r="M60" s="892">
        <v>832</v>
      </c>
      <c r="N60" s="23" t="str">
        <f>D60&amp;FIXED(MOD(F60,10),0)</f>
        <v>hh93</v>
      </c>
      <c r="O60" s="78" t="str">
        <f>MID(A$5,((FIND(N60,A$4,1)-1)+1),4)</f>
        <v>b7ed</v>
      </c>
      <c r="P60" s="76" t="s">
        <v>0</v>
      </c>
      <c r="Q60" s="76" t="s">
        <v>0</v>
      </c>
      <c r="R60" s="76" t="s">
        <v>0</v>
      </c>
      <c r="S60" s="29" t="s">
        <v>0</v>
      </c>
      <c r="T60" s="42" t="s">
        <v>1</v>
      </c>
    </row>
    <row r="61" spans="1:20" ht="12.75">
      <c r="A61" s="44">
        <v>1231</v>
      </c>
      <c r="B61" s="886">
        <v>2462</v>
      </c>
      <c r="C61" s="886">
        <v>1515361</v>
      </c>
      <c r="D61" s="950" t="s">
        <v>2490</v>
      </c>
      <c r="E61" s="115">
        <f>B61-MOD(E$1-A61*3,B61)</f>
        <v>339</v>
      </c>
      <c r="F61" s="644">
        <f>IF(MOD(E61,5)=0,B61,0)+E61</f>
        <v>339</v>
      </c>
      <c r="G61" s="814">
        <f>IF(MOD(F61+$B61,5)=0,$B61,0)+$B61+F61</f>
        <v>2801</v>
      </c>
      <c r="H61" s="814">
        <f>IF(MOD(G61+$B61,5)=0,$B61,0)+$B61+G61</f>
        <v>5263</v>
      </c>
      <c r="I61" s="814">
        <f>IF(MOD(H61+$B61,5)=0,$B61,0)+$B61+H61</f>
        <v>10187</v>
      </c>
      <c r="J61" s="911">
        <v>33</v>
      </c>
      <c r="K61" s="892">
        <v>280</v>
      </c>
      <c r="L61" s="892">
        <v>526</v>
      </c>
      <c r="M61" s="892">
        <v>1018</v>
      </c>
      <c r="N61" s="23" t="str">
        <f>D61&amp;FIXED(MOD(F61,10),0)</f>
        <v>hh19</v>
      </c>
      <c r="O61" s="78" t="str">
        <f>MID(A$5,((FIND(N61,A$4,1)-1)+1),4)</f>
        <v>e7bd</v>
      </c>
      <c r="P61" s="76" t="s">
        <v>0</v>
      </c>
      <c r="Q61" s="76" t="s">
        <v>0</v>
      </c>
      <c r="R61" s="76" t="s">
        <v>0</v>
      </c>
      <c r="S61" s="29" t="s">
        <v>0</v>
      </c>
      <c r="T61" s="42" t="s">
        <v>1</v>
      </c>
    </row>
    <row r="62" spans="1:20" ht="12.75">
      <c r="A62" s="44">
        <v>1237</v>
      </c>
      <c r="B62" s="886">
        <v>2474</v>
      </c>
      <c r="C62" s="886">
        <v>1530169</v>
      </c>
      <c r="D62" s="950" t="s">
        <v>2501</v>
      </c>
      <c r="E62" s="115">
        <f>B62-MOD(E$1-A62*3,B62)</f>
        <v>631</v>
      </c>
      <c r="F62" s="644">
        <f>IF(MOD(E62,5)=0,B62,0)+E62</f>
        <v>631</v>
      </c>
      <c r="G62" s="814">
        <f>IF(MOD(F62+$B62,5)=0,$B62,0)+$B62+F62</f>
        <v>5579</v>
      </c>
      <c r="H62" s="814">
        <f>IF(MOD(G62+$B62,5)=0,$B62,0)+$B62+G62</f>
        <v>8053</v>
      </c>
      <c r="I62" s="814">
        <f>IF(MOD(H62+$B62,5)=0,$B62,0)+$B62+H62</f>
        <v>10527</v>
      </c>
      <c r="J62" s="911">
        <v>63</v>
      </c>
      <c r="K62" s="892">
        <v>557</v>
      </c>
      <c r="L62" s="892">
        <v>805</v>
      </c>
      <c r="M62" s="892">
        <v>1052</v>
      </c>
      <c r="N62" s="23" t="str">
        <f>D62&amp;FIXED(MOD(F62,10),0)</f>
        <v>hh71</v>
      </c>
      <c r="O62" s="78" t="str">
        <f>MID(A$5,((FIND(N62,A$4,1)-1)+1),4)</f>
        <v>7ebd</v>
      </c>
      <c r="P62" s="76" t="s">
        <v>0</v>
      </c>
      <c r="Q62" s="76" t="s">
        <v>0</v>
      </c>
      <c r="R62" s="76" t="s">
        <v>0</v>
      </c>
      <c r="S62" s="29" t="s">
        <v>0</v>
      </c>
      <c r="T62" s="42" t="s">
        <v>1</v>
      </c>
    </row>
    <row r="63" spans="1:20" ht="12.75">
      <c r="A63" s="44">
        <v>1249</v>
      </c>
      <c r="B63" s="886">
        <v>2498</v>
      </c>
      <c r="C63" s="886">
        <v>1560001</v>
      </c>
      <c r="D63" s="950" t="s">
        <v>2506</v>
      </c>
      <c r="E63" s="115">
        <f>B63-MOD(E$1-A63*3,B63)</f>
        <v>403</v>
      </c>
      <c r="F63" s="644">
        <f>IF(MOD(E63,5)=0,B63,0)+E63</f>
        <v>403</v>
      </c>
      <c r="G63" s="814">
        <f>IF(MOD(F63+$B63,5)=0,$B63,0)+$B63+F63</f>
        <v>2901</v>
      </c>
      <c r="H63" s="814">
        <f>IF(MOD(G63+$B63,5)=0,$B63,0)+$B63+G63</f>
        <v>5399</v>
      </c>
      <c r="I63" s="814">
        <f>IF(MOD(H63+$B63,5)=0,$B63,0)+$B63+H63</f>
        <v>7897</v>
      </c>
      <c r="J63" s="911">
        <v>40</v>
      </c>
      <c r="K63" s="892">
        <v>290</v>
      </c>
      <c r="L63" s="892">
        <v>539</v>
      </c>
      <c r="M63" s="892">
        <v>789</v>
      </c>
      <c r="N63" s="23" t="str">
        <f>D63&amp;FIXED(MOD(F63,10),0)</f>
        <v>hh93</v>
      </c>
      <c r="O63" s="78" t="str">
        <f>MID(A$5,((FIND(N63,A$4,1)-1)+1),4)</f>
        <v>b7ed</v>
      </c>
      <c r="P63" s="76" t="s">
        <v>0</v>
      </c>
      <c r="Q63" s="76" t="s">
        <v>0</v>
      </c>
      <c r="R63" s="76" t="s">
        <v>0</v>
      </c>
      <c r="S63" s="29" t="s">
        <v>0</v>
      </c>
      <c r="T63" s="42" t="s">
        <v>1</v>
      </c>
    </row>
    <row r="64" spans="1:20" ht="12.75">
      <c r="A64" s="44">
        <v>1259</v>
      </c>
      <c r="B64" s="886">
        <v>2518</v>
      </c>
      <c r="C64" s="886">
        <v>1585081</v>
      </c>
      <c r="D64" s="950" t="s">
        <v>2506</v>
      </c>
      <c r="E64" s="115">
        <f>B64-MOD(E$1-A64*3,B64)</f>
        <v>697</v>
      </c>
      <c r="F64" s="644">
        <f>IF(MOD(E64,5)=0,B64,0)+E64</f>
        <v>697</v>
      </c>
      <c r="G64" s="814">
        <f>IF(MOD(F64+$B64,5)=0,$B64,0)+$B64+F64</f>
        <v>5733</v>
      </c>
      <c r="H64" s="814">
        <f>IF(MOD(G64+$B64,5)=0,$B64,0)+$B64+G64</f>
        <v>8251</v>
      </c>
      <c r="I64" s="814">
        <f>IF(MOD(H64+$B64,5)=0,$B64,0)+$B64+H64</f>
        <v>10769</v>
      </c>
      <c r="J64" s="911">
        <v>69</v>
      </c>
      <c r="K64" s="892">
        <v>573</v>
      </c>
      <c r="L64" s="892">
        <v>825</v>
      </c>
      <c r="M64" s="892">
        <v>1076</v>
      </c>
      <c r="N64" s="23" t="str">
        <f>D64&amp;FIXED(MOD(F64,10),0)</f>
        <v>hh97</v>
      </c>
      <c r="O64" s="78" t="str">
        <f>MID(A$5,((FIND(N64,A$4,1)-1)+1),4)</f>
        <v>db7e</v>
      </c>
      <c r="P64" s="76" t="s">
        <v>0</v>
      </c>
      <c r="Q64" s="76" t="s">
        <v>0</v>
      </c>
      <c r="R64" s="76" t="s">
        <v>0</v>
      </c>
      <c r="S64" s="29" t="s">
        <v>0</v>
      </c>
      <c r="T64" s="42" t="s">
        <v>1</v>
      </c>
    </row>
    <row r="65" spans="1:20" ht="12.75">
      <c r="A65" s="44">
        <v>1277</v>
      </c>
      <c r="B65" s="886">
        <v>2554</v>
      </c>
      <c r="C65" s="886">
        <v>1630729</v>
      </c>
      <c r="D65" s="950" t="s">
        <v>2501</v>
      </c>
      <c r="E65" s="115">
        <f>B65-MOD(E$1-A65*3,B65)</f>
        <v>1363</v>
      </c>
      <c r="F65" s="644">
        <f>IF(MOD(E65,5)=0,B65,0)+E65</f>
        <v>1363</v>
      </c>
      <c r="G65" s="814">
        <f>IF(MOD(F65+$B65,5)=0,$B65,0)+$B65+F65</f>
        <v>3917</v>
      </c>
      <c r="H65" s="814">
        <f>IF(MOD(G65+$B65,5)=0,$B65,0)+$B65+G65</f>
        <v>6471</v>
      </c>
      <c r="I65" s="814">
        <f>IF(MOD(H65+$B65,5)=0,$B65,0)+$B65+H65</f>
        <v>11579</v>
      </c>
      <c r="J65" s="911">
        <v>136</v>
      </c>
      <c r="K65" s="892">
        <v>391</v>
      </c>
      <c r="L65" s="892">
        <v>647</v>
      </c>
      <c r="M65" s="892">
        <v>1157</v>
      </c>
      <c r="N65" s="23" t="str">
        <f>D65&amp;FIXED(MOD(F65,10),0)</f>
        <v>hh73</v>
      </c>
      <c r="O65" s="78" t="str">
        <f>MID(A$5,((FIND(N65,A$4,1)-1)+1),4)</f>
        <v>bd7e</v>
      </c>
      <c r="P65" s="76" t="s">
        <v>0</v>
      </c>
      <c r="Q65" s="76" t="s">
        <v>0</v>
      </c>
      <c r="R65" s="76" t="s">
        <v>0</v>
      </c>
      <c r="S65" s="29" t="s">
        <v>0</v>
      </c>
      <c r="T65" s="42" t="s">
        <v>1</v>
      </c>
    </row>
    <row r="66" spans="1:20" ht="12.75">
      <c r="A66" s="44">
        <v>1279</v>
      </c>
      <c r="B66" s="886">
        <v>2558</v>
      </c>
      <c r="C66" s="886">
        <v>1635841</v>
      </c>
      <c r="D66" s="950" t="s">
        <v>2506</v>
      </c>
      <c r="E66" s="115">
        <f>B66-MOD(E$1-A66*3,B66)</f>
        <v>751</v>
      </c>
      <c r="F66" s="644">
        <f>IF(MOD(E66,5)=0,B66,0)+E66</f>
        <v>751</v>
      </c>
      <c r="G66" s="814">
        <f>IF(MOD(F66+$B66,5)=0,$B66,0)+$B66+F66</f>
        <v>3309</v>
      </c>
      <c r="H66" s="814">
        <f>IF(MOD(G66+$B66,5)=0,$B66,0)+$B66+G66</f>
        <v>5867</v>
      </c>
      <c r="I66" s="814">
        <f>IF(MOD(H66+$B66,5)=0,$B66,0)+$B66+H66</f>
        <v>10983</v>
      </c>
      <c r="J66" s="911">
        <v>75</v>
      </c>
      <c r="K66" s="892">
        <v>330</v>
      </c>
      <c r="L66" s="892">
        <v>586</v>
      </c>
      <c r="M66" s="892">
        <v>1098</v>
      </c>
      <c r="N66" s="23" t="str">
        <f>D66&amp;FIXED(MOD(F66,10),0)</f>
        <v>hh91</v>
      </c>
      <c r="O66" s="78" t="str">
        <f>MID(A$5,((FIND(N66,A$4,1)-1)+1),4)</f>
        <v>7edb</v>
      </c>
      <c r="P66" s="76" t="s">
        <v>0</v>
      </c>
      <c r="Q66" s="76" t="s">
        <v>0</v>
      </c>
      <c r="R66" s="76" t="s">
        <v>0</v>
      </c>
      <c r="S66" s="29" t="s">
        <v>0</v>
      </c>
      <c r="T66" s="42" t="s">
        <v>1</v>
      </c>
    </row>
    <row r="67" spans="1:20" ht="12.75">
      <c r="A67" s="44">
        <v>1283</v>
      </c>
      <c r="B67" s="886">
        <v>2566</v>
      </c>
      <c r="C67" s="886">
        <v>1646089</v>
      </c>
      <c r="D67" s="950" t="s">
        <v>2496</v>
      </c>
      <c r="E67" s="115">
        <f>B67-MOD(E$1-A67*3,B67)</f>
        <v>541</v>
      </c>
      <c r="F67" s="644">
        <f>IF(MOD(E67,5)=0,B67,0)+E67</f>
        <v>541</v>
      </c>
      <c r="G67" s="814">
        <f>IF(MOD(F67+$B67,5)=0,$B67,0)+$B67+F67</f>
        <v>3107</v>
      </c>
      <c r="H67" s="814">
        <f>IF(MOD(G67+$B67,5)=0,$B67,0)+$B67+G67</f>
        <v>5673</v>
      </c>
      <c r="I67" s="814">
        <f>IF(MOD(H67+$B67,5)=0,$B67,0)+$B67+H67</f>
        <v>8239</v>
      </c>
      <c r="J67" s="911">
        <v>54</v>
      </c>
      <c r="K67" s="892">
        <v>310</v>
      </c>
      <c r="L67" s="892">
        <v>567</v>
      </c>
      <c r="M67" s="892">
        <v>823</v>
      </c>
      <c r="N67" s="23" t="str">
        <f>D67&amp;FIXED(MOD(F67,10),0)</f>
        <v>hh31</v>
      </c>
      <c r="O67" s="78" t="str">
        <f>MID(A$5,((FIND(N67,A$4,1)-1)+1),4)</f>
        <v>7dbe</v>
      </c>
      <c r="P67" s="76" t="s">
        <v>0</v>
      </c>
      <c r="Q67" s="76" t="s">
        <v>0</v>
      </c>
      <c r="R67" s="76" t="s">
        <v>0</v>
      </c>
      <c r="S67" s="29" t="s">
        <v>0</v>
      </c>
      <c r="T67" s="42" t="s">
        <v>1</v>
      </c>
    </row>
    <row r="68" spans="1:20" ht="12.75">
      <c r="A68" s="44">
        <v>1289</v>
      </c>
      <c r="B68" s="886">
        <v>2578</v>
      </c>
      <c r="C68" s="886">
        <v>1661521</v>
      </c>
      <c r="D68" s="950" t="s">
        <v>2506</v>
      </c>
      <c r="E68" s="115">
        <f>B68-MOD(E$1-A68*3,B68)</f>
        <v>2261</v>
      </c>
      <c r="F68" s="644">
        <f>IF(MOD(E68,5)=0,B68,0)+E68</f>
        <v>2261</v>
      </c>
      <c r="G68" s="814">
        <f>IF(MOD(F68+$B68,5)=0,$B68,0)+$B68+F68</f>
        <v>4839</v>
      </c>
      <c r="H68" s="814">
        <f>IF(MOD(G68+$B68,5)=0,$B68,0)+$B68+G68</f>
        <v>7417</v>
      </c>
      <c r="I68" s="814">
        <f>IF(MOD(H68+$B68,5)=0,$B68,0)+$B68+H68</f>
        <v>12573</v>
      </c>
      <c r="J68" s="911">
        <v>226</v>
      </c>
      <c r="K68" s="892">
        <v>483</v>
      </c>
      <c r="L68" s="892">
        <v>741</v>
      </c>
      <c r="M68" s="892">
        <v>1257</v>
      </c>
      <c r="N68" s="23" t="str">
        <f>D68&amp;FIXED(MOD(F68,10),0)</f>
        <v>hh91</v>
      </c>
      <c r="O68" s="78" t="str">
        <f>MID(A$5,((FIND(N68,A$4,1)-1)+1),4)</f>
        <v>7edb</v>
      </c>
      <c r="P68" s="76" t="s">
        <v>0</v>
      </c>
      <c r="Q68" s="76" t="s">
        <v>0</v>
      </c>
      <c r="R68" s="76" t="s">
        <v>0</v>
      </c>
      <c r="S68" s="29" t="s">
        <v>0</v>
      </c>
      <c r="T68" s="42" t="s">
        <v>1</v>
      </c>
    </row>
    <row r="69" spans="1:20" ht="12.75">
      <c r="A69" s="44">
        <v>1291</v>
      </c>
      <c r="B69" s="886">
        <v>2582</v>
      </c>
      <c r="C69" s="886">
        <v>1666681</v>
      </c>
      <c r="D69" s="950" t="s">
        <v>2490</v>
      </c>
      <c r="E69" s="115">
        <f>B69-MOD(E$1-A69*3,B69)</f>
        <v>925</v>
      </c>
      <c r="F69" s="644">
        <f>IF(MOD(E69,5)=0,B69,0)+E69</f>
        <v>3507</v>
      </c>
      <c r="G69" s="814">
        <f>IF(MOD(F69+$B69,5)=0,$B69,0)+$B69+F69</f>
        <v>6089</v>
      </c>
      <c r="H69" s="814">
        <f>IF(MOD(G69+$B69,5)=0,$B69,0)+$B69+G69</f>
        <v>8671</v>
      </c>
      <c r="I69" s="814">
        <f>IF(MOD(H69+$B69,5)=0,$B69,0)+$B69+H69</f>
        <v>11253</v>
      </c>
      <c r="J69" s="911">
        <v>350</v>
      </c>
      <c r="K69" s="892">
        <v>608</v>
      </c>
      <c r="L69" s="892">
        <v>867</v>
      </c>
      <c r="M69" s="892">
        <v>1125</v>
      </c>
      <c r="N69" s="23" t="str">
        <f>D69&amp;FIXED(MOD(F69,10),0)</f>
        <v>hh17</v>
      </c>
      <c r="O69" s="78" t="str">
        <f>MID(A$5,((FIND(N69,A$4,1)-1)+1),4)</f>
        <v>de7b</v>
      </c>
      <c r="P69" s="76" t="s">
        <v>0</v>
      </c>
      <c r="Q69" s="76" t="s">
        <v>0</v>
      </c>
      <c r="R69" s="76" t="s">
        <v>0</v>
      </c>
      <c r="S69" s="29" t="s">
        <v>0</v>
      </c>
      <c r="T69" s="42" t="s">
        <v>1</v>
      </c>
    </row>
    <row r="70" spans="1:20" ht="12.75">
      <c r="A70" s="44">
        <v>1297</v>
      </c>
      <c r="B70" s="886">
        <v>2594</v>
      </c>
      <c r="C70" s="886">
        <v>1682209</v>
      </c>
      <c r="D70" s="950" t="s">
        <v>2501</v>
      </c>
      <c r="E70" s="115">
        <f>B70-MOD(E$1-A70*3,B70)</f>
        <v>587</v>
      </c>
      <c r="F70" s="644">
        <f>IF(MOD(E70,5)=0,B70,0)+E70</f>
        <v>587</v>
      </c>
      <c r="G70" s="814">
        <f>IF(MOD(F70+$B70,5)=0,$B70,0)+$B70+F70</f>
        <v>3181</v>
      </c>
      <c r="H70" s="814">
        <f>IF(MOD(G70+$B70,5)=0,$B70,0)+$B70+G70</f>
        <v>8369</v>
      </c>
      <c r="I70" s="814">
        <f>IF(MOD(H70+$B70,5)=0,$B70,0)+$B70+H70</f>
        <v>10963</v>
      </c>
      <c r="J70" s="911">
        <v>58</v>
      </c>
      <c r="K70" s="892">
        <v>318</v>
      </c>
      <c r="L70" s="892">
        <v>836</v>
      </c>
      <c r="M70" s="892">
        <v>1096</v>
      </c>
      <c r="N70" s="23" t="str">
        <f>D70&amp;FIXED(MOD(F70,10),0)</f>
        <v>hh77</v>
      </c>
      <c r="O70" s="78" t="str">
        <f>MID(A$5,((FIND(N70,A$4,1)-1)+1),4)</f>
        <v>d7eb</v>
      </c>
      <c r="P70" s="76" t="s">
        <v>0</v>
      </c>
      <c r="Q70" s="76" t="s">
        <v>0</v>
      </c>
      <c r="R70" s="76" t="s">
        <v>0</v>
      </c>
      <c r="S70" s="29" t="s">
        <v>0</v>
      </c>
      <c r="T70" s="42" t="s">
        <v>1</v>
      </c>
    </row>
    <row r="71" spans="1:20" ht="12.75">
      <c r="A71" s="44">
        <v>1301</v>
      </c>
      <c r="B71" s="886">
        <v>2602</v>
      </c>
      <c r="C71" s="886">
        <v>1692601</v>
      </c>
      <c r="D71" s="950" t="s">
        <v>2490</v>
      </c>
      <c r="E71" s="115">
        <f>B71-MOD(E$1-A71*3,B71)</f>
        <v>2597</v>
      </c>
      <c r="F71" s="644">
        <f>IF(MOD(E71,5)=0,B71,0)+E71</f>
        <v>2597</v>
      </c>
      <c r="G71" s="814">
        <f>IF(MOD(F71+$B71,5)=0,$B71,0)+$B71+F71</f>
        <v>5199</v>
      </c>
      <c r="H71" s="814">
        <f>IF(MOD(G71+$B71,5)=0,$B71,0)+$B71+G71</f>
        <v>7801</v>
      </c>
      <c r="I71" s="814">
        <f>IF(MOD(H71+$B71,5)=0,$B71,0)+$B71+H71</f>
        <v>10403</v>
      </c>
      <c r="J71" s="911">
        <v>259</v>
      </c>
      <c r="K71" s="892">
        <v>519</v>
      </c>
      <c r="L71" s="892">
        <v>780</v>
      </c>
      <c r="M71" s="892">
        <v>1040</v>
      </c>
      <c r="N71" s="23" t="str">
        <f>D71&amp;FIXED(MOD(F71,10),0)</f>
        <v>hh17</v>
      </c>
      <c r="O71" s="78" t="str">
        <f>MID(A$5,((FIND(N71,A$4,1)-1)+1),4)</f>
        <v>de7b</v>
      </c>
      <c r="P71" s="76" t="s">
        <v>0</v>
      </c>
      <c r="Q71" s="76" t="s">
        <v>0</v>
      </c>
      <c r="R71" s="76" t="s">
        <v>0</v>
      </c>
      <c r="S71" s="29" t="s">
        <v>0</v>
      </c>
      <c r="T71" s="42" t="s">
        <v>1</v>
      </c>
    </row>
    <row r="72" spans="1:20" ht="12.75">
      <c r="A72" s="44">
        <v>1303</v>
      </c>
      <c r="B72" s="886">
        <v>2606</v>
      </c>
      <c r="C72" s="886">
        <v>1697809</v>
      </c>
      <c r="D72" s="950" t="s">
        <v>2496</v>
      </c>
      <c r="E72" s="115">
        <f>B72-MOD(E$1-A72*3,B72)</f>
        <v>75</v>
      </c>
      <c r="F72" s="644">
        <f>IF(MOD(E72,5)=0,B72,0)+E72</f>
        <v>2681</v>
      </c>
      <c r="G72" s="814">
        <f>IF(MOD(F72+$B72,5)=0,$B72,0)+$B72+F72</f>
        <v>5287</v>
      </c>
      <c r="H72" s="814">
        <f>IF(MOD(G72+$B72,5)=0,$B72,0)+$B72+G72</f>
        <v>7893</v>
      </c>
      <c r="I72" s="814">
        <f>IF(MOD(H72+$B72,5)=0,$B72,0)+$B72+H72</f>
        <v>10499</v>
      </c>
      <c r="J72" s="911">
        <v>268</v>
      </c>
      <c r="K72" s="892">
        <v>528</v>
      </c>
      <c r="L72" s="892">
        <v>789</v>
      </c>
      <c r="M72" s="892">
        <v>1049</v>
      </c>
      <c r="N72" s="23" t="str">
        <f>D72&amp;FIXED(MOD(F72,10),0)</f>
        <v>hh31</v>
      </c>
      <c r="O72" s="78" t="str">
        <f>MID(A$5,((FIND(N72,A$4,1)-1)+1),4)</f>
        <v>7dbe</v>
      </c>
      <c r="P72" s="76" t="s">
        <v>0</v>
      </c>
      <c r="Q72" s="76" t="s">
        <v>0</v>
      </c>
      <c r="R72" s="76" t="s">
        <v>0</v>
      </c>
      <c r="S72" s="29" t="s">
        <v>0</v>
      </c>
      <c r="T72" s="42" t="s">
        <v>1</v>
      </c>
    </row>
    <row r="73" spans="1:20" ht="12.75">
      <c r="A73" s="44">
        <v>1307</v>
      </c>
      <c r="B73" s="886">
        <v>2614</v>
      </c>
      <c r="C73" s="886">
        <v>1708249</v>
      </c>
      <c r="D73" s="950" t="s">
        <v>2501</v>
      </c>
      <c r="E73" s="115">
        <f>B73-MOD(E$1-A73*3,B73)</f>
        <v>997</v>
      </c>
      <c r="F73" s="644">
        <f>IF(MOD(E73,5)=0,B73,0)+E73</f>
        <v>997</v>
      </c>
      <c r="G73" s="814">
        <f>IF(MOD(F73+$B73,5)=0,$B73,0)+$B73+F73</f>
        <v>3611</v>
      </c>
      <c r="H73" s="814">
        <f>IF(MOD(G73+$B73,5)=0,$B73,0)+$B73+G73</f>
        <v>8839</v>
      </c>
      <c r="I73" s="814">
        <f>IF(MOD(H73+$B73,5)=0,$B73,0)+$B73+H73</f>
        <v>11453</v>
      </c>
      <c r="J73" s="911">
        <v>99</v>
      </c>
      <c r="K73" s="892">
        <v>361</v>
      </c>
      <c r="L73" s="892">
        <v>883</v>
      </c>
      <c r="M73" s="892">
        <v>1145</v>
      </c>
      <c r="N73" s="23" t="str">
        <f>D73&amp;FIXED(MOD(F73,10),0)</f>
        <v>hh77</v>
      </c>
      <c r="O73" s="78" t="str">
        <f>MID(A$5,((FIND(N73,A$4,1)-1)+1),4)</f>
        <v>d7eb</v>
      </c>
      <c r="P73" s="76" t="s">
        <v>0</v>
      </c>
      <c r="Q73" s="76" t="s">
        <v>0</v>
      </c>
      <c r="R73" s="76" t="s">
        <v>0</v>
      </c>
      <c r="S73" s="29" t="s">
        <v>0</v>
      </c>
      <c r="T73" s="42" t="s">
        <v>1</v>
      </c>
    </row>
    <row r="74" spans="1:20" ht="12.75">
      <c r="A74" s="44">
        <v>1319</v>
      </c>
      <c r="B74" s="886">
        <v>2638</v>
      </c>
      <c r="C74" s="886">
        <v>1739761</v>
      </c>
      <c r="D74" s="950" t="s">
        <v>2506</v>
      </c>
      <c r="E74" s="115">
        <f>B74-MOD(E$1-A74*3,B74)</f>
        <v>2077</v>
      </c>
      <c r="F74" s="644">
        <f>IF(MOD(E74,5)=0,B74,0)+E74</f>
        <v>2077</v>
      </c>
      <c r="G74" s="814">
        <f>IF(MOD(F74+$B74,5)=0,$B74,0)+$B74+F74</f>
        <v>7353</v>
      </c>
      <c r="H74" s="814">
        <f>IF(MOD(G74+$B74,5)=0,$B74,0)+$B74+G74</f>
        <v>9991</v>
      </c>
      <c r="I74" s="814">
        <f>IF(MOD(H74+$B74,5)=0,$B74,0)+$B74+H74</f>
        <v>12629</v>
      </c>
      <c r="J74" s="911">
        <v>207</v>
      </c>
      <c r="K74" s="892">
        <v>735</v>
      </c>
      <c r="L74" s="892">
        <v>999</v>
      </c>
      <c r="M74" s="892">
        <v>1262</v>
      </c>
      <c r="N74" s="23" t="str">
        <f>D74&amp;FIXED(MOD(F74,10),0)</f>
        <v>hh97</v>
      </c>
      <c r="O74" s="78" t="str">
        <f>MID(A$5,((FIND(N74,A$4,1)-1)+1),4)</f>
        <v>db7e</v>
      </c>
      <c r="P74" s="76" t="s">
        <v>0</v>
      </c>
      <c r="Q74" s="76" t="s">
        <v>0</v>
      </c>
      <c r="R74" s="76" t="s">
        <v>0</v>
      </c>
      <c r="S74" s="29" t="s">
        <v>0</v>
      </c>
      <c r="T74" s="42" t="s">
        <v>1</v>
      </c>
    </row>
    <row r="75" spans="1:20" ht="12.75">
      <c r="A75" s="44">
        <v>1321</v>
      </c>
      <c r="B75" s="886">
        <v>2642</v>
      </c>
      <c r="C75" s="886">
        <v>1745041</v>
      </c>
      <c r="D75" s="950" t="s">
        <v>2490</v>
      </c>
      <c r="E75" s="115">
        <f>B75-MOD(E$1-A75*3,B75)</f>
        <v>445</v>
      </c>
      <c r="F75" s="644">
        <f>IF(MOD(E75,5)=0,B75,0)+E75</f>
        <v>3087</v>
      </c>
      <c r="G75" s="814">
        <f>IF(MOD(F75+$B75,5)=0,$B75,0)+$B75+F75</f>
        <v>5729</v>
      </c>
      <c r="H75" s="814">
        <f>IF(MOD(G75+$B75,5)=0,$B75,0)+$B75+G75</f>
        <v>8371</v>
      </c>
      <c r="I75" s="814">
        <f>IF(MOD(H75+$B75,5)=0,$B75,0)+$B75+H75</f>
        <v>11013</v>
      </c>
      <c r="J75" s="911">
        <v>308</v>
      </c>
      <c r="K75" s="892">
        <v>572</v>
      </c>
      <c r="L75" s="892">
        <v>837</v>
      </c>
      <c r="M75" s="892">
        <v>1101</v>
      </c>
      <c r="N75" s="23" t="str">
        <f>D75&amp;FIXED(MOD(F75,10),0)</f>
        <v>hh17</v>
      </c>
      <c r="O75" s="78" t="str">
        <f>MID(A$5,((FIND(N75,A$4,1)-1)+1),4)</f>
        <v>de7b</v>
      </c>
      <c r="P75" s="76" t="s">
        <v>0</v>
      </c>
      <c r="Q75" s="76" t="s">
        <v>0</v>
      </c>
      <c r="R75" s="76" t="s">
        <v>0</v>
      </c>
      <c r="S75" s="29" t="s">
        <v>0</v>
      </c>
      <c r="T75" s="42" t="s">
        <v>1</v>
      </c>
    </row>
    <row r="76" spans="1:20" ht="12.75">
      <c r="A76" s="44">
        <v>1327</v>
      </c>
      <c r="B76" s="886">
        <v>2654</v>
      </c>
      <c r="C76" s="886">
        <v>1760929</v>
      </c>
      <c r="D76" s="950" t="s">
        <v>2501</v>
      </c>
      <c r="E76" s="115">
        <f>B76-MOD(E$1-A76*3,B76)</f>
        <v>1755</v>
      </c>
      <c r="F76" s="644">
        <f>IF(MOD(E76,5)=0,B76,0)+E76</f>
        <v>4409</v>
      </c>
      <c r="G76" s="814">
        <f>IF(MOD(F76+$B76,5)=0,$B76,0)+$B76+F76</f>
        <v>7063</v>
      </c>
      <c r="H76" s="814">
        <f>IF(MOD(G76+$B76,5)=0,$B76,0)+$B76+G76</f>
        <v>9717</v>
      </c>
      <c r="I76" s="814">
        <f>IF(MOD(H76+$B76,5)=0,$B76,0)+$B76+H76</f>
        <v>12371</v>
      </c>
      <c r="J76" s="911">
        <v>440</v>
      </c>
      <c r="K76" s="892">
        <v>706</v>
      </c>
      <c r="L76" s="892">
        <v>971</v>
      </c>
      <c r="M76" s="892">
        <v>1237</v>
      </c>
      <c r="N76" s="23" t="str">
        <f>D76&amp;FIXED(MOD(F76,10),0)</f>
        <v>hh79</v>
      </c>
      <c r="O76" s="78" t="str">
        <f>MID(A$5,((FIND(N76,A$4,1)-1)+1),4)</f>
        <v>ebd7</v>
      </c>
      <c r="P76" s="76" t="s">
        <v>0</v>
      </c>
      <c r="Q76" s="76" t="s">
        <v>0</v>
      </c>
      <c r="R76" s="76" t="s">
        <v>0</v>
      </c>
      <c r="S76" s="29" t="s">
        <v>0</v>
      </c>
      <c r="T76" s="42" t="s">
        <v>1</v>
      </c>
    </row>
    <row r="77" spans="1:20" ht="12.75">
      <c r="A77" s="44">
        <v>1361</v>
      </c>
      <c r="B77" s="886">
        <v>2722</v>
      </c>
      <c r="C77" s="886">
        <v>1852321</v>
      </c>
      <c r="D77" s="950" t="s">
        <v>2490</v>
      </c>
      <c r="E77" s="115">
        <f>B77-MOD(E$1-A77*3,B77)</f>
        <v>2309</v>
      </c>
      <c r="F77" s="644">
        <f>IF(MOD(E77,5)=0,B77,0)+E77</f>
        <v>2309</v>
      </c>
      <c r="G77" s="814">
        <f>IF(MOD(F77+$B77,5)=0,$B77,0)+$B77+F77</f>
        <v>5031</v>
      </c>
      <c r="H77" s="814">
        <f>IF(MOD(G77+$B77,5)=0,$B77,0)+$B77+G77</f>
        <v>7753</v>
      </c>
      <c r="I77" s="814">
        <f>IF(MOD(H77+$B77,5)=0,$B77,0)+$B77+H77</f>
        <v>13197</v>
      </c>
      <c r="J77" s="911">
        <v>230</v>
      </c>
      <c r="K77" s="892">
        <v>503</v>
      </c>
      <c r="L77" s="892">
        <v>775</v>
      </c>
      <c r="M77" s="892">
        <v>1319</v>
      </c>
      <c r="N77" s="23" t="str">
        <f>D77&amp;FIXED(MOD(F77,10),0)</f>
        <v>hh19</v>
      </c>
      <c r="O77" s="78" t="str">
        <f>MID(A$5,((FIND(N77,A$4,1)-1)+1),4)</f>
        <v>e7bd</v>
      </c>
      <c r="P77" s="76" t="s">
        <v>0</v>
      </c>
      <c r="Q77" s="76" t="s">
        <v>0</v>
      </c>
      <c r="R77" s="76" t="s">
        <v>0</v>
      </c>
      <c r="S77" s="29" t="s">
        <v>0</v>
      </c>
      <c r="T77" s="42" t="s">
        <v>1</v>
      </c>
    </row>
    <row r="78" spans="1:20" ht="12.75">
      <c r="A78" s="44">
        <v>1367</v>
      </c>
      <c r="B78" s="886">
        <v>2734</v>
      </c>
      <c r="C78" s="886">
        <v>1868689</v>
      </c>
      <c r="D78" s="950" t="s">
        <v>2501</v>
      </c>
      <c r="E78" s="115">
        <f>B78-MOD(E$1-A78*3,B78)</f>
        <v>39</v>
      </c>
      <c r="F78" s="644">
        <f>IF(MOD(E78,5)=0,B78,0)+E78</f>
        <v>39</v>
      </c>
      <c r="G78" s="814">
        <f>IF(MOD(F78+$B78,5)=0,$B78,0)+$B78+F78</f>
        <v>2773</v>
      </c>
      <c r="H78" s="814">
        <f>IF(MOD(G78+$B78,5)=0,$B78,0)+$B78+G78</f>
        <v>5507</v>
      </c>
      <c r="I78" s="814">
        <f>IF(MOD(H78+$B78,5)=0,$B78,0)+$B78+H78</f>
        <v>8241</v>
      </c>
      <c r="J78" s="911">
        <v>3</v>
      </c>
      <c r="K78" s="892">
        <v>277</v>
      </c>
      <c r="L78" s="892">
        <v>550</v>
      </c>
      <c r="M78" s="892">
        <v>824</v>
      </c>
      <c r="N78" s="23" t="str">
        <f>D78&amp;FIXED(MOD(F78,10),0)</f>
        <v>hh79</v>
      </c>
      <c r="O78" s="78" t="str">
        <f>MID(A$5,((FIND(N78,A$4,1)-1)+1),4)</f>
        <v>ebd7</v>
      </c>
      <c r="P78" s="76" t="s">
        <v>0</v>
      </c>
      <c r="Q78" s="76" t="s">
        <v>0</v>
      </c>
      <c r="R78" s="76" t="s">
        <v>0</v>
      </c>
      <c r="S78" s="29" t="s">
        <v>0</v>
      </c>
      <c r="T78" s="42" t="s">
        <v>1</v>
      </c>
    </row>
    <row r="79" spans="1:20" ht="12.75">
      <c r="A79" s="44">
        <v>1373</v>
      </c>
      <c r="B79" s="886">
        <v>2746</v>
      </c>
      <c r="C79" s="886">
        <v>1885129</v>
      </c>
      <c r="D79" s="950" t="s">
        <v>2496</v>
      </c>
      <c r="E79" s="115">
        <f>B79-MOD(E$1-A79*3,B79)</f>
        <v>1039</v>
      </c>
      <c r="F79" s="644">
        <f>IF(MOD(E79,5)=0,B79,0)+E79</f>
        <v>1039</v>
      </c>
      <c r="G79" s="814">
        <f>IF(MOD(F79+$B79,5)=0,$B79,0)+$B79+F79</f>
        <v>6531</v>
      </c>
      <c r="H79" s="814">
        <f>IF(MOD(G79+$B79,5)=0,$B79,0)+$B79+G79</f>
        <v>9277</v>
      </c>
      <c r="I79" s="814">
        <f>IF(MOD(H79+$B79,5)=0,$B79,0)+$B79+H79</f>
        <v>12023</v>
      </c>
      <c r="J79" s="911">
        <v>103</v>
      </c>
      <c r="K79" s="892">
        <v>653</v>
      </c>
      <c r="L79" s="892">
        <v>927</v>
      </c>
      <c r="M79" s="892">
        <v>1202</v>
      </c>
      <c r="N79" s="23" t="str">
        <f>D79&amp;FIXED(MOD(F79,10),0)</f>
        <v>hh39</v>
      </c>
      <c r="O79" s="78" t="str">
        <f>MID(A$5,((FIND(N79,A$4,1)-1)+1),4)</f>
        <v>e7db</v>
      </c>
      <c r="P79" s="76" t="s">
        <v>0</v>
      </c>
      <c r="Q79" s="76" t="s">
        <v>0</v>
      </c>
      <c r="R79" s="76" t="s">
        <v>0</v>
      </c>
      <c r="S79" s="29" t="s">
        <v>0</v>
      </c>
      <c r="T79" s="42" t="s">
        <v>1</v>
      </c>
    </row>
    <row r="80" spans="1:20" ht="12.75">
      <c r="A80" s="44">
        <v>1381</v>
      </c>
      <c r="B80" s="886">
        <v>2762</v>
      </c>
      <c r="C80" s="886">
        <v>1907161</v>
      </c>
      <c r="D80" s="950" t="s">
        <v>2490</v>
      </c>
      <c r="E80" s="115">
        <f>B80-MOD(E$1-A80*3,B80)</f>
        <v>407</v>
      </c>
      <c r="F80" s="644">
        <f>IF(MOD(E80,5)=0,B80,0)+E80</f>
        <v>407</v>
      </c>
      <c r="G80" s="814">
        <f>IF(MOD(F80+$B80,5)=0,$B80,0)+$B80+F80</f>
        <v>3169</v>
      </c>
      <c r="H80" s="814">
        <f>IF(MOD(G80+$B80,5)=0,$B80,0)+$B80+G80</f>
        <v>5931</v>
      </c>
      <c r="I80" s="814">
        <f>IF(MOD(H80+$B80,5)=0,$B80,0)+$B80+H80</f>
        <v>8693</v>
      </c>
      <c r="J80" s="911">
        <v>40</v>
      </c>
      <c r="K80" s="892">
        <v>316</v>
      </c>
      <c r="L80" s="892">
        <v>593</v>
      </c>
      <c r="M80" s="892">
        <v>869</v>
      </c>
      <c r="N80" s="23" t="str">
        <f>D80&amp;FIXED(MOD(F80,10),0)</f>
        <v>hh17</v>
      </c>
      <c r="O80" s="78" t="str">
        <f>MID(A$5,((FIND(N80,A$4,1)-1)+1),4)</f>
        <v>de7b</v>
      </c>
      <c r="P80" s="76" t="s">
        <v>0</v>
      </c>
      <c r="Q80" s="76" t="s">
        <v>0</v>
      </c>
      <c r="R80" s="76" t="s">
        <v>0</v>
      </c>
      <c r="S80" s="29" t="s">
        <v>0</v>
      </c>
      <c r="T80" s="42" t="s">
        <v>1</v>
      </c>
    </row>
    <row r="81" spans="1:20" ht="12.75">
      <c r="A81" s="44">
        <v>1399</v>
      </c>
      <c r="B81" s="886">
        <v>2798</v>
      </c>
      <c r="C81" s="886">
        <v>1957201</v>
      </c>
      <c r="D81" s="950" t="s">
        <v>2506</v>
      </c>
      <c r="E81" s="115">
        <f>B81-MOD(E$1-A81*3,B81)</f>
        <v>1537</v>
      </c>
      <c r="F81" s="644">
        <f>IF(MOD(E81,5)=0,B81,0)+E81</f>
        <v>1537</v>
      </c>
      <c r="G81" s="814">
        <f>IF(MOD(F81+$B81,5)=0,$B81,0)+$B81+F81</f>
        <v>7133</v>
      </c>
      <c r="H81" s="814">
        <f>IF(MOD(G81+$B81,5)=0,$B81,0)+$B81+G81</f>
        <v>9931</v>
      </c>
      <c r="I81" s="814">
        <f>IF(MOD(H81+$B81,5)=0,$B81,0)+$B81+H81</f>
        <v>12729</v>
      </c>
      <c r="J81" s="911">
        <v>153</v>
      </c>
      <c r="K81" s="892">
        <v>713</v>
      </c>
      <c r="L81" s="892">
        <v>993</v>
      </c>
      <c r="M81" s="892">
        <v>1272</v>
      </c>
      <c r="N81" s="23" t="str">
        <f>D81&amp;FIXED(MOD(F81,10),0)</f>
        <v>hh97</v>
      </c>
      <c r="O81" s="78" t="str">
        <f>MID(A$5,((FIND(N81,A$4,1)-1)+1),4)</f>
        <v>db7e</v>
      </c>
      <c r="P81" s="76" t="s">
        <v>0</v>
      </c>
      <c r="Q81" s="76" t="s">
        <v>0</v>
      </c>
      <c r="R81" s="76" t="s">
        <v>0</v>
      </c>
      <c r="S81" s="29" t="s">
        <v>0</v>
      </c>
      <c r="T81" s="42" t="s">
        <v>1</v>
      </c>
    </row>
    <row r="82" spans="1:20" ht="12.75">
      <c r="A82" s="44">
        <v>1409</v>
      </c>
      <c r="B82" s="886">
        <v>2818</v>
      </c>
      <c r="C82" s="886">
        <v>1985281</v>
      </c>
      <c r="D82" s="950" t="s">
        <v>2506</v>
      </c>
      <c r="E82" s="115">
        <f>B82-MOD(E$1-A82*3,B82)</f>
        <v>381</v>
      </c>
      <c r="F82" s="644">
        <f>IF(MOD(E82,5)=0,B82,0)+E82</f>
        <v>381</v>
      </c>
      <c r="G82" s="814">
        <f>IF(MOD(F82+$B82,5)=0,$B82,0)+$B82+F82</f>
        <v>3199</v>
      </c>
      <c r="H82" s="814">
        <f>IF(MOD(G82+$B82,5)=0,$B82,0)+$B82+G82</f>
        <v>6017</v>
      </c>
      <c r="I82" s="785">
        <f>IF(MOD(H82+$B82,5)=0,$B82,0)+$B82+H82</f>
        <v>11653</v>
      </c>
      <c r="J82" s="911">
        <v>38</v>
      </c>
      <c r="K82" s="892">
        <v>319</v>
      </c>
      <c r="L82" s="892">
        <v>601</v>
      </c>
      <c r="M82" s="785">
        <v>1165</v>
      </c>
      <c r="N82" s="23" t="str">
        <f>D82&amp;FIXED(MOD(F82,10),0)</f>
        <v>hh91</v>
      </c>
      <c r="O82" s="78" t="str">
        <f>MID(A$5,((FIND(N82,A$4,1)-1)+1),4)</f>
        <v>7edb</v>
      </c>
      <c r="P82" s="76" t="s">
        <v>0</v>
      </c>
      <c r="Q82" s="76" t="s">
        <v>0</v>
      </c>
      <c r="R82" s="76" t="s">
        <v>0</v>
      </c>
      <c r="S82" s="103" t="s">
        <v>0</v>
      </c>
      <c r="T82" s="42" t="s">
        <v>1</v>
      </c>
    </row>
    <row r="83" spans="1:20" ht="12.75">
      <c r="A83" s="44">
        <v>1423</v>
      </c>
      <c r="B83" s="886">
        <v>2846</v>
      </c>
      <c r="C83" s="886">
        <v>2024929</v>
      </c>
      <c r="D83" s="950" t="s">
        <v>2496</v>
      </c>
      <c r="E83" s="115">
        <f>B83-MOD(E$1-A83*3,B83)</f>
        <v>659</v>
      </c>
      <c r="F83" s="644">
        <f>IF(MOD(E83,5)=0,B83,0)+E83</f>
        <v>659</v>
      </c>
      <c r="G83" s="814">
        <f>IF(MOD(F83+$B83,5)=0,$B83,0)+$B83+F83</f>
        <v>6351</v>
      </c>
      <c r="H83" s="814">
        <f>IF(MOD(G83+$B83,5)=0,$B83,0)+$B83+G83</f>
        <v>9197</v>
      </c>
      <c r="I83" s="785">
        <f>IF(MOD(H83+$B83,5)=0,$B83,0)+$B83+H83</f>
        <v>12043</v>
      </c>
      <c r="J83" s="911">
        <v>65</v>
      </c>
      <c r="K83" s="892">
        <v>635</v>
      </c>
      <c r="L83" s="892">
        <v>919</v>
      </c>
      <c r="M83" s="785">
        <v>1204</v>
      </c>
      <c r="N83" s="23" t="str">
        <f>D83&amp;FIXED(MOD(F83,10),0)</f>
        <v>hh39</v>
      </c>
      <c r="O83" s="78" t="str">
        <f>MID(A$5,((FIND(N83,A$4,1)-1)+1),4)</f>
        <v>e7db</v>
      </c>
      <c r="P83" s="78" t="s">
        <v>0</v>
      </c>
      <c r="Q83" s="78" t="s">
        <v>0</v>
      </c>
      <c r="R83" s="78" t="s">
        <v>0</v>
      </c>
      <c r="S83" s="103" t="s">
        <v>0</v>
      </c>
      <c r="T83" s="42" t="s">
        <v>1</v>
      </c>
    </row>
    <row r="84" spans="1:20" ht="12.75">
      <c r="A84" s="44">
        <v>1427</v>
      </c>
      <c r="B84" s="886">
        <v>2854</v>
      </c>
      <c r="C84" s="886">
        <v>2036329</v>
      </c>
      <c r="D84" s="950" t="s">
        <v>2501</v>
      </c>
      <c r="E84" s="115">
        <f>B84-MOD(E$1-A84*3,B84)</f>
        <v>223</v>
      </c>
      <c r="F84" s="644">
        <f>IF(MOD(E84,5)=0,B84,0)+E84</f>
        <v>223</v>
      </c>
      <c r="G84" s="814">
        <f>IF(MOD(F84+$B84,5)=0,$B84,0)+$B84+F84</f>
        <v>3077</v>
      </c>
      <c r="H84" s="814">
        <f>IF(MOD(G84+$B84,5)=0,$B84,0)+$B84+G84</f>
        <v>5931</v>
      </c>
      <c r="I84" s="785">
        <f>IF(MOD(H84+$B84,5)=0,$B84,0)+$B84+H84</f>
        <v>11639</v>
      </c>
      <c r="J84" s="911">
        <v>22</v>
      </c>
      <c r="K84" s="892">
        <v>307</v>
      </c>
      <c r="L84" s="892">
        <v>593</v>
      </c>
      <c r="M84" s="785">
        <v>1163</v>
      </c>
      <c r="N84" s="23" t="str">
        <f>D84&amp;FIXED(MOD(F84,10),0)</f>
        <v>hh73</v>
      </c>
      <c r="O84" s="78" t="str">
        <f>MID(A$5,((FIND(N84,A$4,1)-1)+1),4)</f>
        <v>bd7e</v>
      </c>
      <c r="P84" s="78" t="s">
        <v>0</v>
      </c>
      <c r="Q84" s="78" t="s">
        <v>0</v>
      </c>
      <c r="R84" s="78" t="s">
        <v>0</v>
      </c>
      <c r="S84" s="103" t="s">
        <v>0</v>
      </c>
      <c r="T84" s="42" t="s">
        <v>1</v>
      </c>
    </row>
    <row r="85" spans="1:20" ht="12.75">
      <c r="A85" s="44">
        <v>1429</v>
      </c>
      <c r="B85" s="886">
        <v>2858</v>
      </c>
      <c r="C85" s="886">
        <v>2042041</v>
      </c>
      <c r="D85" s="950" t="s">
        <v>2506</v>
      </c>
      <c r="E85" s="115">
        <f>B85-MOD(E$1-A85*3,B85)</f>
        <v>57</v>
      </c>
      <c r="F85" s="644">
        <f>IF(MOD(E85,5)=0,B85,0)+E85</f>
        <v>57</v>
      </c>
      <c r="G85" s="814">
        <f>IF(MOD(F85+$B85,5)=0,$B85,0)+$B85+F85</f>
        <v>5773</v>
      </c>
      <c r="H85" s="814">
        <f>IF(MOD(G85+$B85,5)=0,$B85,0)+$B85+G85</f>
        <v>8631</v>
      </c>
      <c r="I85" s="785">
        <f>IF(MOD(H85+$B85,5)=0,$B85,0)+$B85+H85</f>
        <v>11489</v>
      </c>
      <c r="J85" s="911">
        <v>5</v>
      </c>
      <c r="K85" s="892">
        <v>577</v>
      </c>
      <c r="L85" s="892">
        <v>863</v>
      </c>
      <c r="M85" s="785">
        <v>1148</v>
      </c>
      <c r="N85" s="23" t="str">
        <f>D85&amp;FIXED(MOD(F85,10),0)</f>
        <v>hh97</v>
      </c>
      <c r="O85" s="78" t="str">
        <f>MID(A$5,((FIND(N85,A$4,1)-1)+1),4)</f>
        <v>db7e</v>
      </c>
      <c r="P85" s="78" t="s">
        <v>0</v>
      </c>
      <c r="Q85" s="78" t="s">
        <v>0</v>
      </c>
      <c r="R85" s="78" t="s">
        <v>0</v>
      </c>
      <c r="S85" s="103" t="s">
        <v>0</v>
      </c>
      <c r="T85" s="42" t="s">
        <v>1</v>
      </c>
    </row>
    <row r="86" spans="1:20" ht="12.75">
      <c r="A86" s="44">
        <v>1433</v>
      </c>
      <c r="B86" s="886">
        <v>2866</v>
      </c>
      <c r="C86" s="886">
        <v>2053489</v>
      </c>
      <c r="D86" s="950" t="s">
        <v>2496</v>
      </c>
      <c r="E86" s="115">
        <f>B86-MOD(E$1-A86*3,B86)</f>
        <v>627</v>
      </c>
      <c r="F86" s="644">
        <f>IF(MOD(E86,5)=0,B86,0)+E86</f>
        <v>627</v>
      </c>
      <c r="G86" s="814">
        <f>IF(MOD(F86+$B86,5)=0,$B86,0)+$B86+F86</f>
        <v>3493</v>
      </c>
      <c r="H86" s="814">
        <f>IF(MOD(G86+$B86,5)=0,$B86,0)+$B86+G86</f>
        <v>6359</v>
      </c>
      <c r="I86" s="785">
        <f>IF(MOD(H86+$B86,5)=0,$B86,0)+$B86+H86</f>
        <v>12091</v>
      </c>
      <c r="J86" s="911">
        <v>62</v>
      </c>
      <c r="K86" s="892">
        <v>349</v>
      </c>
      <c r="L86" s="892">
        <v>635</v>
      </c>
      <c r="M86" s="785">
        <v>1209</v>
      </c>
      <c r="N86" s="23" t="str">
        <f>D86&amp;FIXED(MOD(F86,10),0)</f>
        <v>hh37</v>
      </c>
      <c r="O86" s="78" t="str">
        <f>MID(A$5,((FIND(N86,A$4,1)-1)+1),4)</f>
        <v>dbe7</v>
      </c>
      <c r="P86" s="78" t="s">
        <v>0</v>
      </c>
      <c r="Q86" s="78" t="s">
        <v>0</v>
      </c>
      <c r="R86" s="78" t="s">
        <v>0</v>
      </c>
      <c r="S86" s="103" t="s">
        <v>0</v>
      </c>
      <c r="T86" s="42" t="s">
        <v>1</v>
      </c>
    </row>
    <row r="87" spans="1:20" ht="12.75">
      <c r="A87" s="44">
        <v>1439</v>
      </c>
      <c r="B87" s="886">
        <v>2878</v>
      </c>
      <c r="C87" s="886">
        <v>2070721</v>
      </c>
      <c r="D87" s="950" t="s">
        <v>2506</v>
      </c>
      <c r="E87" s="115">
        <f>B87-MOD(E$1-A87*3,B87)</f>
        <v>1621</v>
      </c>
      <c r="F87" s="644">
        <f>IF(MOD(E87,5)=0,B87,0)+E87</f>
        <v>1621</v>
      </c>
      <c r="G87" s="814">
        <f>IF(MOD(F87+$B87,5)=0,$B87,0)+$B87+F87</f>
        <v>4499</v>
      </c>
      <c r="H87" s="814">
        <f>IF(MOD(G87+$B87,5)=0,$B87,0)+$B87+G87</f>
        <v>7377</v>
      </c>
      <c r="I87" s="785">
        <f>IF(MOD(H87+$B87,5)=0,$B87,0)+$B87+H87</f>
        <v>13133</v>
      </c>
      <c r="J87" s="911">
        <v>162</v>
      </c>
      <c r="K87" s="892">
        <v>449</v>
      </c>
      <c r="L87" s="892">
        <v>737</v>
      </c>
      <c r="M87" s="785">
        <v>1313</v>
      </c>
      <c r="N87" s="23" t="str">
        <f>D87&amp;FIXED(MOD(F87,10),0)</f>
        <v>hh91</v>
      </c>
      <c r="O87" s="78" t="str">
        <f>MID(A$5,((FIND(N87,A$4,1)-1)+1),4)</f>
        <v>7edb</v>
      </c>
      <c r="P87" s="78" t="s">
        <v>0</v>
      </c>
      <c r="Q87" s="78" t="s">
        <v>0</v>
      </c>
      <c r="R87" s="78" t="s">
        <v>0</v>
      </c>
      <c r="S87" s="103" t="s">
        <v>0</v>
      </c>
      <c r="T87" s="42" t="s">
        <v>1</v>
      </c>
    </row>
    <row r="88" spans="1:20" ht="12.75">
      <c r="A88" s="44">
        <v>1447</v>
      </c>
      <c r="B88" s="886">
        <v>2894</v>
      </c>
      <c r="C88" s="886">
        <v>2093809</v>
      </c>
      <c r="D88" s="950" t="s">
        <v>2501</v>
      </c>
      <c r="E88" s="115">
        <f>B88-MOD(E$1-A88*3,B88)</f>
        <v>139</v>
      </c>
      <c r="F88" s="644">
        <f>IF(MOD(E88,5)=0,B88,0)+E88</f>
        <v>139</v>
      </c>
      <c r="G88" s="814">
        <f>IF(MOD(F88+$B88,5)=0,$B88,0)+$B88+F88</f>
        <v>3033</v>
      </c>
      <c r="H88" s="814">
        <f>IF(MOD(G88+$B88,5)=0,$B88,0)+$B88+G88</f>
        <v>5927</v>
      </c>
      <c r="I88" s="785">
        <f>IF(MOD(H88+$B88,5)=0,$B88,0)+$B88+H88</f>
        <v>8821</v>
      </c>
      <c r="J88" s="911">
        <v>13</v>
      </c>
      <c r="K88" s="892">
        <v>303</v>
      </c>
      <c r="L88" s="892">
        <v>592</v>
      </c>
      <c r="M88" s="785">
        <v>882</v>
      </c>
      <c r="N88" s="23" t="str">
        <f>D88&amp;FIXED(MOD(F88,10),0)</f>
        <v>hh79</v>
      </c>
      <c r="O88" s="78" t="str">
        <f>MID(A$5,((FIND(N88,A$4,1)-1)+1),4)</f>
        <v>ebd7</v>
      </c>
      <c r="P88" s="78" t="s">
        <v>0</v>
      </c>
      <c r="Q88" s="78" t="s">
        <v>0</v>
      </c>
      <c r="R88" s="78" t="s">
        <v>0</v>
      </c>
      <c r="S88" s="103" t="s">
        <v>0</v>
      </c>
      <c r="T88" s="42" t="s">
        <v>1</v>
      </c>
    </row>
    <row r="89" spans="1:20" ht="12.75">
      <c r="A89" s="44">
        <v>1451</v>
      </c>
      <c r="B89" s="886">
        <v>2902</v>
      </c>
      <c r="C89" s="886">
        <v>2105401</v>
      </c>
      <c r="D89" s="950" t="s">
        <v>2490</v>
      </c>
      <c r="E89" s="115">
        <f>B89-MOD(E$1-A89*3,B89)</f>
        <v>949</v>
      </c>
      <c r="F89" s="644">
        <f>IF(MOD(E89,5)=0,B89,0)+E89</f>
        <v>949</v>
      </c>
      <c r="G89" s="814">
        <f>IF(MOD(F89+$B89,5)=0,$B89,0)+$B89+F89</f>
        <v>3851</v>
      </c>
      <c r="H89" s="814">
        <f>IF(MOD(G89+$B89,5)=0,$B89,0)+$B89+G89</f>
        <v>6753</v>
      </c>
      <c r="I89" s="785">
        <f>IF(MOD(H89+$B89,5)=0,$B89,0)+$B89+H89</f>
        <v>12557</v>
      </c>
      <c r="J89" s="911">
        <v>94</v>
      </c>
      <c r="K89" s="892">
        <v>385</v>
      </c>
      <c r="L89" s="892">
        <v>675</v>
      </c>
      <c r="M89" s="785">
        <v>1255</v>
      </c>
      <c r="N89" s="23" t="str">
        <f>D89&amp;FIXED(MOD(F89,10),0)</f>
        <v>hh19</v>
      </c>
      <c r="O89" s="78" t="str">
        <f>MID(A$5,((FIND(N89,A$4,1)-1)+1),4)</f>
        <v>e7bd</v>
      </c>
      <c r="P89" s="78" t="s">
        <v>0</v>
      </c>
      <c r="Q89" s="78" t="s">
        <v>0</v>
      </c>
      <c r="R89" s="78" t="s">
        <v>0</v>
      </c>
      <c r="S89" s="103" t="s">
        <v>0</v>
      </c>
      <c r="T89" s="42" t="s">
        <v>1</v>
      </c>
    </row>
    <row r="90" spans="1:20" ht="12.75">
      <c r="A90" s="44">
        <v>1453</v>
      </c>
      <c r="B90" s="886">
        <v>2906</v>
      </c>
      <c r="C90" s="886">
        <v>2111209</v>
      </c>
      <c r="D90" s="950" t="s">
        <v>2496</v>
      </c>
      <c r="E90" s="115">
        <f>B90-MOD(E$1-A90*3,B90)</f>
        <v>1255</v>
      </c>
      <c r="F90" s="644">
        <f>IF(MOD(E90,5)=0,B90,0)+E90</f>
        <v>4161</v>
      </c>
      <c r="G90" s="814">
        <f>IF(MOD(F90+$B90,5)=0,$B90,0)+$B90+F90</f>
        <v>7067</v>
      </c>
      <c r="H90" s="814">
        <f>IF(MOD(G90+$B90,5)=0,$B90,0)+$B90+G90</f>
        <v>9973</v>
      </c>
      <c r="I90" s="785">
        <f>IF(MOD(H90+$B90,5)=0,$B90,0)+$B90+H90</f>
        <v>12879</v>
      </c>
      <c r="J90" s="911">
        <v>416</v>
      </c>
      <c r="K90" s="892">
        <v>706</v>
      </c>
      <c r="L90" s="892">
        <v>997</v>
      </c>
      <c r="M90" s="785">
        <v>1287</v>
      </c>
      <c r="N90" s="23" t="str">
        <f>D90&amp;FIXED(MOD(F90,10),0)</f>
        <v>hh31</v>
      </c>
      <c r="O90" s="78" t="str">
        <f>MID(A$5,((FIND(N90,A$4,1)-1)+1),4)</f>
        <v>7dbe</v>
      </c>
      <c r="P90" s="78" t="s">
        <v>0</v>
      </c>
      <c r="Q90" s="78" t="s">
        <v>0</v>
      </c>
      <c r="R90" s="78" t="s">
        <v>0</v>
      </c>
      <c r="S90" s="103" t="s">
        <v>0</v>
      </c>
      <c r="T90" s="42" t="s">
        <v>1</v>
      </c>
    </row>
    <row r="91" spans="1:20" ht="12.75">
      <c r="A91" s="44">
        <v>1459</v>
      </c>
      <c r="B91" s="886">
        <v>2918</v>
      </c>
      <c r="C91" s="886">
        <v>2128681</v>
      </c>
      <c r="D91" s="950" t="s">
        <v>2506</v>
      </c>
      <c r="E91" s="115">
        <f>B91-MOD(E$1-A91*3,B91)</f>
        <v>1015</v>
      </c>
      <c r="F91" s="644">
        <f>IF(MOD(E91,5)=0,B91,0)+E91</f>
        <v>3933</v>
      </c>
      <c r="G91" s="814">
        <f>IF(MOD(F91+$B91,5)=0,$B91,0)+$B91+F91</f>
        <v>6851</v>
      </c>
      <c r="H91" s="814">
        <f>IF(MOD(G91+$B91,5)=0,$B91,0)+$B91+G91</f>
        <v>9769</v>
      </c>
      <c r="I91" s="785">
        <f>IF(MOD(H91+$B91,5)=0,$B91,0)+$B91+H91</f>
        <v>12687</v>
      </c>
      <c r="J91" s="911">
        <v>393</v>
      </c>
      <c r="K91" s="892">
        <v>685</v>
      </c>
      <c r="L91" s="892">
        <v>976</v>
      </c>
      <c r="M91" s="785">
        <v>1268</v>
      </c>
      <c r="N91" s="23" t="str">
        <f>D91&amp;FIXED(MOD(F91,10),0)</f>
        <v>hh93</v>
      </c>
      <c r="O91" s="78" t="str">
        <f>MID(A$5,((FIND(N91,A$4,1)-1)+1),4)</f>
        <v>b7ed</v>
      </c>
      <c r="P91" s="78" t="s">
        <v>0</v>
      </c>
      <c r="Q91" s="78" t="s">
        <v>0</v>
      </c>
      <c r="R91" s="78" t="s">
        <v>0</v>
      </c>
      <c r="S91" s="103" t="s">
        <v>0</v>
      </c>
      <c r="T91" s="42" t="s">
        <v>1</v>
      </c>
    </row>
    <row r="92" spans="1:20" ht="12.75">
      <c r="A92" s="44">
        <v>1471</v>
      </c>
      <c r="B92" s="886">
        <v>2942</v>
      </c>
      <c r="C92" s="886">
        <v>2163841</v>
      </c>
      <c r="D92" s="950" t="s">
        <v>2490</v>
      </c>
      <c r="E92" s="115">
        <f>B92-MOD(E$1-A92*3,B92)</f>
        <v>2047</v>
      </c>
      <c r="F92" s="644">
        <f>IF(MOD(E92,5)=0,B92,0)+E92</f>
        <v>2047</v>
      </c>
      <c r="G92" s="814">
        <f>IF(MOD(F92+$B92,5)=0,$B92,0)+$B92+F92</f>
        <v>4989</v>
      </c>
      <c r="H92" s="814">
        <f>IF(MOD(G92+$B92,5)=0,$B92,0)+$B92+G92</f>
        <v>7931</v>
      </c>
      <c r="I92" s="785">
        <f>IF(MOD(H92+$B92,5)=0,$B92,0)+$B92+H92</f>
        <v>10873</v>
      </c>
      <c r="J92" s="911">
        <v>204</v>
      </c>
      <c r="K92" s="892">
        <v>498</v>
      </c>
      <c r="L92" s="892">
        <v>793</v>
      </c>
      <c r="M92" s="785">
        <v>1087</v>
      </c>
      <c r="N92" s="23" t="str">
        <f>D92&amp;FIXED(MOD(F92,10),0)</f>
        <v>hh17</v>
      </c>
      <c r="O92" s="78" t="str">
        <f>MID(A$5,((FIND(N92,A$4,1)-1)+1),4)</f>
        <v>de7b</v>
      </c>
      <c r="P92" s="78" t="s">
        <v>0</v>
      </c>
      <c r="Q92" s="78" t="s">
        <v>0</v>
      </c>
      <c r="R92" s="78" t="s">
        <v>0</v>
      </c>
      <c r="S92" s="103" t="s">
        <v>0</v>
      </c>
      <c r="T92" s="42" t="s">
        <v>1</v>
      </c>
    </row>
    <row r="93" spans="1:20" ht="12.75">
      <c r="A93" s="44">
        <v>1481</v>
      </c>
      <c r="B93" s="886">
        <v>2962</v>
      </c>
      <c r="C93" s="886">
        <v>2193361</v>
      </c>
      <c r="D93" s="950" t="s">
        <v>2490</v>
      </c>
      <c r="E93" s="115">
        <f>B93-MOD(E$1-A93*3,B93)</f>
        <v>2367</v>
      </c>
      <c r="F93" s="644">
        <f>IF(MOD(E93,5)=0,B93,0)+E93</f>
        <v>2367</v>
      </c>
      <c r="G93" s="814">
        <f>IF(MOD(F93+$B93,5)=0,$B93,0)+$B93+F93</f>
        <v>5329</v>
      </c>
      <c r="H93" s="814">
        <f>IF(MOD(G93+$B93,5)=0,$B93,0)+$B93+G93</f>
        <v>8291</v>
      </c>
      <c r="I93" s="785">
        <f>IF(MOD(H93+$B93,5)=0,$B93,0)+$B93+H93</f>
        <v>11253</v>
      </c>
      <c r="J93" s="911">
        <v>236</v>
      </c>
      <c r="K93" s="892">
        <v>532</v>
      </c>
      <c r="L93" s="892">
        <v>829</v>
      </c>
      <c r="M93" s="785">
        <v>1125</v>
      </c>
      <c r="N93" s="23" t="str">
        <f>D93&amp;FIXED(MOD(F93,10),0)</f>
        <v>hh17</v>
      </c>
      <c r="O93" s="78" t="str">
        <f>MID(A$5,((FIND(N93,A$4,1)-1)+1),4)</f>
        <v>de7b</v>
      </c>
      <c r="P93" s="78" t="s">
        <v>0</v>
      </c>
      <c r="Q93" s="78" t="s">
        <v>0</v>
      </c>
      <c r="R93" s="78" t="s">
        <v>0</v>
      </c>
      <c r="S93" s="103" t="s">
        <v>0</v>
      </c>
      <c r="T93" s="42" t="s">
        <v>1</v>
      </c>
    </row>
    <row r="94" spans="1:20" ht="12.75">
      <c r="A94" s="44">
        <v>1483</v>
      </c>
      <c r="B94" s="886">
        <v>2966</v>
      </c>
      <c r="C94" s="886">
        <v>2199289</v>
      </c>
      <c r="D94" s="950" t="s">
        <v>2496</v>
      </c>
      <c r="E94" s="115">
        <f>B94-MOD(E$1-A94*3,B94)</f>
        <v>49</v>
      </c>
      <c r="F94" s="644">
        <f>IF(MOD(E94,5)=0,B94,0)+E94</f>
        <v>49</v>
      </c>
      <c r="G94" s="814">
        <f>IF(MOD(F94+$B94,5)=0,$B94,0)+$B94+F94</f>
        <v>5981</v>
      </c>
      <c r="H94" s="814">
        <f>IF(MOD(G94+$B94,5)=0,$B94,0)+$B94+G94</f>
        <v>8947</v>
      </c>
      <c r="I94" s="785">
        <f>IF(MOD(H94+$B94,5)=0,$B94,0)+$B94+H94</f>
        <v>11913</v>
      </c>
      <c r="J94" s="911">
        <v>4</v>
      </c>
      <c r="K94" s="892">
        <v>598</v>
      </c>
      <c r="L94" s="892">
        <v>894</v>
      </c>
      <c r="M94" s="785">
        <v>1191</v>
      </c>
      <c r="N94" s="23" t="str">
        <f>D94&amp;FIXED(MOD(F94,10),0)</f>
        <v>hh39</v>
      </c>
      <c r="O94" s="78" t="str">
        <f>MID(A$5,((FIND(N94,A$4,1)-1)+1),4)</f>
        <v>e7db</v>
      </c>
      <c r="P94" s="78" t="s">
        <v>0</v>
      </c>
      <c r="Q94" s="78" t="s">
        <v>0</v>
      </c>
      <c r="R94" s="78" t="s">
        <v>0</v>
      </c>
      <c r="S94" s="103" t="s">
        <v>0</v>
      </c>
      <c r="T94" s="42" t="s">
        <v>1</v>
      </c>
    </row>
    <row r="95" spans="1:20" ht="12.75">
      <c r="A95" s="44">
        <v>1487</v>
      </c>
      <c r="B95" s="886">
        <v>2974</v>
      </c>
      <c r="C95" s="886">
        <v>2211169</v>
      </c>
      <c r="D95" s="950" t="s">
        <v>2501</v>
      </c>
      <c r="E95" s="115">
        <f>B95-MOD(E$1-A95*3,B95)</f>
        <v>1713</v>
      </c>
      <c r="F95" s="644">
        <f>IF(MOD(E95,5)=0,B95,0)+E95</f>
        <v>1713</v>
      </c>
      <c r="G95" s="814">
        <f>IF(MOD(F95+$B95,5)=0,$B95,0)+$B95+F95</f>
        <v>4687</v>
      </c>
      <c r="H95" s="814">
        <f>IF(MOD(G95+$B95,5)=0,$B95,0)+$B95+G95</f>
        <v>7661</v>
      </c>
      <c r="I95" s="785">
        <f>IF(MOD(H95+$B95,5)=0,$B95,0)+$B95+H95</f>
        <v>13609</v>
      </c>
      <c r="J95" s="911">
        <v>171</v>
      </c>
      <c r="K95" s="892">
        <v>468</v>
      </c>
      <c r="L95" s="892">
        <v>766</v>
      </c>
      <c r="M95" s="785">
        <v>1360</v>
      </c>
      <c r="N95" s="23" t="str">
        <f>D95&amp;FIXED(MOD(F95,10),0)</f>
        <v>hh73</v>
      </c>
      <c r="O95" s="78" t="str">
        <f>MID(A$5,((FIND(N95,A$4,1)-1)+1),4)</f>
        <v>bd7e</v>
      </c>
      <c r="P95" s="78" t="s">
        <v>0</v>
      </c>
      <c r="Q95" s="78" t="s">
        <v>0</v>
      </c>
      <c r="R95" s="78" t="s">
        <v>0</v>
      </c>
      <c r="S95" s="103" t="s">
        <v>0</v>
      </c>
      <c r="T95" s="42" t="s">
        <v>1</v>
      </c>
    </row>
    <row r="96" spans="1:20" ht="12.75">
      <c r="A96" s="44">
        <v>1489</v>
      </c>
      <c r="B96" s="886">
        <v>2978</v>
      </c>
      <c r="C96" s="886">
        <v>2217121</v>
      </c>
      <c r="D96" s="950" t="s">
        <v>2506</v>
      </c>
      <c r="E96" s="115">
        <f>B96-MOD(E$1-A96*3,B96)</f>
        <v>2465</v>
      </c>
      <c r="F96" s="644">
        <f>IF(MOD(E96,5)=0,B96,0)+E96</f>
        <v>5443</v>
      </c>
      <c r="G96" s="814">
        <f>IF(MOD(F96+$B96,5)=0,$B96,0)+$B96+F96</f>
        <v>8421</v>
      </c>
      <c r="H96" s="814">
        <f>IF(MOD(G96+$B96,5)=0,$B96,0)+$B96+G96</f>
        <v>11399</v>
      </c>
      <c r="I96" s="785">
        <f>IF(MOD(H96+$B96,5)=0,$B96,0)+$B96+H96</f>
        <v>14377</v>
      </c>
      <c r="J96" s="911">
        <v>544</v>
      </c>
      <c r="K96" s="892">
        <v>842</v>
      </c>
      <c r="L96" s="892">
        <v>1139</v>
      </c>
      <c r="M96" s="785">
        <v>1437</v>
      </c>
      <c r="N96" s="23" t="str">
        <f>D96&amp;FIXED(MOD(F96,10),0)</f>
        <v>hh93</v>
      </c>
      <c r="O96" s="78" t="str">
        <f>MID(A$5,((FIND(N96,A$4,1)-1)+1),4)</f>
        <v>b7ed</v>
      </c>
      <c r="P96" s="78" t="s">
        <v>0</v>
      </c>
      <c r="Q96" s="78" t="s">
        <v>0</v>
      </c>
      <c r="R96" s="78" t="s">
        <v>0</v>
      </c>
      <c r="S96" s="103" t="s">
        <v>0</v>
      </c>
      <c r="T96" s="42" t="s">
        <v>1</v>
      </c>
    </row>
    <row r="97" spans="1:20" ht="12.75">
      <c r="A97" s="44">
        <v>1493</v>
      </c>
      <c r="B97" s="886">
        <v>2986</v>
      </c>
      <c r="C97" s="886">
        <v>2229049</v>
      </c>
      <c r="D97" s="950" t="s">
        <v>2496</v>
      </c>
      <c r="E97" s="115">
        <f>B97-MOD(E$1-A97*3,B97)</f>
        <v>2779</v>
      </c>
      <c r="F97" s="644">
        <f>IF(MOD(E97,5)=0,B97,0)+E97</f>
        <v>2779</v>
      </c>
      <c r="G97" s="814">
        <f>IF(MOD(F97+$B97,5)=0,$B97,0)+$B97+F97</f>
        <v>8751</v>
      </c>
      <c r="H97" s="814">
        <f>IF(MOD(G97+$B97,5)=0,$B97,0)+$B97+G97</f>
        <v>11737</v>
      </c>
      <c r="I97" s="785">
        <f>IF(MOD(H97+$B97,5)=0,$B97,0)+$B97+H97</f>
        <v>14723</v>
      </c>
      <c r="J97" s="911">
        <v>277</v>
      </c>
      <c r="K97" s="892">
        <v>875</v>
      </c>
      <c r="L97" s="892">
        <v>1173</v>
      </c>
      <c r="M97" s="785">
        <v>1472</v>
      </c>
      <c r="N97" s="23" t="str">
        <f>D97&amp;FIXED(MOD(F97,10),0)</f>
        <v>hh39</v>
      </c>
      <c r="O97" s="78" t="str">
        <f>MID(A$5,((FIND(N97,A$4,1)-1)+1),4)</f>
        <v>e7db</v>
      </c>
      <c r="P97" s="78" t="s">
        <v>0</v>
      </c>
      <c r="Q97" s="78" t="s">
        <v>0</v>
      </c>
      <c r="R97" s="78" t="s">
        <v>0</v>
      </c>
      <c r="S97" s="103" t="s">
        <v>0</v>
      </c>
      <c r="T97" s="42" t="s">
        <v>1</v>
      </c>
    </row>
    <row r="98" spans="1:20" ht="12.75">
      <c r="A98" s="44">
        <v>1499</v>
      </c>
      <c r="B98" s="886">
        <v>2998</v>
      </c>
      <c r="C98" s="886">
        <v>2247001</v>
      </c>
      <c r="D98" s="950" t="s">
        <v>2506</v>
      </c>
      <c r="E98" s="115">
        <f>B98-MOD(E$1-A98*3,B98)</f>
        <v>1741</v>
      </c>
      <c r="F98" s="644">
        <f>IF(MOD(E98,5)=0,B98,0)+E98</f>
        <v>1741</v>
      </c>
      <c r="G98" s="814">
        <f>IF(MOD(F98+$B98,5)=0,$B98,0)+$B98+F98</f>
        <v>4739</v>
      </c>
      <c r="H98" s="814">
        <f>IF(MOD(G98+$B98,5)=0,$B98,0)+$B98+G98</f>
        <v>7737</v>
      </c>
      <c r="I98" s="785">
        <f>IF(MOD(H98+$B98,5)=0,$B98,0)+$B98+H98</f>
        <v>13733</v>
      </c>
      <c r="J98" s="911">
        <v>174</v>
      </c>
      <c r="K98" s="892">
        <v>473</v>
      </c>
      <c r="L98" s="892">
        <v>773</v>
      </c>
      <c r="M98" s="785">
        <v>1373</v>
      </c>
      <c r="N98" s="23" t="str">
        <f>D98&amp;FIXED(MOD(F98,10),0)</f>
        <v>hh91</v>
      </c>
      <c r="O98" s="78" t="str">
        <f>MID(A$5,((FIND(N98,A$4,1)-1)+1),4)</f>
        <v>7edb</v>
      </c>
      <c r="P98" s="78" t="s">
        <v>0</v>
      </c>
      <c r="Q98" s="78" t="s">
        <v>0</v>
      </c>
      <c r="R98" s="78" t="s">
        <v>0</v>
      </c>
      <c r="S98" s="103" t="s">
        <v>0</v>
      </c>
      <c r="T98" s="42" t="s">
        <v>1</v>
      </c>
    </row>
    <row r="99" spans="1:20" ht="12.75">
      <c r="A99" s="44">
        <v>1511</v>
      </c>
      <c r="B99" s="886">
        <v>3022</v>
      </c>
      <c r="C99" s="886">
        <v>2283121</v>
      </c>
      <c r="D99" s="950" t="s">
        <v>2490</v>
      </c>
      <c r="E99" s="115">
        <f>B99-MOD(E$1-A99*3,B99)</f>
        <v>1165</v>
      </c>
      <c r="F99" s="644">
        <f>IF(MOD(E99,5)=0,B99,0)+E99</f>
        <v>4187</v>
      </c>
      <c r="G99" s="814">
        <f>IF(MOD(F99+$B99,5)=0,$B99,0)+$B99+F99</f>
        <v>7209</v>
      </c>
      <c r="H99" s="814">
        <f>IF(MOD(G99+$B99,5)=0,$B99,0)+$B99+G99</f>
        <v>10231</v>
      </c>
      <c r="I99" s="785">
        <f>IF(MOD(H99+$B99,5)=0,$B99,0)+$B99+H99</f>
        <v>13253</v>
      </c>
      <c r="J99" s="911">
        <v>418</v>
      </c>
      <c r="K99" s="892">
        <v>720</v>
      </c>
      <c r="L99" s="892">
        <v>1023</v>
      </c>
      <c r="M99" s="785">
        <v>1325</v>
      </c>
      <c r="N99" s="23" t="str">
        <f>D99&amp;FIXED(MOD(F99,10),0)</f>
        <v>hh17</v>
      </c>
      <c r="O99" s="78" t="str">
        <f>MID(A$5,((FIND(N99,A$4,1)-1)+1),4)</f>
        <v>de7b</v>
      </c>
      <c r="P99" s="78" t="s">
        <v>0</v>
      </c>
      <c r="Q99" s="78" t="s">
        <v>0</v>
      </c>
      <c r="R99" s="78" t="s">
        <v>0</v>
      </c>
      <c r="S99" s="103" t="s">
        <v>0</v>
      </c>
      <c r="T99" s="42" t="s">
        <v>1</v>
      </c>
    </row>
    <row r="100" spans="1:20" ht="12.75">
      <c r="A100" s="44">
        <v>1523</v>
      </c>
      <c r="B100" s="886">
        <v>3046</v>
      </c>
      <c r="C100" s="886">
        <v>2319529</v>
      </c>
      <c r="D100" s="950" t="s">
        <v>2496</v>
      </c>
      <c r="E100" s="115">
        <f>B100-MOD(E$1-A100*3,B100)</f>
        <v>211</v>
      </c>
      <c r="F100" s="644">
        <f>IF(MOD(E100,5)=0,B100,0)+E100</f>
        <v>211</v>
      </c>
      <c r="G100" s="814">
        <f>IF(MOD(F100+$B100,5)=0,$B100,0)+$B100+F100</f>
        <v>3257</v>
      </c>
      <c r="H100" s="814">
        <f>IF(MOD(G100+$B100,5)=0,$B100,0)+$B100+G100</f>
        <v>6303</v>
      </c>
      <c r="I100" s="785">
        <f>IF(MOD(H100+$B100,5)=0,$B100,0)+$B100+H100</f>
        <v>9349</v>
      </c>
      <c r="J100" s="911">
        <v>21</v>
      </c>
      <c r="K100" s="892">
        <v>325</v>
      </c>
      <c r="L100" s="892">
        <v>630</v>
      </c>
      <c r="M100" s="785">
        <v>934</v>
      </c>
      <c r="N100" s="23" t="str">
        <f>D100&amp;FIXED(MOD(F100,10),0)</f>
        <v>hh31</v>
      </c>
      <c r="O100" s="78" t="str">
        <f>MID(A$5,((FIND(N100,A$4,1)-1)+1),4)</f>
        <v>7dbe</v>
      </c>
      <c r="P100" s="78" t="s">
        <v>0</v>
      </c>
      <c r="Q100" s="78" t="s">
        <v>0</v>
      </c>
      <c r="R100" s="78" t="s">
        <v>0</v>
      </c>
      <c r="S100" s="103" t="s">
        <v>0</v>
      </c>
      <c r="T100" s="42" t="s">
        <v>1</v>
      </c>
    </row>
    <row r="101" spans="1:20" ht="12.75">
      <c r="A101" s="44">
        <v>1531</v>
      </c>
      <c r="B101" s="886">
        <v>3062</v>
      </c>
      <c r="C101" s="886">
        <v>2343961</v>
      </c>
      <c r="D101" s="950" t="s">
        <v>2490</v>
      </c>
      <c r="E101" s="115">
        <f>B101-MOD(E$1-A101*3,B101)</f>
        <v>25</v>
      </c>
      <c r="F101" s="644">
        <f>IF(MOD(E101,5)=0,B101,0)+E101</f>
        <v>3087</v>
      </c>
      <c r="G101" s="814">
        <f>IF(MOD(F101+$B101,5)=0,$B101,0)+$B101+F101</f>
        <v>6149</v>
      </c>
      <c r="H101" s="814">
        <f>IF(MOD(G101+$B101,5)=0,$B101,0)+$B101+G101</f>
        <v>9211</v>
      </c>
      <c r="I101" s="785">
        <f>IF(MOD(H101+$B101,5)=0,$B101,0)+$B101+H101</f>
        <v>12273</v>
      </c>
      <c r="J101" s="911">
        <v>308</v>
      </c>
      <c r="K101" s="892">
        <v>614</v>
      </c>
      <c r="L101" s="892">
        <v>921</v>
      </c>
      <c r="M101" s="785">
        <v>1227</v>
      </c>
      <c r="N101" s="23" t="str">
        <f>D101&amp;FIXED(MOD(F101,10),0)</f>
        <v>hh17</v>
      </c>
      <c r="O101" s="78" t="str">
        <f>MID(A$5,((FIND(N101,A$4,1)-1)+1),4)</f>
        <v>de7b</v>
      </c>
      <c r="P101" s="78" t="s">
        <v>0</v>
      </c>
      <c r="Q101" s="78" t="s">
        <v>0</v>
      </c>
      <c r="R101" s="78" t="s">
        <v>0</v>
      </c>
      <c r="S101" s="103" t="s">
        <v>0</v>
      </c>
      <c r="T101" s="42" t="s">
        <v>1</v>
      </c>
    </row>
    <row r="102" spans="1:20" ht="12.75">
      <c r="A102" s="44">
        <v>1543</v>
      </c>
      <c r="B102" s="886">
        <v>3086</v>
      </c>
      <c r="C102" s="886">
        <v>2380849</v>
      </c>
      <c r="D102" s="950" t="s">
        <v>2496</v>
      </c>
      <c r="E102" s="115">
        <f>B102-MOD(E$1-A102*3,B102)</f>
        <v>163</v>
      </c>
      <c r="F102" s="644">
        <f>IF(MOD(E102,5)=0,B102,0)+E102</f>
        <v>163</v>
      </c>
      <c r="G102" s="814">
        <f>IF(MOD(F102+$B102,5)=0,$B102,0)+$B102+F102</f>
        <v>3249</v>
      </c>
      <c r="H102" s="814">
        <f>IF(MOD(G102+$B102,5)=0,$B102,0)+$B102+G102</f>
        <v>9421</v>
      </c>
      <c r="I102" s="785">
        <f>IF(MOD(H102+$B102,5)=0,$B102,0)+$B102+H102</f>
        <v>12507</v>
      </c>
      <c r="J102" s="911">
        <v>16</v>
      </c>
      <c r="K102" s="892">
        <v>324</v>
      </c>
      <c r="L102" s="892">
        <v>942</v>
      </c>
      <c r="M102" s="785">
        <v>1250</v>
      </c>
      <c r="N102" s="23" t="str">
        <f>D102&amp;FIXED(MOD(F102,10),0)</f>
        <v>hh33</v>
      </c>
      <c r="O102" s="78" t="str">
        <f>MID(A$5,((FIND(N102,A$4,1)-1)+1),4)</f>
        <v>be7d</v>
      </c>
      <c r="P102" s="78" t="s">
        <v>0</v>
      </c>
      <c r="Q102" s="78" t="s">
        <v>0</v>
      </c>
      <c r="R102" s="78" t="s">
        <v>0</v>
      </c>
      <c r="S102" s="103" t="s">
        <v>0</v>
      </c>
      <c r="T102" s="42" t="s">
        <v>1</v>
      </c>
    </row>
    <row r="103" spans="1:20" ht="12.75">
      <c r="A103" s="44">
        <v>1549</v>
      </c>
      <c r="B103" s="886">
        <v>3098</v>
      </c>
      <c r="C103" s="886">
        <v>2399401</v>
      </c>
      <c r="D103" s="950" t="s">
        <v>2506</v>
      </c>
      <c r="E103" s="115">
        <f>B103-MOD(E$1-A103*3,B103)</f>
        <v>605</v>
      </c>
      <c r="F103" s="644">
        <f>IF(MOD(E103,5)=0,B103,0)+E103</f>
        <v>3703</v>
      </c>
      <c r="G103" s="814">
        <f>IF(MOD(F103+$B103,5)=0,$B103,0)+$B103+F103</f>
        <v>6801</v>
      </c>
      <c r="H103" s="814">
        <f>IF(MOD(G103+$B103,5)=0,$B103,0)+$B103+G103</f>
        <v>9899</v>
      </c>
      <c r="I103" s="785">
        <f>IF(MOD(H103+$B103,5)=0,$B103,0)+$B103+H103</f>
        <v>12997</v>
      </c>
      <c r="J103" s="911">
        <v>370</v>
      </c>
      <c r="K103" s="892">
        <v>680</v>
      </c>
      <c r="L103" s="892">
        <v>989</v>
      </c>
      <c r="M103" s="785">
        <v>1299</v>
      </c>
      <c r="N103" s="23" t="str">
        <f>D103&amp;FIXED(MOD(F103,10),0)</f>
        <v>hh93</v>
      </c>
      <c r="O103" s="78" t="str">
        <f>MID(A$5,((FIND(N103,A$4,1)-1)+1),4)</f>
        <v>b7ed</v>
      </c>
      <c r="P103" s="78" t="s">
        <v>0</v>
      </c>
      <c r="Q103" s="78" t="s">
        <v>0</v>
      </c>
      <c r="R103" s="78" t="s">
        <v>0</v>
      </c>
      <c r="S103" s="103" t="s">
        <v>0</v>
      </c>
      <c r="T103" s="42" t="s">
        <v>1</v>
      </c>
    </row>
    <row r="104" spans="1:20" ht="12.75">
      <c r="A104" s="44">
        <v>1553</v>
      </c>
      <c r="B104" s="886">
        <v>3106</v>
      </c>
      <c r="C104" s="886">
        <v>2411809</v>
      </c>
      <c r="D104" s="950" t="s">
        <v>2496</v>
      </c>
      <c r="E104" s="115">
        <f>B104-MOD(E$1-A104*3,B104)</f>
        <v>2953</v>
      </c>
      <c r="F104" s="644">
        <f>IF(MOD(E104,5)=0,B104,0)+E104</f>
        <v>2953</v>
      </c>
      <c r="G104" s="814">
        <f>IF(MOD(F104+$B104,5)=0,$B104,0)+$B104+F104</f>
        <v>6059</v>
      </c>
      <c r="H104" s="814">
        <f>IF(MOD(G104+$B104,5)=0,$B104,0)+$B104+G104</f>
        <v>12271</v>
      </c>
      <c r="I104" s="785">
        <f>IF(MOD(H104+$B104,5)=0,$B104,0)+$B104+H104</f>
        <v>15377</v>
      </c>
      <c r="J104" s="911">
        <v>295</v>
      </c>
      <c r="K104" s="892">
        <v>605</v>
      </c>
      <c r="L104" s="892">
        <v>1227</v>
      </c>
      <c r="M104" s="785">
        <v>1537</v>
      </c>
      <c r="N104" s="23" t="str">
        <f>D104&amp;FIXED(MOD(F104,10),0)</f>
        <v>hh33</v>
      </c>
      <c r="O104" s="78" t="str">
        <f>MID(A$5,((FIND(N104,A$4,1)-1)+1),4)</f>
        <v>be7d</v>
      </c>
      <c r="P104" s="78" t="s">
        <v>0</v>
      </c>
      <c r="Q104" s="78" t="s">
        <v>0</v>
      </c>
      <c r="R104" s="78" t="s">
        <v>0</v>
      </c>
      <c r="S104" s="103" t="s">
        <v>0</v>
      </c>
      <c r="T104" s="42" t="s">
        <v>1</v>
      </c>
    </row>
    <row r="105" spans="1:20" ht="12.75">
      <c r="A105" s="44">
        <v>1559</v>
      </c>
      <c r="B105" s="886">
        <v>3118</v>
      </c>
      <c r="C105" s="886">
        <v>2430481</v>
      </c>
      <c r="D105" s="950" t="s">
        <v>2506</v>
      </c>
      <c r="E105" s="115">
        <f>B105-MOD(E$1-A105*3,B105)</f>
        <v>2299</v>
      </c>
      <c r="F105" s="644">
        <f>IF(MOD(E105,5)=0,B105,0)+E105</f>
        <v>2299</v>
      </c>
      <c r="G105" s="814">
        <f>IF(MOD(F105+$B105,5)=0,$B105,0)+$B105+F105</f>
        <v>5417</v>
      </c>
      <c r="H105" s="814">
        <f>IF(MOD(G105+$B105,5)=0,$B105,0)+$B105+G105</f>
        <v>11653</v>
      </c>
      <c r="I105" s="785">
        <f>IF(MOD(H105+$B105,5)=0,$B105,0)+$B105+H105</f>
        <v>14771</v>
      </c>
      <c r="J105" s="911">
        <v>229</v>
      </c>
      <c r="K105" s="892">
        <v>541</v>
      </c>
      <c r="L105" s="892">
        <v>1165</v>
      </c>
      <c r="M105" s="785">
        <v>1477</v>
      </c>
      <c r="N105" s="23" t="str">
        <f>D105&amp;FIXED(MOD(F105,10),0)</f>
        <v>hh99</v>
      </c>
      <c r="O105" s="78" t="str">
        <f>MID(A$5,((FIND(N105,A$4,1)-1)+1),4)</f>
        <v>edb7</v>
      </c>
      <c r="P105" s="78" t="s">
        <v>0</v>
      </c>
      <c r="Q105" s="78" t="s">
        <v>0</v>
      </c>
      <c r="R105" s="78" t="s">
        <v>0</v>
      </c>
      <c r="S105" s="103" t="s">
        <v>0</v>
      </c>
      <c r="T105" s="42" t="s">
        <v>1</v>
      </c>
    </row>
    <row r="106" spans="1:20" ht="12.75">
      <c r="A106" s="44">
        <v>1567</v>
      </c>
      <c r="B106" s="886">
        <v>3134</v>
      </c>
      <c r="C106" s="886">
        <v>2455489</v>
      </c>
      <c r="D106" s="950" t="s">
        <v>2501</v>
      </c>
      <c r="E106" s="115">
        <f>B106-MOD(E$1-A106*3,B106)</f>
        <v>105</v>
      </c>
      <c r="F106" s="644">
        <f>IF(MOD(E106,5)=0,B106,0)+E106</f>
        <v>3239</v>
      </c>
      <c r="G106" s="814">
        <f>IF(MOD(F106+$B106,5)=0,$B106,0)+$B106+F106</f>
        <v>6373</v>
      </c>
      <c r="H106" s="814">
        <f>IF(MOD(G106+$B106,5)=0,$B106,0)+$B106+G106</f>
        <v>9507</v>
      </c>
      <c r="I106" s="785">
        <f>IF(MOD(H106+$B106,5)=0,$B106,0)+$B106+H106</f>
        <v>12641</v>
      </c>
      <c r="J106" s="911">
        <v>323</v>
      </c>
      <c r="K106" s="892">
        <v>637</v>
      </c>
      <c r="L106" s="892">
        <v>950</v>
      </c>
      <c r="M106" s="785">
        <v>1264</v>
      </c>
      <c r="N106" s="23" t="str">
        <f>D106&amp;FIXED(MOD(F106,10),0)</f>
        <v>hh79</v>
      </c>
      <c r="O106" s="78" t="str">
        <f>MID(A$5,((FIND(N106,A$4,1)-1)+1),4)</f>
        <v>ebd7</v>
      </c>
      <c r="P106" s="78" t="s">
        <v>0</v>
      </c>
      <c r="Q106" s="78" t="s">
        <v>0</v>
      </c>
      <c r="R106" s="78" t="s">
        <v>0</v>
      </c>
      <c r="S106" s="103" t="s">
        <v>0</v>
      </c>
      <c r="T106" s="42" t="s">
        <v>1</v>
      </c>
    </row>
    <row r="107" spans="1:20" ht="12.75">
      <c r="A107" s="44">
        <v>1571</v>
      </c>
      <c r="B107" s="886">
        <v>3142</v>
      </c>
      <c r="C107" s="886">
        <v>2468041</v>
      </c>
      <c r="D107" s="950" t="s">
        <v>2490</v>
      </c>
      <c r="E107" s="115">
        <f>B107-MOD(E$1-A107*3,B107)</f>
        <v>351</v>
      </c>
      <c r="F107" s="644">
        <f>IF(MOD(E107,5)=0,B107,0)+E107</f>
        <v>351</v>
      </c>
      <c r="G107" s="814">
        <f>IF(MOD(F107+$B107,5)=0,$B107,0)+$B107+F107</f>
        <v>3493</v>
      </c>
      <c r="H107" s="814">
        <f>IF(MOD(G107+$B107,5)=0,$B107,0)+$B107+G107</f>
        <v>9777</v>
      </c>
      <c r="I107" s="785">
        <f>IF(MOD(H107+$B107,5)=0,$B107,0)+$B107+H107</f>
        <v>12919</v>
      </c>
      <c r="J107" s="911">
        <v>35</v>
      </c>
      <c r="K107" s="892">
        <v>349</v>
      </c>
      <c r="L107" s="892">
        <v>977</v>
      </c>
      <c r="M107" s="785">
        <v>1291</v>
      </c>
      <c r="N107" s="23" t="str">
        <f>D107&amp;FIXED(MOD(F107,10),0)</f>
        <v>hh11</v>
      </c>
      <c r="O107" s="78" t="str">
        <f>MID(A$5,((FIND(N107,A$4,1)-1)+1),4)</f>
        <v>7bde</v>
      </c>
      <c r="P107" s="78" t="s">
        <v>0</v>
      </c>
      <c r="Q107" s="78" t="s">
        <v>0</v>
      </c>
      <c r="R107" s="78" t="s">
        <v>0</v>
      </c>
      <c r="S107" s="103" t="s">
        <v>0</v>
      </c>
      <c r="T107" s="42" t="s">
        <v>1</v>
      </c>
    </row>
    <row r="108" spans="1:20" ht="12.75">
      <c r="A108" s="44">
        <v>1579</v>
      </c>
      <c r="B108" s="886">
        <v>3158</v>
      </c>
      <c r="C108" s="886">
        <v>2493241</v>
      </c>
      <c r="D108" s="950" t="s">
        <v>2506</v>
      </c>
      <c r="E108" s="115">
        <f>B108-MOD(E$1-A108*3,B108)</f>
        <v>3079</v>
      </c>
      <c r="F108" s="644">
        <f>IF(MOD(E108,5)=0,B108,0)+E108</f>
        <v>3079</v>
      </c>
      <c r="G108" s="814">
        <f>IF(MOD(F108+$B108,5)=0,$B108,0)+$B108+F108</f>
        <v>6237</v>
      </c>
      <c r="H108" s="814">
        <f>IF(MOD(G108+$B108,5)=0,$B108,0)+$B108+G108</f>
        <v>12553</v>
      </c>
      <c r="I108" s="785">
        <f>IF(MOD(H108+$B108,5)=0,$B108,0)+$B108+H108</f>
        <v>15711</v>
      </c>
      <c r="J108" s="911">
        <v>307</v>
      </c>
      <c r="K108" s="892">
        <v>623</v>
      </c>
      <c r="L108" s="892">
        <v>1255</v>
      </c>
      <c r="M108" s="785">
        <v>1571</v>
      </c>
      <c r="N108" s="23" t="str">
        <f>D108&amp;FIXED(MOD(F108,10),0)</f>
        <v>hh99</v>
      </c>
      <c r="O108" s="78" t="str">
        <f>MID(A$5,((FIND(N108,A$4,1)-1)+1),4)</f>
        <v>edb7</v>
      </c>
      <c r="P108" s="78" t="s">
        <v>0</v>
      </c>
      <c r="Q108" s="78" t="s">
        <v>0</v>
      </c>
      <c r="R108" s="78" t="s">
        <v>0</v>
      </c>
      <c r="S108" s="103" t="s">
        <v>0</v>
      </c>
      <c r="T108" s="42" t="s">
        <v>1</v>
      </c>
    </row>
    <row r="109" spans="1:20" ht="12.75">
      <c r="A109" s="44">
        <v>1583</v>
      </c>
      <c r="B109" s="886">
        <v>3166</v>
      </c>
      <c r="C109" s="886">
        <v>2505889</v>
      </c>
      <c r="D109" s="950" t="s">
        <v>2496</v>
      </c>
      <c r="E109" s="115">
        <f>B109-MOD(E$1-A109*3,B109)</f>
        <v>391</v>
      </c>
      <c r="F109" s="644">
        <f>IF(MOD(E109,5)=0,B109,0)+E109</f>
        <v>391</v>
      </c>
      <c r="G109" s="814">
        <f>IF(MOD(F109+$B109,5)=0,$B109,0)+$B109+F109</f>
        <v>3557</v>
      </c>
      <c r="H109" s="814">
        <f>IF(MOD(G109+$B109,5)=0,$B109,0)+$B109+G109</f>
        <v>6723</v>
      </c>
      <c r="I109" s="785">
        <f>IF(MOD(H109+$B109,5)=0,$B109,0)+$B109+H109</f>
        <v>9889</v>
      </c>
      <c r="J109" s="911">
        <v>39</v>
      </c>
      <c r="K109" s="892">
        <v>355</v>
      </c>
      <c r="L109" s="892">
        <v>672</v>
      </c>
      <c r="M109" s="785">
        <v>988</v>
      </c>
      <c r="N109" s="23" t="str">
        <f>D109&amp;FIXED(MOD(F109,10),0)</f>
        <v>hh31</v>
      </c>
      <c r="O109" s="78" t="str">
        <f>MID(A$5,((FIND(N109,A$4,1)-1)+1),4)</f>
        <v>7dbe</v>
      </c>
      <c r="P109" s="78" t="s">
        <v>0</v>
      </c>
      <c r="Q109" s="78" t="s">
        <v>0</v>
      </c>
      <c r="R109" s="78" t="s">
        <v>0</v>
      </c>
      <c r="S109" s="103" t="s">
        <v>0</v>
      </c>
      <c r="T109" s="42" t="s">
        <v>1</v>
      </c>
    </row>
    <row r="110" spans="1:20" ht="12.75">
      <c r="A110" s="44">
        <v>1597</v>
      </c>
      <c r="B110" s="886">
        <v>3194</v>
      </c>
      <c r="C110" s="886">
        <v>2550409</v>
      </c>
      <c r="D110" s="950" t="s">
        <v>2501</v>
      </c>
      <c r="E110" s="115">
        <f>B110-MOD(E$1-A110*3,B110)</f>
        <v>2159</v>
      </c>
      <c r="F110" s="644">
        <f>IF(MOD(E110,5)=0,B110,0)+E110</f>
        <v>2159</v>
      </c>
      <c r="G110" s="814">
        <f>IF(MOD(F110+$B110,5)=0,$B110,0)+$B110+F110</f>
        <v>5353</v>
      </c>
      <c r="H110" s="814">
        <f>IF(MOD(G110+$B110,5)=0,$B110,0)+$B110+G110</f>
        <v>8547</v>
      </c>
      <c r="I110" s="785">
        <f>IF(MOD(H110+$B110,5)=0,$B110,0)+$B110+H110</f>
        <v>11741</v>
      </c>
      <c r="J110" s="911">
        <v>215</v>
      </c>
      <c r="K110" s="892">
        <v>535</v>
      </c>
      <c r="L110" s="892">
        <v>854</v>
      </c>
      <c r="M110" s="785">
        <v>1174</v>
      </c>
      <c r="N110" s="23" t="str">
        <f>D110&amp;FIXED(MOD(F110,10),0)</f>
        <v>hh79</v>
      </c>
      <c r="O110" s="78" t="str">
        <f>MID(A$5,((FIND(N110,A$4,1)-1)+1),4)</f>
        <v>ebd7</v>
      </c>
      <c r="P110" s="78" t="s">
        <v>0</v>
      </c>
      <c r="Q110" s="78" t="s">
        <v>0</v>
      </c>
      <c r="R110" s="78" t="s">
        <v>0</v>
      </c>
      <c r="S110" s="103" t="s">
        <v>0</v>
      </c>
      <c r="T110" s="42" t="s">
        <v>1</v>
      </c>
    </row>
    <row r="111" spans="1:20" ht="12.75">
      <c r="A111" s="44">
        <v>1601</v>
      </c>
      <c r="B111" s="886">
        <v>3202</v>
      </c>
      <c r="C111" s="886">
        <v>2563201</v>
      </c>
      <c r="D111" s="950" t="s">
        <v>2490</v>
      </c>
      <c r="E111" s="115">
        <f>B111-MOD(E$1-A111*3,B111)</f>
        <v>2875</v>
      </c>
      <c r="F111" s="644">
        <f>IF(MOD(E111,5)=0,B111,0)+E111</f>
        <v>6077</v>
      </c>
      <c r="G111" s="814">
        <f>IF(MOD(F111+$B111,5)=0,$B111,0)+$B111+F111</f>
        <v>9279</v>
      </c>
      <c r="H111" s="814">
        <f>IF(MOD(G111+$B111,5)=0,$B111,0)+$B111+G111</f>
        <v>12481</v>
      </c>
      <c r="I111" s="785">
        <f>IF(MOD(H111+$B111,5)=0,$B111,0)+$B111+H111</f>
        <v>15683</v>
      </c>
      <c r="J111" s="911">
        <v>607</v>
      </c>
      <c r="K111" s="892">
        <v>927</v>
      </c>
      <c r="L111" s="892">
        <v>1248</v>
      </c>
      <c r="M111" s="785">
        <v>1568</v>
      </c>
      <c r="N111" s="23" t="str">
        <f>D111&amp;FIXED(MOD(F111,10),0)</f>
        <v>hh17</v>
      </c>
      <c r="O111" s="78" t="str">
        <f>MID(A$5,((FIND(N111,A$4,1)-1)+1),4)</f>
        <v>de7b</v>
      </c>
      <c r="P111" s="78" t="s">
        <v>0</v>
      </c>
      <c r="Q111" s="78" t="s">
        <v>0</v>
      </c>
      <c r="R111" s="78" t="s">
        <v>0</v>
      </c>
      <c r="S111" s="103" t="s">
        <v>0</v>
      </c>
      <c r="T111" s="42" t="s">
        <v>1</v>
      </c>
    </row>
    <row r="112" spans="1:20" ht="12.75">
      <c r="A112" s="44">
        <v>1607</v>
      </c>
      <c r="B112" s="886">
        <v>3214</v>
      </c>
      <c r="C112" s="886">
        <v>2582449</v>
      </c>
      <c r="D112" s="950" t="s">
        <v>2501</v>
      </c>
      <c r="E112" s="115">
        <f>B112-MOD(E$1-A112*3,B112)</f>
        <v>2263</v>
      </c>
      <c r="F112" s="644">
        <f>IF(MOD(E112,5)=0,B112,0)+E112</f>
        <v>2263</v>
      </c>
      <c r="G112" s="814">
        <f>IF(MOD(F112+$B112,5)=0,$B112,0)+$B112+F112</f>
        <v>5477</v>
      </c>
      <c r="H112" s="814">
        <f>IF(MOD(G112+$B112,5)=0,$B112,0)+$B112+G112</f>
        <v>8691</v>
      </c>
      <c r="I112" s="785">
        <f>IF(MOD(H112+$B112,5)=0,$B112,0)+$B112+H112</f>
        <v>15119</v>
      </c>
      <c r="J112" s="911">
        <v>226</v>
      </c>
      <c r="K112" s="892">
        <v>547</v>
      </c>
      <c r="L112" s="892">
        <v>869</v>
      </c>
      <c r="M112" s="785">
        <v>1511</v>
      </c>
      <c r="N112" s="23" t="str">
        <f>D112&amp;FIXED(MOD(F112,10),0)</f>
        <v>hh73</v>
      </c>
      <c r="O112" s="78" t="str">
        <f>MID(A$5,((FIND(N112,A$4,1)-1)+1),4)</f>
        <v>bd7e</v>
      </c>
      <c r="P112" s="78" t="s">
        <v>0</v>
      </c>
      <c r="Q112" s="78" t="s">
        <v>0</v>
      </c>
      <c r="R112" s="78" t="s">
        <v>0</v>
      </c>
      <c r="S112" s="103" t="s">
        <v>0</v>
      </c>
      <c r="T112" s="42" t="s">
        <v>1</v>
      </c>
    </row>
    <row r="113" spans="1:20" ht="12.75">
      <c r="A113" s="44">
        <v>1609</v>
      </c>
      <c r="B113" s="886">
        <v>3218</v>
      </c>
      <c r="C113" s="886">
        <v>2588881</v>
      </c>
      <c r="D113" s="950" t="s">
        <v>2506</v>
      </c>
      <c r="E113" s="115">
        <f>B113-MOD(E$1-A113*3,B113)</f>
        <v>1909</v>
      </c>
      <c r="F113" s="644">
        <f>IF(MOD(E113,5)=0,B113,0)+E113</f>
        <v>1909</v>
      </c>
      <c r="G113" s="814">
        <f>IF(MOD(F113+$B113,5)=0,$B113,0)+$B113+F113</f>
        <v>5127</v>
      </c>
      <c r="H113" s="814">
        <f>IF(MOD(G113+$B113,5)=0,$B113,0)+$B113+G113</f>
        <v>11563</v>
      </c>
      <c r="I113" s="785">
        <f>IF(MOD(H113+$B113,5)=0,$B113,0)+$B113+H113</f>
        <v>14781</v>
      </c>
      <c r="J113" s="911">
        <v>190</v>
      </c>
      <c r="K113" s="892">
        <v>512</v>
      </c>
      <c r="L113" s="892">
        <v>1156</v>
      </c>
      <c r="M113" s="785">
        <v>1478</v>
      </c>
      <c r="N113" s="23" t="str">
        <f>D113&amp;FIXED(MOD(F113,10),0)</f>
        <v>hh99</v>
      </c>
      <c r="O113" s="78" t="str">
        <f>MID(A$5,((FIND(N113,A$4,1)-1)+1),4)</f>
        <v>edb7</v>
      </c>
      <c r="P113" s="78" t="s">
        <v>0</v>
      </c>
      <c r="Q113" s="78" t="s">
        <v>0</v>
      </c>
      <c r="R113" s="78" t="s">
        <v>0</v>
      </c>
      <c r="S113" s="103" t="s">
        <v>0</v>
      </c>
      <c r="T113" s="42" t="s">
        <v>1</v>
      </c>
    </row>
    <row r="114" spans="1:20" ht="12.75">
      <c r="A114" s="44">
        <v>1613</v>
      </c>
      <c r="B114" s="886">
        <v>3226</v>
      </c>
      <c r="C114" s="886">
        <v>2601769</v>
      </c>
      <c r="D114" s="950" t="s">
        <v>2496</v>
      </c>
      <c r="E114" s="115">
        <f>B114-MOD(E$1-A114*3,B114)</f>
        <v>2303</v>
      </c>
      <c r="F114" s="644">
        <f>IF(MOD(E114,5)=0,B114,0)+E114</f>
        <v>2303</v>
      </c>
      <c r="G114" s="814">
        <f>IF(MOD(F114+$B114,5)=0,$B114,0)+$B114+F114</f>
        <v>5529</v>
      </c>
      <c r="H114" s="814">
        <f>IF(MOD(G114+$B114,5)=0,$B114,0)+$B114+G114</f>
        <v>11981</v>
      </c>
      <c r="I114" s="785">
        <f>IF(MOD(H114+$B114,5)=0,$B114,0)+$B114+H114</f>
        <v>15207</v>
      </c>
      <c r="J114" s="911">
        <v>230</v>
      </c>
      <c r="K114" s="892">
        <v>552</v>
      </c>
      <c r="L114" s="892">
        <v>1198</v>
      </c>
      <c r="M114" s="785">
        <v>1520</v>
      </c>
      <c r="N114" s="23" t="str">
        <f>D114&amp;FIXED(MOD(F114,10),0)</f>
        <v>hh33</v>
      </c>
      <c r="O114" s="78" t="str">
        <f>MID(A$5,((FIND(N114,A$4,1)-1)+1),4)</f>
        <v>be7d</v>
      </c>
      <c r="P114" s="78" t="s">
        <v>0</v>
      </c>
      <c r="Q114" s="78" t="s">
        <v>0</v>
      </c>
      <c r="R114" s="78" t="s">
        <v>0</v>
      </c>
      <c r="S114" s="103" t="s">
        <v>0</v>
      </c>
      <c r="T114" s="42" t="s">
        <v>1</v>
      </c>
    </row>
    <row r="115" spans="1:20" ht="12.75">
      <c r="A115" s="44">
        <v>1619</v>
      </c>
      <c r="B115" s="886">
        <v>3238</v>
      </c>
      <c r="C115" s="886">
        <v>2621161</v>
      </c>
      <c r="D115" s="950" t="s">
        <v>2506</v>
      </c>
      <c r="E115" s="115">
        <f>B115-MOD(E$1-A115*3,B115)</f>
        <v>2175</v>
      </c>
      <c r="F115" s="644">
        <f>IF(MOD(E115,5)=0,B115,0)+E115</f>
        <v>5413</v>
      </c>
      <c r="G115" s="814">
        <f>IF(MOD(F115+$B115,5)=0,$B115,0)+$B115+F115</f>
        <v>8651</v>
      </c>
      <c r="H115" s="814">
        <f>IF(MOD(G115+$B115,5)=0,$B115,0)+$B115+G115</f>
        <v>11889</v>
      </c>
      <c r="I115" s="785">
        <f>IF(MOD(H115+$B115,5)=0,$B115,0)+$B115+H115</f>
        <v>15127</v>
      </c>
      <c r="J115" s="911">
        <v>541</v>
      </c>
      <c r="K115" s="892">
        <v>865</v>
      </c>
      <c r="L115" s="892">
        <v>1188</v>
      </c>
      <c r="M115" s="785">
        <v>1512</v>
      </c>
      <c r="N115" s="23" t="str">
        <f>D115&amp;FIXED(MOD(F115,10),0)</f>
        <v>hh93</v>
      </c>
      <c r="O115" s="78" t="str">
        <f>MID(A$5,((FIND(N115,A$4,1)-1)+1),4)</f>
        <v>b7ed</v>
      </c>
      <c r="P115" s="78" t="s">
        <v>0</v>
      </c>
      <c r="Q115" s="78" t="s">
        <v>0</v>
      </c>
      <c r="R115" s="78" t="s">
        <v>0</v>
      </c>
      <c r="S115" s="103" t="s">
        <v>0</v>
      </c>
      <c r="T115" s="42" t="s">
        <v>1</v>
      </c>
    </row>
    <row r="116" spans="1:20" ht="12.75">
      <c r="A116" s="44">
        <v>1621</v>
      </c>
      <c r="B116" s="886">
        <v>3242</v>
      </c>
      <c r="C116" s="886">
        <v>2627641</v>
      </c>
      <c r="D116" s="950" t="s">
        <v>2490</v>
      </c>
      <c r="E116" s="115">
        <f>B116-MOD(E$1-A116*3,B116)</f>
        <v>2713</v>
      </c>
      <c r="F116" s="644">
        <f>IF(MOD(E116,5)=0,B116,0)+E116</f>
        <v>2713</v>
      </c>
      <c r="G116" s="814">
        <f>IF(MOD(F116+$B116,5)=0,$B116,0)+$B116+F116</f>
        <v>9197</v>
      </c>
      <c r="H116" s="814">
        <f>IF(MOD(G116+$B116,5)=0,$B116,0)+$B116+G116</f>
        <v>12439</v>
      </c>
      <c r="I116" s="785">
        <f>IF(MOD(H116+$B116,5)=0,$B116,0)+$B116+H116</f>
        <v>15681</v>
      </c>
      <c r="J116" s="911">
        <v>271</v>
      </c>
      <c r="K116" s="892">
        <v>919</v>
      </c>
      <c r="L116" s="892">
        <v>1243</v>
      </c>
      <c r="M116" s="785">
        <v>1568</v>
      </c>
      <c r="N116" s="23" t="str">
        <f>D116&amp;FIXED(MOD(F116,10),0)</f>
        <v>hh13</v>
      </c>
      <c r="O116" s="78" t="str">
        <f>MID(A$5,((FIND(N116,A$4,1)-1)+1),4)</f>
        <v>bde7</v>
      </c>
      <c r="P116" s="78" t="s">
        <v>0</v>
      </c>
      <c r="Q116" s="78" t="s">
        <v>0</v>
      </c>
      <c r="R116" s="78" t="s">
        <v>0</v>
      </c>
      <c r="S116" s="103" t="s">
        <v>0</v>
      </c>
      <c r="T116" s="42" t="s">
        <v>1</v>
      </c>
    </row>
    <row r="117" spans="1:20" ht="12.75">
      <c r="A117" s="44">
        <v>1627</v>
      </c>
      <c r="B117" s="886">
        <v>3254</v>
      </c>
      <c r="C117" s="886">
        <v>2647129</v>
      </c>
      <c r="D117" s="950" t="s">
        <v>2501</v>
      </c>
      <c r="E117" s="115">
        <f>B117-MOD(E$1-A117*3,B117)</f>
        <v>255</v>
      </c>
      <c r="F117" s="644">
        <f>IF(MOD(E117,5)=0,B117,0)+E117</f>
        <v>3509</v>
      </c>
      <c r="G117" s="814">
        <f>IF(MOD(F117+$B117,5)=0,$B117,0)+$B117+F117</f>
        <v>6763</v>
      </c>
      <c r="H117" s="814">
        <f>IF(MOD(G117+$B117,5)=0,$B117,0)+$B117+G117</f>
        <v>10017</v>
      </c>
      <c r="I117" s="785">
        <f>IF(MOD(H117+$B117,5)=0,$B117,0)+$B117+H117</f>
        <v>13271</v>
      </c>
      <c r="J117" s="911">
        <v>350</v>
      </c>
      <c r="K117" s="892">
        <v>676</v>
      </c>
      <c r="L117" s="892">
        <v>1001</v>
      </c>
      <c r="M117" s="785">
        <v>1327</v>
      </c>
      <c r="N117" s="23" t="str">
        <f>D117&amp;FIXED(MOD(F117,10),0)</f>
        <v>hh79</v>
      </c>
      <c r="O117" s="78" t="str">
        <f>MID(A$5,((FIND(N117,A$4,1)-1)+1),4)</f>
        <v>ebd7</v>
      </c>
      <c r="P117" s="78" t="s">
        <v>0</v>
      </c>
      <c r="Q117" s="78" t="s">
        <v>0</v>
      </c>
      <c r="R117" s="78" t="s">
        <v>0</v>
      </c>
      <c r="S117" s="103" t="s">
        <v>0</v>
      </c>
      <c r="T117" s="42" t="s">
        <v>1</v>
      </c>
    </row>
    <row r="118" spans="1:20" ht="12.75">
      <c r="A118" s="44">
        <v>1637</v>
      </c>
      <c r="B118" s="886">
        <v>3274</v>
      </c>
      <c r="C118" s="886">
        <v>2679769</v>
      </c>
      <c r="D118" s="950" t="s">
        <v>2501</v>
      </c>
      <c r="E118" s="115">
        <f>B118-MOD(E$1-A118*3,B118)</f>
        <v>3207</v>
      </c>
      <c r="F118" s="644">
        <f>IF(MOD(E118,5)=0,B118,0)+E118</f>
        <v>3207</v>
      </c>
      <c r="G118" s="814">
        <f>IF(MOD(F118+$B118,5)=0,$B118,0)+$B118+F118</f>
        <v>6481</v>
      </c>
      <c r="H118" s="814">
        <f>IF(MOD(G118+$B118,5)=0,$B118,0)+$B118+G118</f>
        <v>13029</v>
      </c>
      <c r="I118" s="785">
        <f>IF(MOD(H118+$B118,5)=0,$B118,0)+$B118+H118</f>
        <v>16303</v>
      </c>
      <c r="J118" s="911">
        <v>320</v>
      </c>
      <c r="K118" s="892">
        <v>648</v>
      </c>
      <c r="L118" s="892">
        <v>1302</v>
      </c>
      <c r="M118" s="785">
        <v>1630</v>
      </c>
      <c r="N118" s="23" t="str">
        <f>D118&amp;FIXED(MOD(F118,10),0)</f>
        <v>hh77</v>
      </c>
      <c r="O118" s="78" t="str">
        <f>MID(A$5,((FIND(N118,A$4,1)-1)+1),4)</f>
        <v>d7eb</v>
      </c>
      <c r="P118" s="78" t="s">
        <v>0</v>
      </c>
      <c r="Q118" s="78" t="s">
        <v>0</v>
      </c>
      <c r="R118" s="78" t="s">
        <v>0</v>
      </c>
      <c r="S118" s="103" t="s">
        <v>0</v>
      </c>
      <c r="T118" s="42" t="s">
        <v>1</v>
      </c>
    </row>
    <row r="119" spans="1:20" ht="12.75">
      <c r="A119" s="44">
        <v>1657</v>
      </c>
      <c r="B119" s="886">
        <v>3314</v>
      </c>
      <c r="C119" s="886">
        <v>2745649</v>
      </c>
      <c r="D119" s="950" t="s">
        <v>2501</v>
      </c>
      <c r="E119" s="115">
        <f>B119-MOD(E$1-A119*3,B119)</f>
        <v>1729</v>
      </c>
      <c r="F119" s="644">
        <f>IF(MOD(E119,5)=0,B119,0)+E119</f>
        <v>1729</v>
      </c>
      <c r="G119" s="814">
        <f>IF(MOD(F119+$B119,5)=0,$B119,0)+$B119+F119</f>
        <v>5043</v>
      </c>
      <c r="H119" s="814">
        <f>IF(MOD(G119+$B119,5)=0,$B119,0)+$B119+G119</f>
        <v>8357</v>
      </c>
      <c r="I119" s="785">
        <f>IF(MOD(H119+$B119,5)=0,$B119,0)+$B119+H119</f>
        <v>11671</v>
      </c>
      <c r="J119" s="911">
        <v>172</v>
      </c>
      <c r="K119" s="892">
        <v>504</v>
      </c>
      <c r="L119" s="892">
        <v>835</v>
      </c>
      <c r="M119" s="785">
        <v>1167</v>
      </c>
      <c r="N119" s="23" t="str">
        <f>D119&amp;FIXED(MOD(F119,10),0)</f>
        <v>hh79</v>
      </c>
      <c r="O119" s="78" t="str">
        <f>MID(A$5,((FIND(N119,A$4,1)-1)+1),4)</f>
        <v>ebd7</v>
      </c>
      <c r="P119" s="78" t="s">
        <v>0</v>
      </c>
      <c r="Q119" s="78" t="s">
        <v>0</v>
      </c>
      <c r="R119" s="78" t="s">
        <v>0</v>
      </c>
      <c r="S119" s="103" t="s">
        <v>0</v>
      </c>
      <c r="T119" s="42" t="s">
        <v>1</v>
      </c>
    </row>
    <row r="120" spans="1:20" ht="12.75">
      <c r="A120" s="44">
        <v>1663</v>
      </c>
      <c r="B120" s="886">
        <v>3326</v>
      </c>
      <c r="C120" s="886">
        <v>2765569</v>
      </c>
      <c r="D120" s="950" t="s">
        <v>2496</v>
      </c>
      <c r="E120" s="115">
        <f>B120-MOD(E$1-A120*3,B120)</f>
        <v>2487</v>
      </c>
      <c r="F120" s="644">
        <f>IF(MOD(E120,5)=0,B120,0)+E120</f>
        <v>2487</v>
      </c>
      <c r="G120" s="814">
        <f>IF(MOD(F120+$B120,5)=0,$B120,0)+$B120+F120</f>
        <v>5813</v>
      </c>
      <c r="H120" s="814">
        <f>IF(MOD(G120+$B120,5)=0,$B120,0)+$B120+G120</f>
        <v>9139</v>
      </c>
      <c r="I120" s="785">
        <f>IF(MOD(H120+$B120,5)=0,$B120,0)+$B120+H120</f>
        <v>15791</v>
      </c>
      <c r="J120" s="911">
        <v>248</v>
      </c>
      <c r="K120" s="892">
        <v>581</v>
      </c>
      <c r="L120" s="892">
        <v>913</v>
      </c>
      <c r="M120" s="785">
        <v>1579</v>
      </c>
      <c r="N120" s="23" t="str">
        <f>D120&amp;FIXED(MOD(F120,10),0)</f>
        <v>hh37</v>
      </c>
      <c r="O120" s="78" t="str">
        <f>MID(A$5,((FIND(N120,A$4,1)-1)+1),4)</f>
        <v>dbe7</v>
      </c>
      <c r="P120" s="78" t="s">
        <v>0</v>
      </c>
      <c r="Q120" s="78" t="s">
        <v>0</v>
      </c>
      <c r="R120" s="78" t="s">
        <v>0</v>
      </c>
      <c r="S120" s="103" t="s">
        <v>0</v>
      </c>
      <c r="T120" s="42" t="s">
        <v>1</v>
      </c>
    </row>
    <row r="121" spans="1:20" ht="12.75">
      <c r="A121" s="44">
        <v>1667</v>
      </c>
      <c r="B121" s="886">
        <v>3334</v>
      </c>
      <c r="C121" s="886">
        <v>2778889</v>
      </c>
      <c r="D121" s="950" t="s">
        <v>2501</v>
      </c>
      <c r="E121" s="115">
        <f>B121-MOD(E$1-A121*3,B121)</f>
        <v>1521</v>
      </c>
      <c r="F121" s="644">
        <f>IF(MOD(E121,5)=0,B121,0)+E121</f>
        <v>1521</v>
      </c>
      <c r="G121" s="814">
        <f>IF(MOD(F121+$B121,5)=0,$B121,0)+$B121+F121</f>
        <v>8189</v>
      </c>
      <c r="H121" s="814">
        <f>IF(MOD(G121+$B121,5)=0,$B121,0)+$B121+G121</f>
        <v>11523</v>
      </c>
      <c r="I121" s="785">
        <f>IF(MOD(H121+$B121,5)=0,$B121,0)+$B121+H121</f>
        <v>14857</v>
      </c>
      <c r="J121" s="911">
        <v>152</v>
      </c>
      <c r="K121" s="892">
        <v>818</v>
      </c>
      <c r="L121" s="892">
        <v>1152</v>
      </c>
      <c r="M121" s="785">
        <v>1485</v>
      </c>
      <c r="N121" s="23" t="str">
        <f>D121&amp;FIXED(MOD(F121,10),0)</f>
        <v>hh71</v>
      </c>
      <c r="O121" s="78" t="str">
        <f>MID(A$5,((FIND(N121,A$4,1)-1)+1),4)</f>
        <v>7ebd</v>
      </c>
      <c r="P121" s="78" t="s">
        <v>0</v>
      </c>
      <c r="Q121" s="78" t="s">
        <v>0</v>
      </c>
      <c r="R121" s="78" t="s">
        <v>0</v>
      </c>
      <c r="S121" s="103" t="s">
        <v>0</v>
      </c>
      <c r="T121" s="42" t="s">
        <v>1</v>
      </c>
    </row>
    <row r="122" spans="1:20" ht="12.75">
      <c r="A122" s="44">
        <v>1669</v>
      </c>
      <c r="B122" s="886">
        <v>3338</v>
      </c>
      <c r="C122" s="886">
        <v>2785561</v>
      </c>
      <c r="D122" s="950" t="s">
        <v>2506</v>
      </c>
      <c r="E122" s="115">
        <f>B122-MOD(E$1-A122*3,B122)</f>
        <v>1337</v>
      </c>
      <c r="F122" s="644">
        <f>IF(MOD(E122,5)=0,B122,0)+E122</f>
        <v>1337</v>
      </c>
      <c r="G122" s="814">
        <f>IF(MOD(F122+$B122,5)=0,$B122,0)+$B122+F122</f>
        <v>8013</v>
      </c>
      <c r="H122" s="814">
        <f>IF(MOD(G122+$B122,5)=0,$B122,0)+$B122+G122</f>
        <v>11351</v>
      </c>
      <c r="I122" s="785">
        <f>IF(MOD(H122+$B122,5)=0,$B122,0)+$B122+H122</f>
        <v>14689</v>
      </c>
      <c r="J122" s="911">
        <v>133</v>
      </c>
      <c r="K122" s="892">
        <v>801</v>
      </c>
      <c r="L122" s="892">
        <v>1135</v>
      </c>
      <c r="M122" s="785">
        <v>1468</v>
      </c>
      <c r="N122" s="23" t="str">
        <f>D122&amp;FIXED(MOD(F122,10),0)</f>
        <v>hh97</v>
      </c>
      <c r="O122" s="78" t="str">
        <f>MID(A$5,((FIND(N122,A$4,1)-1)+1),4)</f>
        <v>db7e</v>
      </c>
      <c r="P122" s="78" t="s">
        <v>0</v>
      </c>
      <c r="Q122" s="78" t="s">
        <v>0</v>
      </c>
      <c r="R122" s="78" t="s">
        <v>0</v>
      </c>
      <c r="S122" s="103" t="s">
        <v>0</v>
      </c>
      <c r="T122" s="42" t="s">
        <v>1</v>
      </c>
    </row>
    <row r="123" spans="1:20" ht="12.75">
      <c r="A123" s="44">
        <v>1693</v>
      </c>
      <c r="B123" s="886">
        <v>3386</v>
      </c>
      <c r="C123" s="886">
        <v>2866249</v>
      </c>
      <c r="D123" s="950" t="s">
        <v>2496</v>
      </c>
      <c r="E123" s="115">
        <f>B123-MOD(E$1-A123*3,B123)</f>
        <v>2823</v>
      </c>
      <c r="F123" s="644">
        <f>IF(MOD(E123,5)=0,B123,0)+E123</f>
        <v>2823</v>
      </c>
      <c r="G123" s="814">
        <f>IF(MOD(F123+$B123,5)=0,$B123,0)+$B123+F123</f>
        <v>6209</v>
      </c>
      <c r="H123" s="814">
        <f>IF(MOD(G123+$B123,5)=0,$B123,0)+$B123+G123</f>
        <v>12981</v>
      </c>
      <c r="I123" s="785">
        <f>IF(MOD(H123+$B123,5)=0,$B123,0)+$B123+H123</f>
        <v>16367</v>
      </c>
      <c r="J123" s="911">
        <v>282</v>
      </c>
      <c r="K123" s="892">
        <v>620</v>
      </c>
      <c r="L123" s="892">
        <v>1298</v>
      </c>
      <c r="M123" s="785">
        <v>1636</v>
      </c>
      <c r="N123" s="23" t="str">
        <f>D123&amp;FIXED(MOD(F123,10),0)</f>
        <v>hh33</v>
      </c>
      <c r="O123" s="78" t="str">
        <f>MID(A$5,((FIND(N123,A$4,1)-1)+1),4)</f>
        <v>be7d</v>
      </c>
      <c r="P123" s="78" t="s">
        <v>0</v>
      </c>
      <c r="Q123" s="78" t="s">
        <v>0</v>
      </c>
      <c r="R123" s="78" t="s">
        <v>0</v>
      </c>
      <c r="S123" s="103" t="s">
        <v>0</v>
      </c>
      <c r="T123" s="42" t="s">
        <v>1</v>
      </c>
    </row>
    <row r="124" spans="1:20" ht="12.75">
      <c r="A124" s="44">
        <v>1697</v>
      </c>
      <c r="B124" s="886">
        <v>3394</v>
      </c>
      <c r="C124" s="886">
        <v>2879809</v>
      </c>
      <c r="D124" s="950" t="s">
        <v>2501</v>
      </c>
      <c r="E124" s="115">
        <f>B124-MOD(E$1-A124*3,B124)</f>
        <v>2795</v>
      </c>
      <c r="F124" s="644">
        <f>IF(MOD(E124,5)=0,B124,0)+E124</f>
        <v>6189</v>
      </c>
      <c r="G124" s="814">
        <f>IF(MOD(F124+$B124,5)=0,$B124,0)+$B124+F124</f>
        <v>9583</v>
      </c>
      <c r="H124" s="814">
        <f>IF(MOD(G124+$B124,5)=0,$B124,0)+$B124+G124</f>
        <v>12977</v>
      </c>
      <c r="I124" s="785">
        <f>IF(MOD(H124+$B124,5)=0,$B124,0)+$B124+H124</f>
        <v>16371</v>
      </c>
      <c r="J124" s="911">
        <v>618</v>
      </c>
      <c r="K124" s="892">
        <v>958</v>
      </c>
      <c r="L124" s="892">
        <v>1297</v>
      </c>
      <c r="M124" s="785">
        <v>1637</v>
      </c>
      <c r="N124" s="23" t="str">
        <f>D124&amp;FIXED(MOD(F124,10),0)</f>
        <v>hh79</v>
      </c>
      <c r="O124" s="78" t="str">
        <f>MID(A$5,((FIND(N124,A$4,1)-1)+1),4)</f>
        <v>ebd7</v>
      </c>
      <c r="P124" s="78" t="s">
        <v>0</v>
      </c>
      <c r="Q124" s="78" t="s">
        <v>0</v>
      </c>
      <c r="R124" s="78" t="s">
        <v>0</v>
      </c>
      <c r="S124" s="103" t="s">
        <v>0</v>
      </c>
      <c r="T124" s="42" t="s">
        <v>1</v>
      </c>
    </row>
    <row r="125" spans="1:20" ht="12.75">
      <c r="A125" s="44">
        <v>1699</v>
      </c>
      <c r="B125" s="886">
        <v>3398</v>
      </c>
      <c r="C125" s="886">
        <v>2886601</v>
      </c>
      <c r="D125" s="950" t="s">
        <v>2506</v>
      </c>
      <c r="E125" s="115">
        <f>B125-MOD(E$1-A125*3,B125)</f>
        <v>2981</v>
      </c>
      <c r="F125" s="644">
        <f>IF(MOD(E125,5)=0,B125,0)+E125</f>
        <v>2981</v>
      </c>
      <c r="G125" s="814">
        <f>IF(MOD(F125+$B125,5)=0,$B125,0)+$B125+F125</f>
        <v>6379</v>
      </c>
      <c r="H125" s="814">
        <f>IF(MOD(G125+$B125,5)=0,$B125,0)+$B125+G125</f>
        <v>9777</v>
      </c>
      <c r="I125" s="785">
        <f>IF(MOD(H125+$B125,5)=0,$B125,0)+$B125+H125</f>
        <v>16573</v>
      </c>
      <c r="J125" s="911">
        <v>298</v>
      </c>
      <c r="K125" s="892">
        <v>637</v>
      </c>
      <c r="L125" s="892">
        <v>977</v>
      </c>
      <c r="M125" s="785">
        <v>1657</v>
      </c>
      <c r="N125" s="23" t="str">
        <f>D125&amp;FIXED(MOD(F125,10),0)</f>
        <v>hh91</v>
      </c>
      <c r="O125" s="78" t="str">
        <f>MID(A$5,((FIND(N125,A$4,1)-1)+1),4)</f>
        <v>7edb</v>
      </c>
      <c r="P125" s="78" t="s">
        <v>0</v>
      </c>
      <c r="Q125" s="78" t="s">
        <v>0</v>
      </c>
      <c r="R125" s="78" t="s">
        <v>0</v>
      </c>
      <c r="S125" s="103" t="s">
        <v>0</v>
      </c>
      <c r="T125" s="42" t="s">
        <v>1</v>
      </c>
    </row>
    <row r="126" spans="1:20" ht="12.75">
      <c r="A126" s="44">
        <v>1709</v>
      </c>
      <c r="B126" s="886">
        <v>3418</v>
      </c>
      <c r="C126" s="886">
        <v>2920681</v>
      </c>
      <c r="D126" s="950" t="s">
        <v>2506</v>
      </c>
      <c r="E126" s="115">
        <f>B126-MOD(E$1-A126*3,B126)</f>
        <v>2171</v>
      </c>
      <c r="F126" s="644">
        <f>IF(MOD(E126,5)=0,B126,0)+E126</f>
        <v>2171</v>
      </c>
      <c r="G126" s="814">
        <f>IF(MOD(F126+$B126,5)=0,$B126,0)+$B126+F126</f>
        <v>5589</v>
      </c>
      <c r="H126" s="814">
        <f>IF(MOD(G126+$B126,5)=0,$B126,0)+$B126+G126</f>
        <v>9007</v>
      </c>
      <c r="I126" s="785">
        <f>IF(MOD(H126+$B126,5)=0,$B126,0)+$B126+H126</f>
        <v>15843</v>
      </c>
      <c r="J126" s="911">
        <v>217</v>
      </c>
      <c r="K126" s="892">
        <v>558</v>
      </c>
      <c r="L126" s="892">
        <v>900</v>
      </c>
      <c r="M126" s="785">
        <v>1584</v>
      </c>
      <c r="N126" s="23" t="str">
        <f>D126&amp;FIXED(MOD(F126,10),0)</f>
        <v>hh91</v>
      </c>
      <c r="O126" s="78" t="str">
        <f>MID(A$5,((FIND(N126,A$4,1)-1)+1),4)</f>
        <v>7edb</v>
      </c>
      <c r="P126" s="78" t="s">
        <v>0</v>
      </c>
      <c r="Q126" s="78" t="s">
        <v>0</v>
      </c>
      <c r="R126" s="78" t="s">
        <v>0</v>
      </c>
      <c r="S126" s="103" t="s">
        <v>0</v>
      </c>
      <c r="T126" s="42" t="s">
        <v>1</v>
      </c>
    </row>
    <row r="127" spans="1:20" ht="12.75">
      <c r="A127" s="44">
        <v>1721</v>
      </c>
      <c r="B127" s="886">
        <v>3442</v>
      </c>
      <c r="C127" s="886">
        <v>2961841</v>
      </c>
      <c r="D127" s="950" t="s">
        <v>2490</v>
      </c>
      <c r="E127" s="115">
        <f>B127-MOD(E$1-A127*3,B127)</f>
        <v>3071</v>
      </c>
      <c r="F127" s="644">
        <f>IF(MOD(E127,5)=0,B127,0)+E127</f>
        <v>3071</v>
      </c>
      <c r="G127" s="814">
        <f>IF(MOD(F127+$B127,5)=0,$B127,0)+$B127+F127</f>
        <v>6513</v>
      </c>
      <c r="H127" s="814">
        <f>IF(MOD(G127+$B127,5)=0,$B127,0)+$B127+G127</f>
        <v>13397</v>
      </c>
      <c r="I127" s="785">
        <f>IF(MOD(H127+$B127,5)=0,$B127,0)+$B127+H127</f>
        <v>16839</v>
      </c>
      <c r="J127" s="911">
        <v>307</v>
      </c>
      <c r="K127" s="892">
        <v>651</v>
      </c>
      <c r="L127" s="892">
        <v>1339</v>
      </c>
      <c r="M127" s="785">
        <v>1683</v>
      </c>
      <c r="N127" s="23" t="str">
        <f>D127&amp;FIXED(MOD(F127,10),0)</f>
        <v>hh11</v>
      </c>
      <c r="O127" s="78" t="str">
        <f>MID(A$5,((FIND(N127,A$4,1)-1)+1),4)</f>
        <v>7bde</v>
      </c>
      <c r="P127" s="78" t="s">
        <v>0</v>
      </c>
      <c r="Q127" s="78" t="s">
        <v>0</v>
      </c>
      <c r="R127" s="78" t="s">
        <v>0</v>
      </c>
      <c r="S127" s="103" t="s">
        <v>0</v>
      </c>
      <c r="T127" s="42" t="s">
        <v>1</v>
      </c>
    </row>
    <row r="128" spans="1:20" ht="12.75">
      <c r="A128" s="44">
        <v>1723</v>
      </c>
      <c r="B128" s="886">
        <v>3446</v>
      </c>
      <c r="C128" s="886">
        <v>2968729</v>
      </c>
      <c r="D128" s="950" t="s">
        <v>2496</v>
      </c>
      <c r="E128" s="115">
        <f>B128-MOD(E$1-A128*3,B128)</f>
        <v>3113</v>
      </c>
      <c r="F128" s="644">
        <f>IF(MOD(E128,5)=0,B128,0)+E128</f>
        <v>3113</v>
      </c>
      <c r="G128" s="814">
        <f>IF(MOD(F128+$B128,5)=0,$B128,0)+$B128+F128</f>
        <v>6559</v>
      </c>
      <c r="H128" s="814">
        <f>IF(MOD(G128+$B128,5)=0,$B128,0)+$B128+G128</f>
        <v>13451</v>
      </c>
      <c r="I128" s="785">
        <f>IF(MOD(H128+$B128,5)=0,$B128,0)+$B128+H128</f>
        <v>16897</v>
      </c>
      <c r="J128" s="911">
        <v>311</v>
      </c>
      <c r="K128" s="892">
        <v>655</v>
      </c>
      <c r="L128" s="892">
        <v>1345</v>
      </c>
      <c r="M128" s="785">
        <v>1689</v>
      </c>
      <c r="N128" s="23" t="str">
        <f>D128&amp;FIXED(MOD(F128,10),0)</f>
        <v>hh33</v>
      </c>
      <c r="O128" s="78" t="str">
        <f>MID(A$5,((FIND(N128,A$4,1)-1)+1),4)</f>
        <v>be7d</v>
      </c>
      <c r="P128" s="78" t="s">
        <v>0</v>
      </c>
      <c r="Q128" s="78" t="s">
        <v>0</v>
      </c>
      <c r="R128" s="78" t="s">
        <v>0</v>
      </c>
      <c r="S128" s="103" t="s">
        <v>0</v>
      </c>
      <c r="T128" s="42" t="s">
        <v>1</v>
      </c>
    </row>
    <row r="129" spans="1:20" ht="12.75">
      <c r="A129" s="44">
        <v>1733</v>
      </c>
      <c r="B129" s="886">
        <v>3466</v>
      </c>
      <c r="C129" s="886">
        <v>3003289</v>
      </c>
      <c r="D129" s="950" t="s">
        <v>2496</v>
      </c>
      <c r="E129" s="115">
        <f>B129-MOD(E$1-A129*3,B129)</f>
        <v>1463</v>
      </c>
      <c r="F129" s="644">
        <f>IF(MOD(E129,5)=0,B129,0)+E129</f>
        <v>1463</v>
      </c>
      <c r="G129" s="814">
        <f>IF(MOD(F129+$B129,5)=0,$B129,0)+$B129+F129</f>
        <v>4929</v>
      </c>
      <c r="H129" s="814">
        <f>IF(MOD(G129+$B129,5)=0,$B129,0)+$B129+G129</f>
        <v>11861</v>
      </c>
      <c r="I129" s="785">
        <f>IF(MOD(H129+$B129,5)=0,$B129,0)+$B129+H129</f>
        <v>15327</v>
      </c>
      <c r="J129" s="911">
        <v>146</v>
      </c>
      <c r="K129" s="892">
        <v>492</v>
      </c>
      <c r="L129" s="892">
        <v>1186</v>
      </c>
      <c r="M129" s="785">
        <v>1532</v>
      </c>
      <c r="N129" s="23" t="str">
        <f>D129&amp;FIXED(MOD(F129,10),0)</f>
        <v>hh33</v>
      </c>
      <c r="O129" s="78" t="str">
        <f>MID(A$5,((FIND(N129,A$4,1)-1)+1),4)</f>
        <v>be7d</v>
      </c>
      <c r="P129" s="78" t="s">
        <v>0</v>
      </c>
      <c r="Q129" s="78" t="s">
        <v>0</v>
      </c>
      <c r="R129" s="78" t="s">
        <v>0</v>
      </c>
      <c r="S129" s="103" t="s">
        <v>0</v>
      </c>
      <c r="T129" s="42" t="s">
        <v>1</v>
      </c>
    </row>
    <row r="130" spans="1:20" ht="12.75">
      <c r="A130" s="44">
        <v>1741</v>
      </c>
      <c r="B130" s="886">
        <v>3482</v>
      </c>
      <c r="C130" s="886">
        <v>3031081</v>
      </c>
      <c r="D130" s="950" t="s">
        <v>2490</v>
      </c>
      <c r="E130" s="115">
        <f>B130-MOD(E$1-A130*3,B130)</f>
        <v>2641</v>
      </c>
      <c r="F130" s="644">
        <f>IF(MOD(E130,5)=0,B130,0)+E130</f>
        <v>2641</v>
      </c>
      <c r="G130" s="814">
        <f>IF(MOD(F130+$B130,5)=0,$B130,0)+$B130+F130</f>
        <v>6123</v>
      </c>
      <c r="H130" s="814">
        <f>IF(MOD(G130+$B130,5)=0,$B130,0)+$B130+G130</f>
        <v>13087</v>
      </c>
      <c r="I130" s="785">
        <f>IF(MOD(H130+$B130,5)=0,$B130,0)+$B130+H130</f>
        <v>16569</v>
      </c>
      <c r="J130" s="911">
        <v>264</v>
      </c>
      <c r="K130" s="892">
        <v>612</v>
      </c>
      <c r="L130" s="892">
        <v>1308</v>
      </c>
      <c r="M130" s="785">
        <v>1656</v>
      </c>
      <c r="N130" s="23" t="str">
        <f>D130&amp;FIXED(MOD(F130,10),0)</f>
        <v>hh11</v>
      </c>
      <c r="O130" s="78" t="str">
        <f>MID(A$5,((FIND(N130,A$4,1)-1)+1),4)</f>
        <v>7bde</v>
      </c>
      <c r="P130" s="78" t="s">
        <v>0</v>
      </c>
      <c r="Q130" s="78" t="s">
        <v>0</v>
      </c>
      <c r="R130" s="78" t="s">
        <v>0</v>
      </c>
      <c r="S130" s="103" t="s">
        <v>0</v>
      </c>
      <c r="T130" s="42" t="s">
        <v>1</v>
      </c>
    </row>
    <row r="131" spans="1:20" ht="12.75">
      <c r="A131" s="44">
        <v>1747</v>
      </c>
      <c r="B131" s="886">
        <v>3494</v>
      </c>
      <c r="C131" s="886">
        <v>3052009</v>
      </c>
      <c r="D131" s="950" t="s">
        <v>2501</v>
      </c>
      <c r="E131" s="115">
        <f>B131-MOD(E$1-A131*3,B131)</f>
        <v>1923</v>
      </c>
      <c r="F131" s="644">
        <f>IF(MOD(E131,5)=0,B131,0)+E131</f>
        <v>1923</v>
      </c>
      <c r="G131" s="814">
        <f>IF(MOD(F131+$B131,5)=0,$B131,0)+$B131+F131</f>
        <v>5417</v>
      </c>
      <c r="H131" s="814">
        <f>IF(MOD(G131+$B131,5)=0,$B131,0)+$B131+G131</f>
        <v>8911</v>
      </c>
      <c r="I131" s="785">
        <f>IF(MOD(H131+$B131,5)=0,$B131,0)+$B131+H131</f>
        <v>15899</v>
      </c>
      <c r="J131" s="911">
        <v>192</v>
      </c>
      <c r="K131" s="892">
        <v>541</v>
      </c>
      <c r="L131" s="892">
        <v>891</v>
      </c>
      <c r="M131" s="785">
        <v>1589</v>
      </c>
      <c r="N131" s="23" t="str">
        <f>D131&amp;FIXED(MOD(F131,10),0)</f>
        <v>hh73</v>
      </c>
      <c r="O131" s="78" t="str">
        <f>MID(A$5,((FIND(N131,A$4,1)-1)+1),4)</f>
        <v>bd7e</v>
      </c>
      <c r="P131" s="78" t="s">
        <v>0</v>
      </c>
      <c r="Q131" s="78" t="s">
        <v>0</v>
      </c>
      <c r="R131" s="78" t="s">
        <v>0</v>
      </c>
      <c r="S131" s="103" t="s">
        <v>0</v>
      </c>
      <c r="T131" s="42" t="s">
        <v>1</v>
      </c>
    </row>
    <row r="132" spans="1:20" ht="12.75">
      <c r="A132" s="44">
        <v>1753</v>
      </c>
      <c r="B132" s="886">
        <v>3506</v>
      </c>
      <c r="C132" s="886">
        <v>3073009</v>
      </c>
      <c r="D132" s="950" t="s">
        <v>2496</v>
      </c>
      <c r="E132" s="115">
        <f>B132-MOD(E$1-A132*3,B132)</f>
        <v>2859</v>
      </c>
      <c r="F132" s="644">
        <f>IF(MOD(E132,5)=0,B132,0)+E132</f>
        <v>2859</v>
      </c>
      <c r="G132" s="814">
        <f>IF(MOD(F132+$B132,5)=0,$B132,0)+$B132+F132</f>
        <v>9871</v>
      </c>
      <c r="H132" s="814">
        <f>IF(MOD(G132+$B132,5)=0,$B132,0)+$B132+G132</f>
        <v>13377</v>
      </c>
      <c r="I132" s="785">
        <f>IF(MOD(H132+$B132,5)=0,$B132,0)+$B132+H132</f>
        <v>16883</v>
      </c>
      <c r="J132" s="911">
        <v>285</v>
      </c>
      <c r="K132" s="892">
        <v>987</v>
      </c>
      <c r="L132" s="892">
        <v>1337</v>
      </c>
      <c r="M132" s="785">
        <v>1688</v>
      </c>
      <c r="N132" s="23" t="str">
        <f>D132&amp;FIXED(MOD(F132,10),0)</f>
        <v>hh39</v>
      </c>
      <c r="O132" s="78" t="str">
        <f>MID(A$5,((FIND(N132,A$4,1)-1)+1),4)</f>
        <v>e7db</v>
      </c>
      <c r="P132" s="78" t="s">
        <v>0</v>
      </c>
      <c r="Q132" s="78" t="s">
        <v>0</v>
      </c>
      <c r="R132" s="78" t="s">
        <v>0</v>
      </c>
      <c r="S132" s="103" t="s">
        <v>0</v>
      </c>
      <c r="T132" s="42" t="s">
        <v>1</v>
      </c>
    </row>
    <row r="133" spans="1:20" ht="12.75">
      <c r="A133" s="44">
        <v>1759</v>
      </c>
      <c r="B133" s="886">
        <v>3518</v>
      </c>
      <c r="C133" s="886">
        <v>3094081</v>
      </c>
      <c r="D133" s="950" t="s">
        <v>2506</v>
      </c>
      <c r="E133" s="115">
        <f>B133-MOD(E$1-A133*3,B133)</f>
        <v>3241</v>
      </c>
      <c r="F133" s="644">
        <f>IF(MOD(E133,5)=0,B133,0)+E133</f>
        <v>3241</v>
      </c>
      <c r="G133" s="814">
        <f>IF(MOD(F133+$B133,5)=0,$B133,0)+$B133+F133</f>
        <v>6759</v>
      </c>
      <c r="H133" s="814">
        <f>IF(MOD(G133+$B133,5)=0,$B133,0)+$B133+G133</f>
        <v>10277</v>
      </c>
      <c r="I133" s="785">
        <f>IF(MOD(H133+$B133,5)=0,$B133,0)+$B133+H133</f>
        <v>17313</v>
      </c>
      <c r="J133" s="911">
        <v>324</v>
      </c>
      <c r="K133" s="892">
        <v>675</v>
      </c>
      <c r="L133" s="892">
        <v>1027</v>
      </c>
      <c r="M133" s="785">
        <v>1731</v>
      </c>
      <c r="N133" s="23" t="str">
        <f>D133&amp;FIXED(MOD(F133,10),0)</f>
        <v>hh91</v>
      </c>
      <c r="O133" s="78" t="str">
        <f>MID(A$5,((FIND(N133,A$4,1)-1)+1),4)</f>
        <v>7edb</v>
      </c>
      <c r="P133" s="78" t="s">
        <v>0</v>
      </c>
      <c r="Q133" s="78" t="s">
        <v>0</v>
      </c>
      <c r="R133" s="78" t="s">
        <v>0</v>
      </c>
      <c r="S133" s="103" t="s">
        <v>0</v>
      </c>
      <c r="T133" s="42" t="s">
        <v>1</v>
      </c>
    </row>
    <row r="134" spans="1:20" ht="12.75">
      <c r="A134" s="44">
        <v>1777</v>
      </c>
      <c r="B134" s="886">
        <v>3554</v>
      </c>
      <c r="C134" s="886">
        <v>3157729</v>
      </c>
      <c r="D134" s="950" t="s">
        <v>2501</v>
      </c>
      <c r="E134" s="115">
        <f>B134-MOD(E$1-A134*3,B134)</f>
        <v>2053</v>
      </c>
      <c r="F134" s="644">
        <f>IF(MOD(E134,5)=0,B134,0)+E134</f>
        <v>2053</v>
      </c>
      <c r="G134" s="814">
        <f>IF(MOD(F134+$B134,5)=0,$B134,0)+$B134+F134</f>
        <v>5607</v>
      </c>
      <c r="H134" s="814">
        <f>IF(MOD(G134+$B134,5)=0,$B134,0)+$B134+G134</f>
        <v>9161</v>
      </c>
      <c r="I134" s="785">
        <f>IF(MOD(H134+$B134,5)=0,$B134,0)+$B134+H134</f>
        <v>16269</v>
      </c>
      <c r="J134" s="911">
        <v>205</v>
      </c>
      <c r="K134" s="892">
        <v>560</v>
      </c>
      <c r="L134" s="892">
        <v>916</v>
      </c>
      <c r="M134" s="785">
        <v>1626</v>
      </c>
      <c r="N134" s="23" t="str">
        <f>D134&amp;FIXED(MOD(F134,10),0)</f>
        <v>hh73</v>
      </c>
      <c r="O134" s="78" t="str">
        <f>MID(A$5,((FIND(N134,A$4,1)-1)+1),4)</f>
        <v>bd7e</v>
      </c>
      <c r="P134" s="78" t="s">
        <v>0</v>
      </c>
      <c r="Q134" s="78" t="s">
        <v>0</v>
      </c>
      <c r="R134" s="78" t="s">
        <v>0</v>
      </c>
      <c r="S134" s="103" t="s">
        <v>0</v>
      </c>
      <c r="T134" s="42" t="s">
        <v>1</v>
      </c>
    </row>
    <row r="135" spans="1:20" ht="12.75">
      <c r="A135" s="44">
        <v>1783</v>
      </c>
      <c r="B135" s="886">
        <v>3566</v>
      </c>
      <c r="C135" s="886">
        <v>3179089</v>
      </c>
      <c r="D135" s="950" t="s">
        <v>2496</v>
      </c>
      <c r="E135" s="115">
        <f>B135-MOD(E$1-A135*3,B135)</f>
        <v>2187</v>
      </c>
      <c r="F135" s="644">
        <f>IF(MOD(E135,5)=0,B135,0)+E135</f>
        <v>2187</v>
      </c>
      <c r="G135" s="814">
        <f>IF(MOD(F135+$B135,5)=0,$B135,0)+$B135+F135</f>
        <v>5753</v>
      </c>
      <c r="H135" s="814">
        <f>IF(MOD(G135+$B135,5)=0,$B135,0)+$B135+G135</f>
        <v>9319</v>
      </c>
      <c r="I135" s="785">
        <f>IF(MOD(H135+$B135,5)=0,$B135,0)+$B135+H135</f>
        <v>16451</v>
      </c>
      <c r="J135" s="911">
        <v>218</v>
      </c>
      <c r="K135" s="892">
        <v>575</v>
      </c>
      <c r="L135" s="892">
        <v>931</v>
      </c>
      <c r="M135" s="785">
        <v>1645</v>
      </c>
      <c r="N135" s="23" t="str">
        <f>D135&amp;FIXED(MOD(F135,10),0)</f>
        <v>hh37</v>
      </c>
      <c r="O135" s="78" t="str">
        <f>MID(A$5,((FIND(N135,A$4,1)-1)+1),4)</f>
        <v>dbe7</v>
      </c>
      <c r="P135" s="78" t="s">
        <v>0</v>
      </c>
      <c r="Q135" s="78" t="s">
        <v>0</v>
      </c>
      <c r="R135" s="78" t="s">
        <v>0</v>
      </c>
      <c r="S135" s="103" t="s">
        <v>0</v>
      </c>
      <c r="T135" s="42" t="s">
        <v>1</v>
      </c>
    </row>
    <row r="136" spans="1:20" ht="12.75">
      <c r="A136" s="44">
        <v>1787</v>
      </c>
      <c r="B136" s="886">
        <v>3574</v>
      </c>
      <c r="C136" s="886">
        <v>3193369</v>
      </c>
      <c r="D136" s="950" t="s">
        <v>2501</v>
      </c>
      <c r="E136" s="115">
        <f>B136-MOD(E$1-A136*3,B136)</f>
        <v>237</v>
      </c>
      <c r="F136" s="644">
        <f>IF(MOD(E136,5)=0,B136,0)+E136</f>
        <v>237</v>
      </c>
      <c r="G136" s="814">
        <f>IF(MOD(F136+$B136,5)=0,$B136,0)+$B136+F136</f>
        <v>3811</v>
      </c>
      <c r="H136" s="814">
        <f>IF(MOD(G136+$B136,5)=0,$B136,0)+$B136+G136</f>
        <v>10959</v>
      </c>
      <c r="I136" s="785">
        <f>IF(MOD(H136+$B136,5)=0,$B136,0)+$B136+H136</f>
        <v>14533</v>
      </c>
      <c r="J136" s="911">
        <v>23</v>
      </c>
      <c r="K136" s="892">
        <v>381</v>
      </c>
      <c r="L136" s="892">
        <v>1095</v>
      </c>
      <c r="M136" s="785">
        <v>1453</v>
      </c>
      <c r="N136" s="23" t="str">
        <f>D136&amp;FIXED(MOD(F136,10),0)</f>
        <v>hh77</v>
      </c>
      <c r="O136" s="78" t="str">
        <f>MID(A$5,((FIND(N136,A$4,1)-1)+1),4)</f>
        <v>d7eb</v>
      </c>
      <c r="P136" s="78" t="s">
        <v>0</v>
      </c>
      <c r="Q136" s="78" t="s">
        <v>0</v>
      </c>
      <c r="R136" s="78" t="s">
        <v>0</v>
      </c>
      <c r="S136" s="103" t="s">
        <v>0</v>
      </c>
      <c r="T136" s="42" t="s">
        <v>1</v>
      </c>
    </row>
    <row r="137" spans="1:20" ht="12.75">
      <c r="A137" s="44">
        <v>1789</v>
      </c>
      <c r="B137" s="886">
        <v>3578</v>
      </c>
      <c r="C137" s="886">
        <v>3200521</v>
      </c>
      <c r="D137" s="950" t="s">
        <v>2506</v>
      </c>
      <c r="E137" s="115">
        <f>B137-MOD(E$1-A137*3,B137)</f>
        <v>277</v>
      </c>
      <c r="F137" s="644">
        <f>IF(MOD(E137,5)=0,B137,0)+E137</f>
        <v>277</v>
      </c>
      <c r="G137" s="814">
        <f>IF(MOD(F137+$B137,5)=0,$B137,0)+$B137+F137</f>
        <v>7433</v>
      </c>
      <c r="H137" s="814">
        <f>IF(MOD(G137+$B137,5)=0,$B137,0)+$B137+G137</f>
        <v>11011</v>
      </c>
      <c r="I137" s="785">
        <f>IF(MOD(H137+$B137,5)=0,$B137,0)+$B137+H137</f>
        <v>14589</v>
      </c>
      <c r="J137" s="911">
        <v>27</v>
      </c>
      <c r="K137" s="892">
        <v>743</v>
      </c>
      <c r="L137" s="892">
        <v>1101</v>
      </c>
      <c r="M137" s="785">
        <v>1458</v>
      </c>
      <c r="N137" s="23" t="str">
        <f>D137&amp;FIXED(MOD(F137,10),0)</f>
        <v>hh97</v>
      </c>
      <c r="O137" s="78" t="str">
        <f>MID(A$5,((FIND(N137,A$4,1)-1)+1),4)</f>
        <v>db7e</v>
      </c>
      <c r="P137" s="78" t="s">
        <v>0</v>
      </c>
      <c r="Q137" s="78" t="s">
        <v>0</v>
      </c>
      <c r="R137" s="78" t="s">
        <v>0</v>
      </c>
      <c r="S137" s="103" t="s">
        <v>0</v>
      </c>
      <c r="T137" s="42" t="s">
        <v>1</v>
      </c>
    </row>
    <row r="138" spans="1:20" ht="12.75">
      <c r="A138" s="44">
        <v>1801</v>
      </c>
      <c r="B138" s="886">
        <v>3602</v>
      </c>
      <c r="C138" s="886">
        <v>3243601</v>
      </c>
      <c r="D138" s="950" t="s">
        <v>2490</v>
      </c>
      <c r="E138" s="115">
        <f>B138-MOD(E$1-A138*3,B138)</f>
        <v>1115</v>
      </c>
      <c r="F138" s="644">
        <f>IF(MOD(E138,5)=0,B138,0)+E138</f>
        <v>4717</v>
      </c>
      <c r="G138" s="814">
        <f>IF(MOD(F138+$B138,5)=0,$B138,0)+$B138+F138</f>
        <v>8319</v>
      </c>
      <c r="H138" s="814">
        <f>IF(MOD(G138+$B138,5)=0,$B138,0)+$B138+G138</f>
        <v>11921</v>
      </c>
      <c r="I138" s="785">
        <f>IF(MOD(H138+$B138,5)=0,$B138,0)+$B138+H138</f>
        <v>15523</v>
      </c>
      <c r="J138" s="911">
        <v>471</v>
      </c>
      <c r="K138" s="892">
        <v>831</v>
      </c>
      <c r="L138" s="892">
        <v>1192</v>
      </c>
      <c r="M138" s="785">
        <v>1552</v>
      </c>
      <c r="N138" s="23" t="str">
        <f>D138&amp;FIXED(MOD(F138,10),0)</f>
        <v>hh17</v>
      </c>
      <c r="O138" s="78" t="str">
        <f>MID(A$5,((FIND(N138,A$4,1)-1)+1),4)</f>
        <v>de7b</v>
      </c>
      <c r="P138" s="78" t="s">
        <v>0</v>
      </c>
      <c r="Q138" s="78" t="s">
        <v>0</v>
      </c>
      <c r="R138" s="78" t="s">
        <v>0</v>
      </c>
      <c r="S138" s="103" t="s">
        <v>0</v>
      </c>
      <c r="T138" s="42" t="s">
        <v>1</v>
      </c>
    </row>
    <row r="139" spans="1:20" ht="12.75">
      <c r="A139" s="44">
        <v>1811</v>
      </c>
      <c r="B139" s="886">
        <v>3622</v>
      </c>
      <c r="C139" s="886">
        <v>3279721</v>
      </c>
      <c r="D139" s="950" t="s">
        <v>2490</v>
      </c>
      <c r="E139" s="115">
        <f>B139-MOD(E$1-A139*3,B139)</f>
        <v>1627</v>
      </c>
      <c r="F139" s="644">
        <f>IF(MOD(E139,5)=0,B139,0)+E139</f>
        <v>1627</v>
      </c>
      <c r="G139" s="814">
        <f>IF(MOD(F139+$B139,5)=0,$B139,0)+$B139+F139</f>
        <v>5249</v>
      </c>
      <c r="H139" s="814">
        <f>IF(MOD(G139+$B139,5)=0,$B139,0)+$B139+G139</f>
        <v>8871</v>
      </c>
      <c r="I139" s="785">
        <f>IF(MOD(H139+$B139,5)=0,$B139,0)+$B139+H139</f>
        <v>12493</v>
      </c>
      <c r="J139" s="911">
        <v>162</v>
      </c>
      <c r="K139" s="892">
        <v>524</v>
      </c>
      <c r="L139" s="892">
        <v>887</v>
      </c>
      <c r="M139" s="785">
        <v>1249</v>
      </c>
      <c r="N139" s="23" t="str">
        <f>D139&amp;FIXED(MOD(F139,10),0)</f>
        <v>hh17</v>
      </c>
      <c r="O139" s="78" t="str">
        <f>MID(A$5,((FIND(N139,A$4,1)-1)+1),4)</f>
        <v>de7b</v>
      </c>
      <c r="P139" s="78" t="s">
        <v>0</v>
      </c>
      <c r="Q139" s="78" t="s">
        <v>0</v>
      </c>
      <c r="R139" s="78" t="s">
        <v>0</v>
      </c>
      <c r="S139" s="103" t="s">
        <v>0</v>
      </c>
      <c r="T139" s="42" t="s">
        <v>1</v>
      </c>
    </row>
    <row r="140" spans="1:20" ht="12.75">
      <c r="A140" s="44">
        <v>1823</v>
      </c>
      <c r="B140" s="886">
        <v>3646</v>
      </c>
      <c r="C140" s="886">
        <v>3323329</v>
      </c>
      <c r="D140" s="950" t="s">
        <v>2496</v>
      </c>
      <c r="E140" s="115">
        <f>B140-MOD(E$1-A140*3,B140)</f>
        <v>2773</v>
      </c>
      <c r="F140" s="644">
        <f>IF(MOD(E140,5)=0,B140,0)+E140</f>
        <v>2773</v>
      </c>
      <c r="G140" s="814">
        <f>IF(MOD(F140+$B140,5)=0,$B140,0)+$B140+F140</f>
        <v>6419</v>
      </c>
      <c r="H140" s="814">
        <f>IF(MOD(G140+$B140,5)=0,$B140,0)+$B140+G140</f>
        <v>13711</v>
      </c>
      <c r="I140" s="785">
        <f>IF(MOD(H140+$B140,5)=0,$B140,0)+$B140+H140</f>
        <v>17357</v>
      </c>
      <c r="J140" s="911">
        <v>277</v>
      </c>
      <c r="K140" s="892">
        <v>641</v>
      </c>
      <c r="L140" s="892">
        <v>1371</v>
      </c>
      <c r="M140" s="785">
        <v>1735</v>
      </c>
      <c r="N140" s="23" t="str">
        <f>D140&amp;FIXED(MOD(F140,10),0)</f>
        <v>hh33</v>
      </c>
      <c r="O140" s="78" t="str">
        <f>MID(A$5,((FIND(N140,A$4,1)-1)+1),4)</f>
        <v>be7d</v>
      </c>
      <c r="P140" s="78" t="s">
        <v>0</v>
      </c>
      <c r="Q140" s="78" t="s">
        <v>0</v>
      </c>
      <c r="R140" s="78" t="s">
        <v>0</v>
      </c>
      <c r="S140" s="103" t="s">
        <v>0</v>
      </c>
      <c r="T140" s="42" t="s">
        <v>1</v>
      </c>
    </row>
    <row r="141" spans="1:20" ht="12.75">
      <c r="A141" s="44">
        <v>1831</v>
      </c>
      <c r="B141" s="886">
        <v>3662</v>
      </c>
      <c r="C141" s="886">
        <v>3352561</v>
      </c>
      <c r="D141" s="950" t="s">
        <v>2490</v>
      </c>
      <c r="E141" s="115">
        <f>B141-MOD(E$1-A141*3,B141)</f>
        <v>1483</v>
      </c>
      <c r="F141" s="644">
        <f>IF(MOD(E141,5)=0,B141,0)+E141</f>
        <v>1483</v>
      </c>
      <c r="G141" s="814">
        <f>IF(MOD(F141+$B141,5)=0,$B141,0)+$B141+F141</f>
        <v>8807</v>
      </c>
      <c r="H141" s="814">
        <f>IF(MOD(G141+$B141,5)=0,$B141,0)+$B141+G141</f>
        <v>12469</v>
      </c>
      <c r="I141" s="785">
        <f>IF(MOD(H141+$B141,5)=0,$B141,0)+$B141+H141</f>
        <v>16131</v>
      </c>
      <c r="J141" s="911">
        <v>148</v>
      </c>
      <c r="K141" s="892">
        <v>880</v>
      </c>
      <c r="L141" s="892">
        <v>1246</v>
      </c>
      <c r="M141" s="785">
        <v>1613</v>
      </c>
      <c r="N141" s="23" t="str">
        <f>D141&amp;FIXED(MOD(F141,10),0)</f>
        <v>hh13</v>
      </c>
      <c r="O141" s="78" t="str">
        <f>MID(A$5,((FIND(N141,A$4,1)-1)+1),4)</f>
        <v>bde7</v>
      </c>
      <c r="P141" s="78" t="s">
        <v>0</v>
      </c>
      <c r="Q141" s="78" t="s">
        <v>0</v>
      </c>
      <c r="R141" s="78" t="s">
        <v>0</v>
      </c>
      <c r="S141" s="103" t="s">
        <v>0</v>
      </c>
      <c r="T141" s="42" t="s">
        <v>1</v>
      </c>
    </row>
    <row r="142" spans="1:20" ht="12.75">
      <c r="A142" s="44">
        <v>1847</v>
      </c>
      <c r="B142" s="886">
        <v>3694</v>
      </c>
      <c r="C142" s="886">
        <v>3411409</v>
      </c>
      <c r="D142" s="950" t="s">
        <v>2501</v>
      </c>
      <c r="E142" s="115">
        <f>B142-MOD(E$1-A142*3,B142)</f>
        <v>2937</v>
      </c>
      <c r="F142" s="644">
        <f>IF(MOD(E142,5)=0,B142,0)+E142</f>
        <v>2937</v>
      </c>
      <c r="G142" s="814">
        <f>IF(MOD(F142+$B142,5)=0,$B142,0)+$B142+F142</f>
        <v>6631</v>
      </c>
      <c r="H142" s="814">
        <f>IF(MOD(G142+$B142,5)=0,$B142,0)+$B142+G142</f>
        <v>14019</v>
      </c>
      <c r="I142" s="785">
        <f>IF(MOD(H142+$B142,5)=0,$B142,0)+$B142+H142</f>
        <v>17713</v>
      </c>
      <c r="J142" s="911">
        <v>293</v>
      </c>
      <c r="K142" s="892">
        <v>663</v>
      </c>
      <c r="L142" s="892">
        <v>1401</v>
      </c>
      <c r="M142" s="785">
        <v>1771</v>
      </c>
      <c r="N142" s="23" t="str">
        <f>D142&amp;FIXED(MOD(F142,10),0)</f>
        <v>hh77</v>
      </c>
      <c r="O142" s="78" t="str">
        <f>MID(A$5,((FIND(N142,A$4,1)-1)+1),4)</f>
        <v>d7eb</v>
      </c>
      <c r="P142" s="78" t="s">
        <v>0</v>
      </c>
      <c r="Q142" s="78" t="s">
        <v>0</v>
      </c>
      <c r="R142" s="78" t="s">
        <v>0</v>
      </c>
      <c r="S142" s="103" t="s">
        <v>0</v>
      </c>
      <c r="T142" s="42" t="s">
        <v>1</v>
      </c>
    </row>
    <row r="143" spans="1:20" ht="12.75">
      <c r="A143" s="44">
        <v>1861</v>
      </c>
      <c r="B143" s="886">
        <v>3722</v>
      </c>
      <c r="C143" s="886">
        <v>3463321</v>
      </c>
      <c r="D143" s="950" t="s">
        <v>2490</v>
      </c>
      <c r="E143" s="115">
        <f>B143-MOD(E$1-A143*3,B143)</f>
        <v>2741</v>
      </c>
      <c r="F143" s="644">
        <f>IF(MOD(E143,5)=0,B143,0)+E143</f>
        <v>2741</v>
      </c>
      <c r="G143" s="814">
        <f>IF(MOD(F143+$B143,5)=0,$B143,0)+$B143+F143</f>
        <v>6463</v>
      </c>
      <c r="H143" s="814">
        <f>IF(MOD(G143+$B143,5)=0,$B143,0)+$B143+G143</f>
        <v>13907</v>
      </c>
      <c r="I143" s="785">
        <f>IF(MOD(H143+$B143,5)=0,$B143,0)+$B143+H143</f>
        <v>17629</v>
      </c>
      <c r="J143" s="911">
        <v>274</v>
      </c>
      <c r="K143" s="892">
        <v>646</v>
      </c>
      <c r="L143" s="892">
        <v>1390</v>
      </c>
      <c r="M143" s="785">
        <v>1762</v>
      </c>
      <c r="N143" s="23" t="str">
        <f>D143&amp;FIXED(MOD(F143,10),0)</f>
        <v>hh11</v>
      </c>
      <c r="O143" s="78" t="str">
        <f>MID(A$5,((FIND(N143,A$4,1)-1)+1),4)</f>
        <v>7bde</v>
      </c>
      <c r="P143" s="78" t="s">
        <v>0</v>
      </c>
      <c r="Q143" s="78" t="s">
        <v>0</v>
      </c>
      <c r="R143" s="78" t="s">
        <v>0</v>
      </c>
      <c r="S143" s="103" t="s">
        <v>0</v>
      </c>
      <c r="T143" s="42" t="s">
        <v>1</v>
      </c>
    </row>
    <row r="144" spans="1:20" ht="12.75">
      <c r="A144" s="44">
        <v>1867</v>
      </c>
      <c r="B144" s="886">
        <v>3734</v>
      </c>
      <c r="C144" s="886">
        <v>3485689</v>
      </c>
      <c r="D144" s="950" t="s">
        <v>2501</v>
      </c>
      <c r="E144" s="115">
        <f>B144-MOD(E$1-A144*3,B144)</f>
        <v>3389</v>
      </c>
      <c r="F144" s="644">
        <f>IF(MOD(E144,5)=0,B144,0)+E144</f>
        <v>3389</v>
      </c>
      <c r="G144" s="814">
        <f>IF(MOD(F144+$B144,5)=0,$B144,0)+$B144+F144</f>
        <v>7123</v>
      </c>
      <c r="H144" s="814">
        <f>IF(MOD(G144+$B144,5)=0,$B144,0)+$B144+G144</f>
        <v>10857</v>
      </c>
      <c r="I144" s="785">
        <f>IF(MOD(H144+$B144,5)=0,$B144,0)+$B144+H144</f>
        <v>14591</v>
      </c>
      <c r="J144" s="911">
        <v>338</v>
      </c>
      <c r="K144" s="892">
        <v>712</v>
      </c>
      <c r="L144" s="892">
        <v>1085</v>
      </c>
      <c r="M144" s="785">
        <v>1459</v>
      </c>
      <c r="N144" s="23" t="str">
        <f>D144&amp;FIXED(MOD(F144,10),0)</f>
        <v>hh79</v>
      </c>
      <c r="O144" s="78" t="str">
        <f>MID(A$5,((FIND(N144,A$4,1)-1)+1),4)</f>
        <v>ebd7</v>
      </c>
      <c r="P144" s="78" t="s">
        <v>0</v>
      </c>
      <c r="Q144" s="78" t="s">
        <v>0</v>
      </c>
      <c r="R144" s="78" t="s">
        <v>0</v>
      </c>
      <c r="S144" s="103" t="s">
        <v>0</v>
      </c>
      <c r="T144" s="42" t="s">
        <v>1</v>
      </c>
    </row>
    <row r="145" spans="1:20" ht="12.75">
      <c r="A145" s="44">
        <v>1871</v>
      </c>
      <c r="B145" s="886">
        <v>3742</v>
      </c>
      <c r="C145" s="886">
        <v>3500641</v>
      </c>
      <c r="D145" s="950" t="s">
        <v>2490</v>
      </c>
      <c r="E145" s="115">
        <f>B145-MOD(E$1-A145*3,B145)</f>
        <v>83</v>
      </c>
      <c r="F145" s="644">
        <f>IF(MOD(E145,5)=0,B145,0)+E145</f>
        <v>83</v>
      </c>
      <c r="G145" s="814">
        <f>IF(MOD(F145+$B145,5)=0,$B145,0)+$B145+F145</f>
        <v>7567</v>
      </c>
      <c r="H145" s="814">
        <f>IF(MOD(G145+$B145,5)=0,$B145,0)+$B145+G145</f>
        <v>11309</v>
      </c>
      <c r="I145" s="785">
        <f>IF(MOD(H145+$B145,5)=0,$B145,0)+$B145+H145</f>
        <v>15051</v>
      </c>
      <c r="J145" s="911">
        <v>8</v>
      </c>
      <c r="K145" s="892">
        <v>756</v>
      </c>
      <c r="L145" s="892">
        <v>1130</v>
      </c>
      <c r="M145" s="785">
        <v>1505</v>
      </c>
      <c r="N145" s="23" t="str">
        <f>D145&amp;FIXED(MOD(F145,10),0)</f>
        <v>hh13</v>
      </c>
      <c r="O145" s="78" t="str">
        <f>MID(A$5,((FIND(N145,A$4,1)-1)+1),4)</f>
        <v>bde7</v>
      </c>
      <c r="P145" s="78" t="s">
        <v>0</v>
      </c>
      <c r="Q145" s="78" t="s">
        <v>0</v>
      </c>
      <c r="R145" s="78" t="s">
        <v>0</v>
      </c>
      <c r="S145" s="103" t="s">
        <v>0</v>
      </c>
      <c r="T145" s="42" t="s">
        <v>1</v>
      </c>
    </row>
    <row r="146" spans="1:20" ht="12.75">
      <c r="A146" s="44">
        <v>1873</v>
      </c>
      <c r="B146" s="886">
        <v>3746</v>
      </c>
      <c r="C146" s="886">
        <v>3508129</v>
      </c>
      <c r="D146" s="950" t="s">
        <v>2496</v>
      </c>
      <c r="E146" s="115">
        <f>B146-MOD(E$1-A146*3,B146)</f>
        <v>75</v>
      </c>
      <c r="F146" s="644">
        <f>IF(MOD(E146,5)=0,B146,0)+E146</f>
        <v>3821</v>
      </c>
      <c r="G146" s="814">
        <f>IF(MOD(F146+$B146,5)=0,$B146,0)+$B146+F146</f>
        <v>7567</v>
      </c>
      <c r="H146" s="814">
        <f>IF(MOD(G146+$B146,5)=0,$B146,0)+$B146+G146</f>
        <v>11313</v>
      </c>
      <c r="I146" s="785">
        <f>IF(MOD(H146+$B146,5)=0,$B146,0)+$B146+H146</f>
        <v>15059</v>
      </c>
      <c r="J146" s="911">
        <v>382</v>
      </c>
      <c r="K146" s="892">
        <v>756</v>
      </c>
      <c r="L146" s="892">
        <v>1131</v>
      </c>
      <c r="M146" s="785">
        <v>1505</v>
      </c>
      <c r="N146" s="23" t="str">
        <f>D146&amp;FIXED(MOD(F146,10),0)</f>
        <v>hh31</v>
      </c>
      <c r="O146" s="78" t="str">
        <f>MID(A$5,((FIND(N146,A$4,1)-1)+1),4)</f>
        <v>7dbe</v>
      </c>
      <c r="P146" s="78" t="s">
        <v>0</v>
      </c>
      <c r="Q146" s="78" t="s">
        <v>0</v>
      </c>
      <c r="R146" s="78" t="s">
        <v>0</v>
      </c>
      <c r="S146" s="103" t="s">
        <v>0</v>
      </c>
      <c r="T146" s="42" t="s">
        <v>1</v>
      </c>
    </row>
    <row r="147" spans="1:20" ht="12.75">
      <c r="A147" s="44">
        <v>1877</v>
      </c>
      <c r="B147" s="886">
        <v>3754</v>
      </c>
      <c r="C147" s="886">
        <v>3523129</v>
      </c>
      <c r="D147" s="950" t="s">
        <v>2501</v>
      </c>
      <c r="E147" s="115">
        <f>B147-MOD(E$1-A147*3,B147)</f>
        <v>2805</v>
      </c>
      <c r="F147" s="644">
        <f>IF(MOD(E147,5)=0,B147,0)+E147</f>
        <v>6559</v>
      </c>
      <c r="G147" s="814">
        <f>IF(MOD(F147+$B147,5)=0,$B147,0)+$B147+F147</f>
        <v>10313</v>
      </c>
      <c r="H147" s="814">
        <f>IF(MOD(G147+$B147,5)=0,$B147,0)+$B147+G147</f>
        <v>14067</v>
      </c>
      <c r="I147" s="785">
        <f>IF(MOD(H147+$B147,5)=0,$B147,0)+$B147+H147</f>
        <v>17821</v>
      </c>
      <c r="J147" s="911">
        <v>655</v>
      </c>
      <c r="K147" s="892">
        <v>1031</v>
      </c>
      <c r="L147" s="892">
        <v>1406</v>
      </c>
      <c r="M147" s="785">
        <v>1782</v>
      </c>
      <c r="N147" s="23" t="str">
        <f>D147&amp;FIXED(MOD(F147,10),0)</f>
        <v>hh79</v>
      </c>
      <c r="O147" s="78" t="str">
        <f>MID(A$5,((FIND(N147,A$4,1)-1)+1),4)</f>
        <v>ebd7</v>
      </c>
      <c r="P147" s="78" t="s">
        <v>0</v>
      </c>
      <c r="Q147" s="78" t="s">
        <v>0</v>
      </c>
      <c r="R147" s="78" t="s">
        <v>0</v>
      </c>
      <c r="S147" s="103" t="s">
        <v>0</v>
      </c>
      <c r="T147" s="42" t="s">
        <v>1</v>
      </c>
    </row>
    <row r="148" spans="1:20" ht="12.75">
      <c r="A148" s="44">
        <v>1879</v>
      </c>
      <c r="B148" s="886">
        <v>3758</v>
      </c>
      <c r="C148" s="886">
        <v>3530641</v>
      </c>
      <c r="D148" s="950" t="s">
        <v>2506</v>
      </c>
      <c r="E148" s="115">
        <f>B148-MOD(E$1-A148*3,B148)</f>
        <v>3013</v>
      </c>
      <c r="F148" s="644">
        <f>IF(MOD(E148,5)=0,B148,0)+E148</f>
        <v>3013</v>
      </c>
      <c r="G148" s="814">
        <f>IF(MOD(F148+$B148,5)=0,$B148,0)+$B148+F148</f>
        <v>6771</v>
      </c>
      <c r="H148" s="814">
        <f>IF(MOD(G148+$B148,5)=0,$B148,0)+$B148+G148</f>
        <v>10529</v>
      </c>
      <c r="I148" s="785">
        <f>IF(MOD(H148+$B148,5)=0,$B148,0)+$B148+H148</f>
        <v>14287</v>
      </c>
      <c r="J148" s="911">
        <v>301</v>
      </c>
      <c r="K148" s="892">
        <v>677</v>
      </c>
      <c r="L148" s="892">
        <v>1052</v>
      </c>
      <c r="M148" s="785">
        <v>1428</v>
      </c>
      <c r="N148" s="23" t="str">
        <f>D148&amp;FIXED(MOD(F148,10),0)</f>
        <v>hh93</v>
      </c>
      <c r="O148" s="78" t="str">
        <f>MID(A$5,((FIND(N148,A$4,1)-1)+1),4)</f>
        <v>b7ed</v>
      </c>
      <c r="P148" s="78" t="s">
        <v>0</v>
      </c>
      <c r="Q148" s="78" t="s">
        <v>0</v>
      </c>
      <c r="R148" s="78" t="s">
        <v>0</v>
      </c>
      <c r="S148" s="103" t="s">
        <v>0</v>
      </c>
      <c r="T148" s="42" t="s">
        <v>1</v>
      </c>
    </row>
    <row r="149" spans="1:20" ht="12.75">
      <c r="A149" s="44">
        <v>1889</v>
      </c>
      <c r="B149" s="886">
        <v>3778</v>
      </c>
      <c r="C149" s="886">
        <v>3568321</v>
      </c>
      <c r="D149" s="950" t="s">
        <v>2506</v>
      </c>
      <c r="E149" s="115">
        <f>B149-MOD(E$1-A149*3,B149)</f>
        <v>171</v>
      </c>
      <c r="F149" s="644">
        <f>IF(MOD(E149,5)=0,B149,0)+E149</f>
        <v>171</v>
      </c>
      <c r="G149" s="814">
        <f>IF(MOD(F149+$B149,5)=0,$B149,0)+$B149+F149</f>
        <v>3949</v>
      </c>
      <c r="H149" s="814">
        <f>IF(MOD(G149+$B149,5)=0,$B149,0)+$B149+G149</f>
        <v>7727</v>
      </c>
      <c r="I149" s="785">
        <f>IF(MOD(H149+$B149,5)=0,$B149,0)+$B149+H149</f>
        <v>15283</v>
      </c>
      <c r="J149" s="911">
        <v>17</v>
      </c>
      <c r="K149" s="892">
        <v>394</v>
      </c>
      <c r="L149" s="892">
        <v>772</v>
      </c>
      <c r="M149" s="785">
        <v>1528</v>
      </c>
      <c r="N149" s="23" t="str">
        <f>D149&amp;FIXED(MOD(F149,10),0)</f>
        <v>hh91</v>
      </c>
      <c r="O149" s="78" t="str">
        <f>MID(A$5,((FIND(N149,A$4,1)-1)+1),4)</f>
        <v>7edb</v>
      </c>
      <c r="P149" s="78" t="s">
        <v>0</v>
      </c>
      <c r="Q149" s="78" t="s">
        <v>0</v>
      </c>
      <c r="R149" s="78" t="s">
        <v>0</v>
      </c>
      <c r="S149" s="103" t="s">
        <v>0</v>
      </c>
      <c r="T149" s="42" t="s">
        <v>1</v>
      </c>
    </row>
    <row r="150" spans="1:20" ht="12.75">
      <c r="A150" s="44">
        <v>1901</v>
      </c>
      <c r="B150" s="886">
        <v>3802</v>
      </c>
      <c r="C150" s="886">
        <v>3613801</v>
      </c>
      <c r="D150" s="950" t="s">
        <v>2490</v>
      </c>
      <c r="E150" s="115">
        <f>B150-MOD(E$1-A150*3,B150)</f>
        <v>897</v>
      </c>
      <c r="F150" s="644">
        <f>IF(MOD(E150,5)=0,B150,0)+E150</f>
        <v>897</v>
      </c>
      <c r="G150" s="814">
        <f>IF(MOD(F150+$B150,5)=0,$B150,0)+$B150+F150</f>
        <v>4699</v>
      </c>
      <c r="H150" s="814">
        <f>IF(MOD(G150+$B150,5)=0,$B150,0)+$B150+G150</f>
        <v>8501</v>
      </c>
      <c r="I150" s="785">
        <f>IF(MOD(H150+$B150,5)=0,$B150,0)+$B150+H150</f>
        <v>12303</v>
      </c>
      <c r="J150" s="911">
        <v>89</v>
      </c>
      <c r="K150" s="892">
        <v>469</v>
      </c>
      <c r="L150" s="892">
        <v>850</v>
      </c>
      <c r="M150" s="785">
        <v>1230</v>
      </c>
      <c r="N150" s="23" t="str">
        <f>D150&amp;FIXED(MOD(F150,10),0)</f>
        <v>hh17</v>
      </c>
      <c r="O150" s="78" t="str">
        <f>MID(A$5,((FIND(N150,A$4,1)-1)+1),4)</f>
        <v>de7b</v>
      </c>
      <c r="P150" s="78" t="s">
        <v>0</v>
      </c>
      <c r="Q150" s="78" t="s">
        <v>0</v>
      </c>
      <c r="R150" s="78" t="s">
        <v>0</v>
      </c>
      <c r="S150" s="103" t="s">
        <v>0</v>
      </c>
      <c r="T150" s="42" t="s">
        <v>1</v>
      </c>
    </row>
    <row r="151" spans="1:20" ht="12.75">
      <c r="A151" s="44">
        <v>1907</v>
      </c>
      <c r="B151" s="886">
        <v>3814</v>
      </c>
      <c r="C151" s="886">
        <v>3636649</v>
      </c>
      <c r="D151" s="950" t="s">
        <v>2501</v>
      </c>
      <c r="E151" s="115">
        <f>B151-MOD(E$1-A151*3,B151)</f>
        <v>2383</v>
      </c>
      <c r="F151" s="644">
        <f>IF(MOD(E151,5)=0,B151,0)+E151</f>
        <v>2383</v>
      </c>
      <c r="G151" s="814">
        <f>IF(MOD(F151+$B151,5)=0,$B151,0)+$B151+F151</f>
        <v>6197</v>
      </c>
      <c r="H151" s="814">
        <f>IF(MOD(G151+$B151,5)=0,$B151,0)+$B151+G151</f>
        <v>10011</v>
      </c>
      <c r="I151" s="785">
        <f>IF(MOD(H151+$B151,5)=0,$B151,0)+$B151+H151</f>
        <v>17639</v>
      </c>
      <c r="J151" s="911">
        <v>238</v>
      </c>
      <c r="K151" s="892">
        <v>619</v>
      </c>
      <c r="L151" s="892">
        <v>1001</v>
      </c>
      <c r="M151" s="785">
        <v>1763</v>
      </c>
      <c r="N151" s="23" t="str">
        <f>D151&amp;FIXED(MOD(F151,10),0)</f>
        <v>hh73</v>
      </c>
      <c r="O151" s="78" t="str">
        <f>MID(A$5,((FIND(N151,A$4,1)-1)+1),4)</f>
        <v>bd7e</v>
      </c>
      <c r="P151" s="78" t="s">
        <v>0</v>
      </c>
      <c r="Q151" s="78" t="s">
        <v>0</v>
      </c>
      <c r="R151" s="78" t="s">
        <v>0</v>
      </c>
      <c r="S151" s="103" t="s">
        <v>0</v>
      </c>
      <c r="T151" s="42" t="s">
        <v>1</v>
      </c>
    </row>
    <row r="152" spans="1:20" ht="12.75">
      <c r="A152" s="44">
        <v>1913</v>
      </c>
      <c r="B152" s="886">
        <v>3826</v>
      </c>
      <c r="C152" s="886">
        <v>3659569</v>
      </c>
      <c r="D152" s="950" t="s">
        <v>2496</v>
      </c>
      <c r="E152" s="115">
        <f>B152-MOD(E$1-A152*3,B152)</f>
        <v>115</v>
      </c>
      <c r="F152" s="644">
        <f>IF(MOD(E152,5)=0,B152,0)+E152</f>
        <v>3941</v>
      </c>
      <c r="G152" s="814">
        <f>IF(MOD(F152+$B152,5)=0,$B152,0)+$B152+F152</f>
        <v>7767</v>
      </c>
      <c r="H152" s="814">
        <f>IF(MOD(G152+$B152,5)=0,$B152,0)+$B152+G152</f>
        <v>11593</v>
      </c>
      <c r="I152" s="785">
        <f>IF(MOD(H152+$B152,5)=0,$B152,0)+$B152+H152</f>
        <v>15419</v>
      </c>
      <c r="J152" s="911">
        <v>394</v>
      </c>
      <c r="K152" s="892">
        <v>776</v>
      </c>
      <c r="L152" s="892">
        <v>1159</v>
      </c>
      <c r="M152" s="785">
        <v>1541</v>
      </c>
      <c r="N152" s="23" t="str">
        <f>D152&amp;FIXED(MOD(F152,10),0)</f>
        <v>hh31</v>
      </c>
      <c r="O152" s="78" t="str">
        <f>MID(A$5,((FIND(N152,A$4,1)-1)+1),4)</f>
        <v>7dbe</v>
      </c>
      <c r="P152" s="78" t="s">
        <v>0</v>
      </c>
      <c r="Q152" s="78" t="s">
        <v>0</v>
      </c>
      <c r="R152" s="78" t="s">
        <v>0</v>
      </c>
      <c r="S152" s="103" t="s">
        <v>0</v>
      </c>
      <c r="T152" s="42" t="s">
        <v>1</v>
      </c>
    </row>
    <row r="153" spans="1:20" ht="12.75">
      <c r="A153" s="44">
        <v>1931</v>
      </c>
      <c r="B153" s="886">
        <v>3862</v>
      </c>
      <c r="C153" s="886">
        <v>3728761</v>
      </c>
      <c r="D153" s="950" t="s">
        <v>2490</v>
      </c>
      <c r="E153" s="115">
        <f>B153-MOD(E$1-A153*3,B153)</f>
        <v>223</v>
      </c>
      <c r="F153" s="644">
        <f>IF(MOD(E153,5)=0,B153,0)+E153</f>
        <v>223</v>
      </c>
      <c r="G153" s="814">
        <f>IF(MOD(F153+$B153,5)=0,$B153,0)+$B153+F153</f>
        <v>7947</v>
      </c>
      <c r="H153" s="814">
        <f>IF(MOD(G153+$B153,5)=0,$B153,0)+$B153+G153</f>
        <v>11809</v>
      </c>
      <c r="I153" s="785">
        <f>IF(MOD(H153+$B153,5)=0,$B153,0)+$B153+H153</f>
        <v>15671</v>
      </c>
      <c r="J153" s="911">
        <v>22</v>
      </c>
      <c r="K153" s="892">
        <v>794</v>
      </c>
      <c r="L153" s="892">
        <v>1180</v>
      </c>
      <c r="M153" s="785">
        <v>1567</v>
      </c>
      <c r="N153" s="23" t="str">
        <f>D153&amp;FIXED(MOD(F153,10),0)</f>
        <v>hh13</v>
      </c>
      <c r="O153" s="78" t="str">
        <f>MID(A$5,((FIND(N153,A$4,1)-1)+1),4)</f>
        <v>bde7</v>
      </c>
      <c r="P153" s="78" t="s">
        <v>0</v>
      </c>
      <c r="Q153" s="78" t="s">
        <v>0</v>
      </c>
      <c r="R153" s="78" t="s">
        <v>0</v>
      </c>
      <c r="S153" s="103" t="s">
        <v>0</v>
      </c>
      <c r="T153" s="42" t="s">
        <v>1</v>
      </c>
    </row>
    <row r="154" spans="1:20" ht="12.75">
      <c r="A154" s="44">
        <v>1933</v>
      </c>
      <c r="B154" s="886">
        <v>3866</v>
      </c>
      <c r="C154" s="886">
        <v>3736489</v>
      </c>
      <c r="D154" s="950" t="s">
        <v>2496</v>
      </c>
      <c r="E154" s="115">
        <f>B154-MOD(E$1-A154*3,B154)</f>
        <v>357</v>
      </c>
      <c r="F154" s="644">
        <f>IF(MOD(E154,5)=0,B154,0)+E154</f>
        <v>357</v>
      </c>
      <c r="G154" s="814">
        <f>IF(MOD(F154+$B154,5)=0,$B154,0)+$B154+F154</f>
        <v>4223</v>
      </c>
      <c r="H154" s="814">
        <f>IF(MOD(G154+$B154,5)=0,$B154,0)+$B154+G154</f>
        <v>8089</v>
      </c>
      <c r="I154" s="785">
        <f>IF(MOD(H154+$B154,5)=0,$B154,0)+$B154+H154</f>
        <v>15821</v>
      </c>
      <c r="J154" s="911">
        <v>35</v>
      </c>
      <c r="K154" s="892">
        <v>422</v>
      </c>
      <c r="L154" s="892">
        <v>808</v>
      </c>
      <c r="M154" s="785">
        <v>1582</v>
      </c>
      <c r="N154" s="23" t="str">
        <f>D154&amp;FIXED(MOD(F154,10),0)</f>
        <v>hh37</v>
      </c>
      <c r="O154" s="78" t="str">
        <f>MID(A$5,((FIND(N154,A$4,1)-1)+1),4)</f>
        <v>dbe7</v>
      </c>
      <c r="P154" s="78" t="s">
        <v>0</v>
      </c>
      <c r="Q154" s="78" t="s">
        <v>0</v>
      </c>
      <c r="R154" s="78" t="s">
        <v>0</v>
      </c>
      <c r="S154" s="103" t="s">
        <v>0</v>
      </c>
      <c r="T154" s="42" t="s">
        <v>1</v>
      </c>
    </row>
    <row r="155" spans="1:20" ht="12.75">
      <c r="A155" s="44">
        <v>1949</v>
      </c>
      <c r="B155" s="886">
        <v>3898</v>
      </c>
      <c r="C155" s="886">
        <v>3798601</v>
      </c>
      <c r="D155" s="950" t="s">
        <v>2506</v>
      </c>
      <c r="E155" s="115">
        <f>B155-MOD(E$1-A155*3,B155)</f>
        <v>851</v>
      </c>
      <c r="F155" s="644">
        <f>IF(MOD(E155,5)=0,B155,0)+E155</f>
        <v>851</v>
      </c>
      <c r="G155" s="814">
        <f>IF(MOD(F155+$B155,5)=0,$B155,0)+$B155+F155</f>
        <v>4749</v>
      </c>
      <c r="H155" s="814">
        <f>IF(MOD(G155+$B155,5)=0,$B155,0)+$B155+G155</f>
        <v>8647</v>
      </c>
      <c r="I155" s="785">
        <f>IF(MOD(H155+$B155,5)=0,$B155,0)+$B155+H155</f>
        <v>16443</v>
      </c>
      <c r="J155" s="911">
        <v>85</v>
      </c>
      <c r="K155" s="892">
        <v>474</v>
      </c>
      <c r="L155" s="892">
        <v>864</v>
      </c>
      <c r="M155" s="785">
        <v>1644</v>
      </c>
      <c r="N155" s="23" t="str">
        <f>D155&amp;FIXED(MOD(F155,10),0)</f>
        <v>hh91</v>
      </c>
      <c r="O155" s="78" t="str">
        <f>MID(A$5,((FIND(N155,A$4,1)-1)+1),4)</f>
        <v>7edb</v>
      </c>
      <c r="P155" s="78" t="s">
        <v>0</v>
      </c>
      <c r="Q155" s="78" t="s">
        <v>0</v>
      </c>
      <c r="R155" s="78" t="s">
        <v>0</v>
      </c>
      <c r="S155" s="103" t="s">
        <v>0</v>
      </c>
      <c r="T155" s="42" t="s">
        <v>1</v>
      </c>
    </row>
    <row r="156" spans="1:20" ht="12.75">
      <c r="A156" s="44">
        <v>1951</v>
      </c>
      <c r="B156" s="886">
        <v>3902</v>
      </c>
      <c r="C156" s="886">
        <v>3806401</v>
      </c>
      <c r="D156" s="950" t="s">
        <v>2490</v>
      </c>
      <c r="E156" s="115">
        <f>B156-MOD(E$1-A156*3,B156)</f>
        <v>2541</v>
      </c>
      <c r="F156" s="644">
        <f>IF(MOD(E156,5)=0,B156,0)+E156</f>
        <v>2541</v>
      </c>
      <c r="G156" s="814">
        <f>IF(MOD(F156+$B156,5)=0,$B156,0)+$B156+F156</f>
        <v>6443</v>
      </c>
      <c r="H156" s="814">
        <f>IF(MOD(G156+$B156,5)=0,$B156,0)+$B156+G156</f>
        <v>14247</v>
      </c>
      <c r="I156" s="785">
        <f>IF(MOD(H156+$B156,5)=0,$B156,0)+$B156+H156</f>
        <v>18149</v>
      </c>
      <c r="J156" s="911">
        <v>254</v>
      </c>
      <c r="K156" s="892">
        <v>644</v>
      </c>
      <c r="L156" s="892">
        <v>1424</v>
      </c>
      <c r="M156" s="785">
        <v>1814</v>
      </c>
      <c r="N156" s="23" t="str">
        <f>D156&amp;FIXED(MOD(F156,10),0)</f>
        <v>hh11</v>
      </c>
      <c r="O156" s="78" t="str">
        <f>MID(A$5,((FIND(N156,A$4,1)-1)+1),4)</f>
        <v>7bde</v>
      </c>
      <c r="P156" s="78" t="s">
        <v>0</v>
      </c>
      <c r="Q156" s="78" t="s">
        <v>0</v>
      </c>
      <c r="R156" s="78" t="s">
        <v>0</v>
      </c>
      <c r="S156" s="103" t="s">
        <v>0</v>
      </c>
      <c r="T156" s="42" t="s">
        <v>1</v>
      </c>
    </row>
    <row r="157" spans="1:20" ht="12.75">
      <c r="A157" s="44">
        <v>1973</v>
      </c>
      <c r="B157" s="886">
        <v>3946</v>
      </c>
      <c r="C157" s="886">
        <v>3892729</v>
      </c>
      <c r="D157" s="950" t="s">
        <v>2496</v>
      </c>
      <c r="E157" s="115">
        <f>B157-MOD(E$1-A157*3,B157)</f>
        <v>17</v>
      </c>
      <c r="F157" s="644">
        <f>IF(MOD(E157,5)=0,B157,0)+E157</f>
        <v>17</v>
      </c>
      <c r="G157" s="814">
        <f>IF(MOD(F157+$B157,5)=0,$B157,0)+$B157+F157</f>
        <v>3963</v>
      </c>
      <c r="H157" s="814">
        <f>IF(MOD(G157+$B157,5)=0,$B157,0)+$B157+G157</f>
        <v>7909</v>
      </c>
      <c r="I157" s="785">
        <f>IF(MOD(H157+$B157,5)=0,$B157,0)+$B157+H157</f>
        <v>15801</v>
      </c>
      <c r="J157" s="911">
        <v>1</v>
      </c>
      <c r="K157" s="892">
        <v>396</v>
      </c>
      <c r="L157" s="892">
        <v>790</v>
      </c>
      <c r="M157" s="785">
        <v>1580</v>
      </c>
      <c r="N157" s="23" t="str">
        <f>D157&amp;FIXED(MOD(F157,10),0)</f>
        <v>hh37</v>
      </c>
      <c r="O157" s="78" t="str">
        <f>MID(A$5,((FIND(N157,A$4,1)-1)+1),4)</f>
        <v>dbe7</v>
      </c>
      <c r="P157" s="78" t="s">
        <v>0</v>
      </c>
      <c r="Q157" s="78" t="s">
        <v>0</v>
      </c>
      <c r="R157" s="78" t="s">
        <v>0</v>
      </c>
      <c r="S157" s="103" t="s">
        <v>0</v>
      </c>
      <c r="T157" s="42" t="s">
        <v>1</v>
      </c>
    </row>
    <row r="158" spans="1:20" ht="12.75">
      <c r="A158" s="44">
        <v>1979</v>
      </c>
      <c r="B158" s="886">
        <v>3958</v>
      </c>
      <c r="C158" s="886">
        <v>3916441</v>
      </c>
      <c r="D158" s="950" t="s">
        <v>2506</v>
      </c>
      <c r="E158" s="115">
        <f>B158-MOD(E$1-A158*3,B158)</f>
        <v>1621</v>
      </c>
      <c r="F158" s="644">
        <f>IF(MOD(E158,5)=0,B158,0)+E158</f>
        <v>1621</v>
      </c>
      <c r="G158" s="814">
        <f>IF(MOD(F158+$B158,5)=0,$B158,0)+$B158+F158</f>
        <v>5579</v>
      </c>
      <c r="H158" s="814">
        <f>IF(MOD(G158+$B158,5)=0,$B158,0)+$B158+G158</f>
        <v>9537</v>
      </c>
      <c r="I158" s="785">
        <f>IF(MOD(H158+$B158,5)=0,$B158,0)+$B158+H158</f>
        <v>17453</v>
      </c>
      <c r="J158" s="911">
        <v>162</v>
      </c>
      <c r="K158" s="892">
        <v>557</v>
      </c>
      <c r="L158" s="892">
        <v>953</v>
      </c>
      <c r="M158" s="785">
        <v>1745</v>
      </c>
      <c r="N158" s="23" t="str">
        <f>D158&amp;FIXED(MOD(F158,10),0)</f>
        <v>hh91</v>
      </c>
      <c r="O158" s="78" t="str">
        <f>MID(A$5,((FIND(N158,A$4,1)-1)+1),4)</f>
        <v>7edb</v>
      </c>
      <c r="P158" s="78" t="s">
        <v>0</v>
      </c>
      <c r="Q158" s="78" t="s">
        <v>0</v>
      </c>
      <c r="R158" s="78" t="s">
        <v>0</v>
      </c>
      <c r="S158" s="103" t="s">
        <v>0</v>
      </c>
      <c r="T158" s="42" t="s">
        <v>1</v>
      </c>
    </row>
    <row r="159" spans="1:20" ht="12.75">
      <c r="A159" s="44">
        <v>1987</v>
      </c>
      <c r="B159" s="886">
        <v>3974</v>
      </c>
      <c r="C159" s="886">
        <v>3948169</v>
      </c>
      <c r="D159" s="950" t="s">
        <v>2501</v>
      </c>
      <c r="E159" s="115">
        <f>B159-MOD(E$1-A159*3,B159)</f>
        <v>2845</v>
      </c>
      <c r="F159" s="644">
        <f>IF(MOD(E159,5)=0,B159,0)+E159</f>
        <v>6819</v>
      </c>
      <c r="G159" s="814">
        <f>IF(MOD(F159+$B159,5)=0,$B159,0)+$B159+F159</f>
        <v>10793</v>
      </c>
      <c r="H159" s="814">
        <f>IF(MOD(G159+$B159,5)=0,$B159,0)+$B159+G159</f>
        <v>14767</v>
      </c>
      <c r="I159" s="785">
        <f>IF(MOD(H159+$B159,5)=0,$B159,0)+$B159+H159</f>
        <v>18741</v>
      </c>
      <c r="J159" s="911">
        <v>681</v>
      </c>
      <c r="K159" s="892">
        <v>1079</v>
      </c>
      <c r="L159" s="892">
        <v>1476</v>
      </c>
      <c r="M159" s="785">
        <v>1874</v>
      </c>
      <c r="N159" s="23" t="str">
        <f>D159&amp;FIXED(MOD(F159,10),0)</f>
        <v>hh79</v>
      </c>
      <c r="O159" s="78" t="str">
        <f>MID(A$5,((FIND(N159,A$4,1)-1)+1),4)</f>
        <v>ebd7</v>
      </c>
      <c r="P159" s="78" t="s">
        <v>0</v>
      </c>
      <c r="Q159" s="78" t="s">
        <v>0</v>
      </c>
      <c r="R159" s="78" t="s">
        <v>0</v>
      </c>
      <c r="S159" s="103" t="s">
        <v>0</v>
      </c>
      <c r="T159" s="42" t="s">
        <v>1</v>
      </c>
    </row>
    <row r="160" spans="1:20" ht="12.75">
      <c r="A160" s="44">
        <v>1993</v>
      </c>
      <c r="B160" s="886">
        <v>3986</v>
      </c>
      <c r="C160" s="886">
        <v>3972049</v>
      </c>
      <c r="D160" s="950" t="s">
        <v>2496</v>
      </c>
      <c r="E160" s="115">
        <f>B160-MOD(E$1-A160*3,B160)</f>
        <v>1179</v>
      </c>
      <c r="F160" s="644">
        <f>IF(MOD(E160,5)=0,B160,0)+E160</f>
        <v>1179</v>
      </c>
      <c r="G160" s="814">
        <f>IF(MOD(F160+$B160,5)=0,$B160,0)+$B160+F160</f>
        <v>9151</v>
      </c>
      <c r="H160" s="814">
        <f>IF(MOD(G160+$B160,5)=0,$B160,0)+$B160+G160</f>
        <v>13137</v>
      </c>
      <c r="I160" s="785">
        <f>IF(MOD(H160+$B160,5)=0,$B160,0)+$B160+H160</f>
        <v>17123</v>
      </c>
      <c r="J160" s="911">
        <v>117</v>
      </c>
      <c r="K160" s="892">
        <v>915</v>
      </c>
      <c r="L160" s="892">
        <v>1313</v>
      </c>
      <c r="M160" s="785">
        <v>1712</v>
      </c>
      <c r="N160" s="23" t="str">
        <f>D160&amp;FIXED(MOD(F160,10),0)</f>
        <v>hh39</v>
      </c>
      <c r="O160" s="78" t="str">
        <f>MID(A$5,((FIND(N160,A$4,1)-1)+1),4)</f>
        <v>e7db</v>
      </c>
      <c r="P160" s="78" t="s">
        <v>0</v>
      </c>
      <c r="Q160" s="78" t="s">
        <v>0</v>
      </c>
      <c r="R160" s="78" t="s">
        <v>0</v>
      </c>
      <c r="S160" s="103" t="s">
        <v>0</v>
      </c>
      <c r="T160" s="42" t="s">
        <v>1</v>
      </c>
    </row>
    <row r="161" spans="1:20" ht="12.75">
      <c r="A161" s="44">
        <v>1997</v>
      </c>
      <c r="B161" s="886">
        <v>3994</v>
      </c>
      <c r="C161" s="886">
        <v>3988009</v>
      </c>
      <c r="D161" s="950" t="s">
        <v>2501</v>
      </c>
      <c r="E161" s="115">
        <f>B161-MOD(E$1-A161*3,B161)</f>
        <v>769</v>
      </c>
      <c r="F161" s="644">
        <f>IF(MOD(E161,5)=0,B161,0)+E161</f>
        <v>769</v>
      </c>
      <c r="G161" s="814">
        <f>IF(MOD(F161+$B161,5)=0,$B161,0)+$B161+F161</f>
        <v>4763</v>
      </c>
      <c r="H161" s="814">
        <f>IF(MOD(G161+$B161,5)=0,$B161,0)+$B161+G161</f>
        <v>8757</v>
      </c>
      <c r="I161" s="785">
        <f>IF(MOD(H161+$B161,5)=0,$B161,0)+$B161+H161</f>
        <v>12751</v>
      </c>
      <c r="J161" s="911">
        <v>76</v>
      </c>
      <c r="K161" s="892">
        <v>476</v>
      </c>
      <c r="L161" s="892">
        <v>875</v>
      </c>
      <c r="M161" s="785">
        <v>1275</v>
      </c>
      <c r="N161" s="23" t="str">
        <f>D161&amp;FIXED(MOD(F161,10),0)</f>
        <v>hh79</v>
      </c>
      <c r="O161" s="78" t="str">
        <f>MID(A$5,((FIND(N161,A$4,1)-1)+1),4)</f>
        <v>ebd7</v>
      </c>
      <c r="P161" s="78" t="s">
        <v>0</v>
      </c>
      <c r="Q161" s="78" t="s">
        <v>0</v>
      </c>
      <c r="R161" s="78" t="s">
        <v>0</v>
      </c>
      <c r="S161" s="103" t="s">
        <v>0</v>
      </c>
      <c r="T161" s="42" t="s">
        <v>1</v>
      </c>
    </row>
    <row r="162" spans="1:20" ht="12.75">
      <c r="A162" s="44">
        <v>1999</v>
      </c>
      <c r="B162" s="886">
        <v>3998</v>
      </c>
      <c r="C162" s="886">
        <v>3996001</v>
      </c>
      <c r="D162" s="950" t="s">
        <v>2506</v>
      </c>
      <c r="E162" s="115">
        <f>B162-MOD(E$1-A162*3,B162)</f>
        <v>483</v>
      </c>
      <c r="F162" s="644">
        <f>IF(MOD(E162,5)=0,B162,0)+E162</f>
        <v>483</v>
      </c>
      <c r="G162" s="814">
        <f>IF(MOD(F162+$B162,5)=0,$B162,0)+$B162+F162</f>
        <v>4481</v>
      </c>
      <c r="H162" s="814">
        <f>IF(MOD(G162+$B162,5)=0,$B162,0)+$B162+G162</f>
        <v>8479</v>
      </c>
      <c r="I162" s="785">
        <f>IF(MOD(H162+$B162,5)=0,$B162,0)+$B162+H162</f>
        <v>12477</v>
      </c>
      <c r="J162" s="911">
        <v>48</v>
      </c>
      <c r="K162" s="892">
        <v>448</v>
      </c>
      <c r="L162" s="892">
        <v>847</v>
      </c>
      <c r="M162" s="785">
        <v>1247</v>
      </c>
      <c r="N162" s="23" t="str">
        <f>D162&amp;FIXED(MOD(F162,10),0)</f>
        <v>hh93</v>
      </c>
      <c r="O162" s="78" t="str">
        <f>MID(A$5,((FIND(N162,A$4,1)-1)+1),4)</f>
        <v>b7ed</v>
      </c>
      <c r="P162" s="78" t="s">
        <v>0</v>
      </c>
      <c r="Q162" s="78" t="s">
        <v>0</v>
      </c>
      <c r="R162" s="78" t="s">
        <v>0</v>
      </c>
      <c r="S162" s="103" t="s">
        <v>0</v>
      </c>
      <c r="T162" s="42" t="s">
        <v>1</v>
      </c>
    </row>
    <row r="163" spans="1:20" ht="12.75">
      <c r="A163" s="44">
        <v>2003</v>
      </c>
      <c r="B163" s="886">
        <v>4006</v>
      </c>
      <c r="C163" s="886">
        <v>4012009</v>
      </c>
      <c r="D163" s="950" t="s">
        <v>2496</v>
      </c>
      <c r="E163" s="115">
        <f>B163-MOD(E$1-A163*3,B163)</f>
        <v>1785</v>
      </c>
      <c r="F163" s="644">
        <f>IF(MOD(E163,5)=0,B163,0)+E163</f>
        <v>5791</v>
      </c>
      <c r="G163" s="814">
        <f>IF(MOD(F163+$B163,5)=0,$B163,0)+$B163+F163</f>
        <v>9797</v>
      </c>
      <c r="H163" s="814">
        <f>IF(MOD(G163+$B163,5)=0,$B163,0)+$B163+G163</f>
        <v>13803</v>
      </c>
      <c r="I163" s="785">
        <f>IF(MOD(H163+$B163,5)=0,$B163,0)+$B163+H163</f>
        <v>17809</v>
      </c>
      <c r="J163" s="911">
        <v>579</v>
      </c>
      <c r="K163" s="892">
        <v>979</v>
      </c>
      <c r="L163" s="892">
        <v>1380</v>
      </c>
      <c r="M163" s="785">
        <v>1780</v>
      </c>
      <c r="N163" s="23" t="str">
        <f>D163&amp;FIXED(MOD(F163,10),0)</f>
        <v>hh31</v>
      </c>
      <c r="O163" s="78" t="str">
        <f>MID(A$5,((FIND(N163,A$4,1)-1)+1),4)</f>
        <v>7dbe</v>
      </c>
      <c r="P163" s="78" t="s">
        <v>0</v>
      </c>
      <c r="Q163" s="78" t="s">
        <v>0</v>
      </c>
      <c r="R163" s="78" t="s">
        <v>0</v>
      </c>
      <c r="S163" s="103" t="s">
        <v>0</v>
      </c>
      <c r="T163" s="42" t="s">
        <v>1</v>
      </c>
    </row>
    <row r="164" spans="1:20" ht="12.75">
      <c r="A164" s="44">
        <v>2011</v>
      </c>
      <c r="B164" s="886">
        <v>4022</v>
      </c>
      <c r="C164" s="886">
        <v>4044121</v>
      </c>
      <c r="D164" s="950" t="s">
        <v>2490</v>
      </c>
      <c r="E164" s="115">
        <f>B164-MOD(E$1-A164*3,B164)</f>
        <v>3979</v>
      </c>
      <c r="F164" s="644">
        <f>IF(MOD(E164,5)=0,B164,0)+E164</f>
        <v>3979</v>
      </c>
      <c r="G164" s="814">
        <f>IF(MOD(F164+$B164,5)=0,$B164,0)+$B164+F164</f>
        <v>8001</v>
      </c>
      <c r="H164" s="814">
        <f>IF(MOD(G164+$B164,5)=0,$B164,0)+$B164+G164</f>
        <v>12023</v>
      </c>
      <c r="I164" s="785">
        <f>IF(MOD(H164+$B164,5)=0,$B164,0)+$B164+H164</f>
        <v>20067</v>
      </c>
      <c r="J164" s="911">
        <v>397</v>
      </c>
      <c r="K164" s="892">
        <v>800</v>
      </c>
      <c r="L164" s="892">
        <v>1202</v>
      </c>
      <c r="M164" s="785">
        <v>2006</v>
      </c>
      <c r="N164" s="23" t="str">
        <f>D164&amp;FIXED(MOD(F164,10),0)</f>
        <v>hh19</v>
      </c>
      <c r="O164" s="78" t="str">
        <f>MID(A$5,((FIND(N164,A$4,1)-1)+1),4)</f>
        <v>e7bd</v>
      </c>
      <c r="P164" s="78" t="s">
        <v>0</v>
      </c>
      <c r="Q164" s="78" t="s">
        <v>0</v>
      </c>
      <c r="R164" s="78" t="s">
        <v>0</v>
      </c>
      <c r="S164" s="103" t="s">
        <v>0</v>
      </c>
      <c r="T164" s="42" t="s">
        <v>1</v>
      </c>
    </row>
    <row r="165" spans="1:20" ht="12.75">
      <c r="A165" s="44">
        <v>2017</v>
      </c>
      <c r="B165" s="886">
        <v>4034</v>
      </c>
      <c r="C165" s="886">
        <v>4068289</v>
      </c>
      <c r="D165" s="950" t="s">
        <v>2501</v>
      </c>
      <c r="E165" s="115">
        <f>B165-MOD(E$1-A165*3,B165)</f>
        <v>199</v>
      </c>
      <c r="F165" s="644">
        <f>IF(MOD(E165,5)=0,B165,0)+E165</f>
        <v>199</v>
      </c>
      <c r="G165" s="814">
        <f>IF(MOD(F165+$B165,5)=0,$B165,0)+$B165+F165</f>
        <v>4233</v>
      </c>
      <c r="H165" s="814">
        <f>IF(MOD(G165+$B165,5)=0,$B165,0)+$B165+G165</f>
        <v>8267</v>
      </c>
      <c r="I165" s="785">
        <f>IF(MOD(H165+$B165,5)=0,$B165,0)+$B165+H165</f>
        <v>12301</v>
      </c>
      <c r="J165" s="911">
        <v>19</v>
      </c>
      <c r="K165" s="892">
        <v>423</v>
      </c>
      <c r="L165" s="892">
        <v>826</v>
      </c>
      <c r="M165" s="785">
        <v>1230</v>
      </c>
      <c r="N165" s="23" t="str">
        <f>D165&amp;FIXED(MOD(F165,10),0)</f>
        <v>hh79</v>
      </c>
      <c r="O165" s="78" t="str">
        <f>MID(A$5,((FIND(N165,A$4,1)-1)+1),4)</f>
        <v>ebd7</v>
      </c>
      <c r="P165" s="78" t="s">
        <v>0</v>
      </c>
      <c r="Q165" s="78" t="s">
        <v>0</v>
      </c>
      <c r="R165" s="78" t="s">
        <v>0</v>
      </c>
      <c r="S165" s="103" t="s">
        <v>0</v>
      </c>
      <c r="T165" s="42" t="s">
        <v>1</v>
      </c>
    </row>
    <row r="166" spans="1:20" ht="12.75">
      <c r="A166" s="44">
        <v>2027</v>
      </c>
      <c r="B166" s="886">
        <v>4054</v>
      </c>
      <c r="C166" s="886">
        <v>4108729</v>
      </c>
      <c r="D166" s="950" t="s">
        <v>2501</v>
      </c>
      <c r="E166" s="115">
        <f>B166-MOD(E$1-A166*3,B166)</f>
        <v>3491</v>
      </c>
      <c r="F166" s="644">
        <f>IF(MOD(E166,5)=0,B166,0)+E166</f>
        <v>3491</v>
      </c>
      <c r="G166" s="814">
        <f>IF(MOD(F166+$B166,5)=0,$B166,0)+$B166+F166</f>
        <v>11599</v>
      </c>
      <c r="H166" s="814">
        <f>IF(MOD(G166+$B166,5)=0,$B166,0)+$B166+G166</f>
        <v>15653</v>
      </c>
      <c r="I166" s="785">
        <f>IF(MOD(H166+$B166,5)=0,$B166,0)+$B166+H166</f>
        <v>19707</v>
      </c>
      <c r="J166" s="911">
        <v>349</v>
      </c>
      <c r="K166" s="892">
        <v>1159</v>
      </c>
      <c r="L166" s="892">
        <v>1565</v>
      </c>
      <c r="M166" s="785">
        <v>1970</v>
      </c>
      <c r="N166" s="23" t="str">
        <f>D166&amp;FIXED(MOD(F166,10),0)</f>
        <v>hh71</v>
      </c>
      <c r="O166" s="78" t="str">
        <f>MID(A$5,((FIND(N166,A$4,1)-1)+1),4)</f>
        <v>7ebd</v>
      </c>
      <c r="P166" s="78" t="s">
        <v>0</v>
      </c>
      <c r="Q166" s="78" t="s">
        <v>0</v>
      </c>
      <c r="R166" s="78" t="s">
        <v>0</v>
      </c>
      <c r="S166" s="103" t="s">
        <v>0</v>
      </c>
      <c r="T166" s="42" t="s">
        <v>1</v>
      </c>
    </row>
    <row r="167" spans="1:20" ht="12.75">
      <c r="A167" s="44">
        <v>2029</v>
      </c>
      <c r="B167" s="886">
        <v>4058</v>
      </c>
      <c r="C167" s="886">
        <v>4116841</v>
      </c>
      <c r="D167" s="950" t="s">
        <v>2506</v>
      </c>
      <c r="E167" s="115">
        <f>B167-MOD(E$1-A167*3,B167)</f>
        <v>1349</v>
      </c>
      <c r="F167" s="644">
        <f>IF(MOD(E167,5)=0,B167,0)+E167</f>
        <v>1349</v>
      </c>
      <c r="G167" s="814">
        <f>IF(MOD(F167+$B167,5)=0,$B167,0)+$B167+F167</f>
        <v>5407</v>
      </c>
      <c r="H167" s="814">
        <f>IF(MOD(G167+$B167,5)=0,$B167,0)+$B167+G167</f>
        <v>13523</v>
      </c>
      <c r="I167" s="785">
        <f>IF(MOD(H167+$B167,5)=0,$B167,0)+$B167+H167</f>
        <v>17581</v>
      </c>
      <c r="J167" s="911">
        <v>134</v>
      </c>
      <c r="K167" s="892">
        <v>540</v>
      </c>
      <c r="L167" s="892">
        <v>1352</v>
      </c>
      <c r="M167" s="785">
        <v>1758</v>
      </c>
      <c r="N167" s="23" t="str">
        <f>D167&amp;FIXED(MOD(F167,10),0)</f>
        <v>hh99</v>
      </c>
      <c r="O167" s="78" t="str">
        <f>MID(A$5,((FIND(N167,A$4,1)-1)+1),4)</f>
        <v>edb7</v>
      </c>
      <c r="P167" s="78" t="s">
        <v>0</v>
      </c>
      <c r="Q167" s="78" t="s">
        <v>0</v>
      </c>
      <c r="R167" s="78" t="s">
        <v>0</v>
      </c>
      <c r="S167" s="103" t="s">
        <v>0</v>
      </c>
      <c r="T167" s="42" t="s">
        <v>1</v>
      </c>
    </row>
    <row r="168" spans="1:20" ht="12.75">
      <c r="A168" s="44">
        <v>2039</v>
      </c>
      <c r="B168" s="886">
        <v>4078</v>
      </c>
      <c r="C168" s="886">
        <v>4157521</v>
      </c>
      <c r="D168" s="950" t="s">
        <v>2506</v>
      </c>
      <c r="E168" s="115">
        <f>B168-MOD(E$1-A168*3,B168)</f>
        <v>3905</v>
      </c>
      <c r="F168" s="644">
        <f>IF(MOD(E168,5)=0,B168,0)+E168</f>
        <v>7983</v>
      </c>
      <c r="G168" s="814">
        <f>IF(MOD(F168+$B168,5)=0,$B168,0)+$B168+F168</f>
        <v>12061</v>
      </c>
      <c r="H168" s="814">
        <f>IF(MOD(G168+$B168,5)=0,$B168,0)+$B168+G168</f>
        <v>16139</v>
      </c>
      <c r="I168" s="785">
        <f>IF(MOD(H168+$B168,5)=0,$B168,0)+$B168+H168</f>
        <v>20217</v>
      </c>
      <c r="J168" s="911">
        <v>798</v>
      </c>
      <c r="K168" s="892">
        <v>1206</v>
      </c>
      <c r="L168" s="892">
        <v>1613</v>
      </c>
      <c r="M168" s="785">
        <v>2021</v>
      </c>
      <c r="N168" s="23" t="str">
        <f>D168&amp;FIXED(MOD(F168,10),0)</f>
        <v>hh93</v>
      </c>
      <c r="O168" s="78" t="str">
        <f>MID(A$5,((FIND(N168,A$4,1)-1)+1),4)</f>
        <v>b7ed</v>
      </c>
      <c r="P168" s="78" t="s">
        <v>0</v>
      </c>
      <c r="Q168" s="78" t="s">
        <v>0</v>
      </c>
      <c r="R168" s="78" t="s">
        <v>0</v>
      </c>
      <c r="S168" s="103" t="s">
        <v>0</v>
      </c>
      <c r="T168" s="42" t="s">
        <v>1</v>
      </c>
    </row>
    <row r="169" spans="1:20" ht="12.75">
      <c r="A169" s="44">
        <v>2053</v>
      </c>
      <c r="B169" s="886">
        <v>4106</v>
      </c>
      <c r="C169" s="886">
        <v>4214809</v>
      </c>
      <c r="D169" s="950" t="s">
        <v>2496</v>
      </c>
      <c r="E169" s="115">
        <f>B169-MOD(E$1-A169*3,B169)</f>
        <v>2001</v>
      </c>
      <c r="F169" s="644">
        <f>IF(MOD(E169,5)=0,B169,0)+E169</f>
        <v>2001</v>
      </c>
      <c r="G169" s="814">
        <f>IF(MOD(F169+$B169,5)=0,$B169,0)+$B169+F169</f>
        <v>6107</v>
      </c>
      <c r="H169" s="814">
        <f>IF(MOD(G169+$B169,5)=0,$B169,0)+$B169+G169</f>
        <v>10213</v>
      </c>
      <c r="I169" s="785">
        <f>IF(MOD(H169+$B169,5)=0,$B169,0)+$B169+H169</f>
        <v>14319</v>
      </c>
      <c r="J169" s="911">
        <v>200</v>
      </c>
      <c r="K169" s="892">
        <v>610</v>
      </c>
      <c r="L169" s="892">
        <v>1021</v>
      </c>
      <c r="M169" s="785">
        <v>1431</v>
      </c>
      <c r="N169" s="23" t="str">
        <f>D169&amp;FIXED(MOD(F169,10),0)</f>
        <v>hh31</v>
      </c>
      <c r="O169" s="78" t="str">
        <f>MID(A$5,((FIND(N169,A$4,1)-1)+1),4)</f>
        <v>7dbe</v>
      </c>
      <c r="P169" s="78" t="s">
        <v>0</v>
      </c>
      <c r="Q169" s="78" t="s">
        <v>0</v>
      </c>
      <c r="R169" s="78" t="s">
        <v>0</v>
      </c>
      <c r="S169" s="103" t="s">
        <v>0</v>
      </c>
      <c r="T169" s="42" t="s">
        <v>1</v>
      </c>
    </row>
    <row r="170" spans="1:20" ht="12.75">
      <c r="A170" s="44">
        <v>2063</v>
      </c>
      <c r="B170" s="886">
        <v>4126</v>
      </c>
      <c r="C170" s="886">
        <v>4255969</v>
      </c>
      <c r="D170" s="950" t="s">
        <v>2496</v>
      </c>
      <c r="E170" s="115">
        <f>B170-MOD(E$1-A170*3,B170)</f>
        <v>2481</v>
      </c>
      <c r="F170" s="644">
        <f>IF(MOD(E170,5)=0,B170,0)+E170</f>
        <v>2481</v>
      </c>
      <c r="G170" s="814">
        <f>IF(MOD(F170+$B170,5)=0,$B170,0)+$B170+F170</f>
        <v>6607</v>
      </c>
      <c r="H170" s="814">
        <f>IF(MOD(G170+$B170,5)=0,$B170,0)+$B170+G170</f>
        <v>10733</v>
      </c>
      <c r="I170" s="785">
        <f>IF(MOD(H170+$B170,5)=0,$B170,0)+$B170+H170</f>
        <v>14859</v>
      </c>
      <c r="J170" s="911">
        <v>248</v>
      </c>
      <c r="K170" s="892">
        <v>660</v>
      </c>
      <c r="L170" s="892">
        <v>1073</v>
      </c>
      <c r="M170" s="785">
        <v>1485</v>
      </c>
      <c r="N170" s="23" t="str">
        <f>D170&amp;FIXED(MOD(F170,10),0)</f>
        <v>hh31</v>
      </c>
      <c r="O170" s="78" t="str">
        <f>MID(A$5,((FIND(N170,A$4,1)-1)+1),4)</f>
        <v>7dbe</v>
      </c>
      <c r="P170" s="78" t="s">
        <v>0</v>
      </c>
      <c r="Q170" s="78" t="s">
        <v>0</v>
      </c>
      <c r="R170" s="78" t="s">
        <v>0</v>
      </c>
      <c r="S170" s="103" t="s">
        <v>0</v>
      </c>
      <c r="T170" s="42" t="s">
        <v>1</v>
      </c>
    </row>
    <row r="171" spans="1:20" ht="12.75">
      <c r="A171" s="44">
        <v>2069</v>
      </c>
      <c r="B171" s="886">
        <v>4138</v>
      </c>
      <c r="C171" s="886">
        <v>4280761</v>
      </c>
      <c r="D171" s="950" t="s">
        <v>2506</v>
      </c>
      <c r="E171" s="115">
        <f>B171-MOD(E$1-A171*3,B171)</f>
        <v>423</v>
      </c>
      <c r="F171" s="644">
        <f>IF(MOD(E171,5)=0,B171,0)+E171</f>
        <v>423</v>
      </c>
      <c r="G171" s="814">
        <f>IF(MOD(F171+$B171,5)=0,$B171,0)+$B171+F171</f>
        <v>4561</v>
      </c>
      <c r="H171" s="814">
        <f>IF(MOD(G171+$B171,5)=0,$B171,0)+$B171+G171</f>
        <v>8699</v>
      </c>
      <c r="I171" s="785">
        <f>IF(MOD(H171+$B171,5)=0,$B171,0)+$B171+H171</f>
        <v>12837</v>
      </c>
      <c r="J171" s="911">
        <v>42</v>
      </c>
      <c r="K171" s="892">
        <v>456</v>
      </c>
      <c r="L171" s="892">
        <v>869</v>
      </c>
      <c r="M171" s="785">
        <v>1283</v>
      </c>
      <c r="N171" s="23" t="str">
        <f>D171&amp;FIXED(MOD(F171,10),0)</f>
        <v>hh93</v>
      </c>
      <c r="O171" s="78" t="str">
        <f>MID(A$5,((FIND(N171,A$4,1)-1)+1),4)</f>
        <v>b7ed</v>
      </c>
      <c r="P171" s="78" t="s">
        <v>0</v>
      </c>
      <c r="Q171" s="78" t="s">
        <v>0</v>
      </c>
      <c r="R171" s="78" t="s">
        <v>0</v>
      </c>
      <c r="S171" s="103" t="s">
        <v>0</v>
      </c>
      <c r="T171" s="42" t="s">
        <v>1</v>
      </c>
    </row>
    <row r="172" spans="1:20" ht="12.75">
      <c r="A172" s="44">
        <v>2081</v>
      </c>
      <c r="B172" s="886">
        <v>4162</v>
      </c>
      <c r="C172" s="886">
        <v>4330561</v>
      </c>
      <c r="D172" s="950" t="s">
        <v>2490</v>
      </c>
      <c r="E172" s="115">
        <f>B172-MOD(E$1-A172*3,B172)</f>
        <v>1509</v>
      </c>
      <c r="F172" s="644">
        <f>IF(MOD(E172,5)=0,B172,0)+E172</f>
        <v>1509</v>
      </c>
      <c r="G172" s="814">
        <f>IF(MOD(F172+$B172,5)=0,$B172,0)+$B172+F172</f>
        <v>5671</v>
      </c>
      <c r="H172" s="814">
        <f>IF(MOD(G172+$B172,5)=0,$B172,0)+$B172+G172</f>
        <v>9833</v>
      </c>
      <c r="I172" s="785">
        <f>IF(MOD(H172+$B172,5)=0,$B172,0)+$B172+H172</f>
        <v>18157</v>
      </c>
      <c r="J172" s="911">
        <v>150</v>
      </c>
      <c r="K172" s="892">
        <v>567</v>
      </c>
      <c r="L172" s="892">
        <v>983</v>
      </c>
      <c r="M172" s="785">
        <v>1815</v>
      </c>
      <c r="N172" s="23" t="str">
        <f>D172&amp;FIXED(MOD(F172,10),0)</f>
        <v>hh19</v>
      </c>
      <c r="O172" s="78" t="str">
        <f>MID(A$5,((FIND(N172,A$4,1)-1)+1),4)</f>
        <v>e7bd</v>
      </c>
      <c r="P172" s="78" t="s">
        <v>0</v>
      </c>
      <c r="Q172" s="78" t="s">
        <v>0</v>
      </c>
      <c r="R172" s="78" t="s">
        <v>0</v>
      </c>
      <c r="S172" s="103" t="s">
        <v>0</v>
      </c>
      <c r="T172" s="42" t="s">
        <v>1</v>
      </c>
    </row>
    <row r="173" spans="1:20" ht="12.75">
      <c r="A173" s="44">
        <v>2083</v>
      </c>
      <c r="B173" s="886">
        <v>4166</v>
      </c>
      <c r="C173" s="886">
        <v>4338889</v>
      </c>
      <c r="D173" s="950" t="s">
        <v>2496</v>
      </c>
      <c r="E173" s="115">
        <f>B173-MOD(E$1-A173*3,B173)</f>
        <v>1235</v>
      </c>
      <c r="F173" s="644">
        <f>IF(MOD(E173,5)=0,B173,0)+E173</f>
        <v>5401</v>
      </c>
      <c r="G173" s="814">
        <f>IF(MOD(F173+$B173,5)=0,$B173,0)+$B173+F173</f>
        <v>9567</v>
      </c>
      <c r="H173" s="814">
        <f>IF(MOD(G173+$B173,5)=0,$B173,0)+$B173+G173</f>
        <v>13733</v>
      </c>
      <c r="I173" s="785">
        <f>IF(MOD(H173+$B173,5)=0,$B173,0)+$B173+H173</f>
        <v>17899</v>
      </c>
      <c r="J173" s="911">
        <v>540</v>
      </c>
      <c r="K173" s="892">
        <v>956</v>
      </c>
      <c r="L173" s="892">
        <v>1373</v>
      </c>
      <c r="M173" s="785">
        <v>1789</v>
      </c>
      <c r="N173" s="23" t="str">
        <f>D173&amp;FIXED(MOD(F173,10),0)</f>
        <v>hh31</v>
      </c>
      <c r="O173" s="78" t="str">
        <f>MID(A$5,((FIND(N173,A$4,1)-1)+1),4)</f>
        <v>7dbe</v>
      </c>
      <c r="P173" s="78" t="s">
        <v>0</v>
      </c>
      <c r="Q173" s="78" t="s">
        <v>0</v>
      </c>
      <c r="R173" s="78" t="s">
        <v>0</v>
      </c>
      <c r="S173" s="103" t="s">
        <v>0</v>
      </c>
      <c r="T173" s="42" t="s">
        <v>1</v>
      </c>
    </row>
    <row r="174" spans="1:20" ht="12.75">
      <c r="A174" s="44">
        <v>2087</v>
      </c>
      <c r="B174" s="886">
        <v>4174</v>
      </c>
      <c r="C174" s="886">
        <v>4355569</v>
      </c>
      <c r="D174" s="950" t="s">
        <v>2501</v>
      </c>
      <c r="E174" s="115">
        <f>B174-MOD(E$1-A174*3,B174)</f>
        <v>4089</v>
      </c>
      <c r="F174" s="644">
        <f>IF(MOD(E174,5)=0,B174,0)+E174</f>
        <v>4089</v>
      </c>
      <c r="G174" s="814">
        <f>IF(MOD(F174+$B174,5)=0,$B174,0)+$B174+F174</f>
        <v>8263</v>
      </c>
      <c r="H174" s="814">
        <f>IF(MOD(G174+$B174,5)=0,$B174,0)+$B174+G174</f>
        <v>12437</v>
      </c>
      <c r="I174" s="785">
        <f>IF(MOD(H174+$B174,5)=0,$B174,0)+$B174+H174</f>
        <v>16611</v>
      </c>
      <c r="J174" s="911">
        <v>408</v>
      </c>
      <c r="K174" s="892">
        <v>826</v>
      </c>
      <c r="L174" s="892">
        <v>1243</v>
      </c>
      <c r="M174" s="785">
        <v>1661</v>
      </c>
      <c r="N174" s="23" t="str">
        <f>D174&amp;FIXED(MOD(F174,10),0)</f>
        <v>hh79</v>
      </c>
      <c r="O174" s="78" t="str">
        <f>MID(A$5,((FIND(N174,A$4,1)-1)+1),4)</f>
        <v>ebd7</v>
      </c>
      <c r="P174" s="78" t="s">
        <v>0</v>
      </c>
      <c r="Q174" s="78" t="s">
        <v>0</v>
      </c>
      <c r="R174" s="78" t="s">
        <v>0</v>
      </c>
      <c r="S174" s="103" t="s">
        <v>0</v>
      </c>
      <c r="T174" s="42" t="s">
        <v>1</v>
      </c>
    </row>
    <row r="175" spans="1:20" ht="12.75">
      <c r="A175" s="44">
        <v>2089</v>
      </c>
      <c r="B175" s="886">
        <v>4178</v>
      </c>
      <c r="C175" s="886">
        <v>4363921</v>
      </c>
      <c r="D175" s="950" t="s">
        <v>2506</v>
      </c>
      <c r="E175" s="115">
        <f>B175-MOD(E$1-A175*3,B175)</f>
        <v>1043</v>
      </c>
      <c r="F175" s="644">
        <f>IF(MOD(E175,5)=0,B175,0)+E175</f>
        <v>1043</v>
      </c>
      <c r="G175" s="814">
        <f>IF(MOD(F175+$B175,5)=0,$B175,0)+$B175+F175</f>
        <v>5221</v>
      </c>
      <c r="H175" s="814">
        <f>IF(MOD(G175+$B175,5)=0,$B175,0)+$B175+G175</f>
        <v>9399</v>
      </c>
      <c r="I175" s="785">
        <f>IF(MOD(H175+$B175,5)=0,$B175,0)+$B175+H175</f>
        <v>13577</v>
      </c>
      <c r="J175" s="911">
        <v>104</v>
      </c>
      <c r="K175" s="892">
        <v>522</v>
      </c>
      <c r="L175" s="892">
        <v>939</v>
      </c>
      <c r="M175" s="785">
        <v>1357</v>
      </c>
      <c r="N175" s="23" t="str">
        <f>D175&amp;FIXED(MOD(F175,10),0)</f>
        <v>hh93</v>
      </c>
      <c r="O175" s="78" t="str">
        <f>MID(A$5,((FIND(N175,A$4,1)-1)+1),4)</f>
        <v>b7ed</v>
      </c>
      <c r="P175" s="78" t="s">
        <v>0</v>
      </c>
      <c r="Q175" s="78" t="s">
        <v>0</v>
      </c>
      <c r="R175" s="78" t="s">
        <v>0</v>
      </c>
      <c r="S175" s="103" t="s">
        <v>0</v>
      </c>
      <c r="T175" s="42" t="s">
        <v>1</v>
      </c>
    </row>
    <row r="176" spans="1:20" ht="12.75">
      <c r="A176" s="44">
        <v>2099</v>
      </c>
      <c r="B176" s="886">
        <v>4198</v>
      </c>
      <c r="C176" s="886">
        <v>4405801</v>
      </c>
      <c r="D176" s="950" t="s">
        <v>2506</v>
      </c>
      <c r="E176" s="115">
        <f>B176-MOD(E$1-A176*3,B176)</f>
        <v>155</v>
      </c>
      <c r="F176" s="644">
        <f>IF(MOD(E176,5)=0,B176,0)+E176</f>
        <v>4353</v>
      </c>
      <c r="G176" s="814">
        <f>IF(MOD(F176+$B176,5)=0,$B176,0)+$B176+F176</f>
        <v>8551</v>
      </c>
      <c r="H176" s="814">
        <f>IF(MOD(G176+$B176,5)=0,$B176,0)+$B176+G176</f>
        <v>12749</v>
      </c>
      <c r="I176" s="785">
        <f>IF(MOD(H176+$B176,5)=0,$B176,0)+$B176+H176</f>
        <v>16947</v>
      </c>
      <c r="J176" s="911">
        <v>435</v>
      </c>
      <c r="K176" s="892">
        <v>855</v>
      </c>
      <c r="L176" s="892">
        <v>1274</v>
      </c>
      <c r="M176" s="785">
        <v>1694</v>
      </c>
      <c r="N176" s="23" t="str">
        <f>D176&amp;FIXED(MOD(F176,10),0)</f>
        <v>hh93</v>
      </c>
      <c r="O176" s="78" t="str">
        <f>MID(A$5,((FIND(N176,A$4,1)-1)+1),4)</f>
        <v>b7ed</v>
      </c>
      <c r="P176" s="78" t="s">
        <v>0</v>
      </c>
      <c r="Q176" s="78" t="s">
        <v>0</v>
      </c>
      <c r="R176" s="78" t="s">
        <v>0</v>
      </c>
      <c r="S176" s="103" t="s">
        <v>0</v>
      </c>
      <c r="T176" s="42" t="s">
        <v>1</v>
      </c>
    </row>
    <row r="177" spans="1:20" ht="12.75">
      <c r="A177" s="44">
        <v>2111</v>
      </c>
      <c r="B177" s="886">
        <v>4222</v>
      </c>
      <c r="C177" s="886">
        <v>4456321</v>
      </c>
      <c r="D177" s="950" t="s">
        <v>2490</v>
      </c>
      <c r="E177" s="115">
        <f>B177-MOD(E$1-A177*3,B177)</f>
        <v>3923</v>
      </c>
      <c r="F177" s="644">
        <f>IF(MOD(E177,5)=0,B177,0)+E177</f>
        <v>3923</v>
      </c>
      <c r="G177" s="814">
        <f>IF(MOD(F177+$B177,5)=0,$B177,0)+$B177+F177</f>
        <v>12367</v>
      </c>
      <c r="H177" s="814">
        <f>IF(MOD(G177+$B177,5)=0,$B177,0)+$B177+G177</f>
        <v>16589</v>
      </c>
      <c r="I177" s="785">
        <f>IF(MOD(H177+$B177,5)=0,$B177,0)+$B177+H177</f>
        <v>20811</v>
      </c>
      <c r="J177" s="911">
        <v>392</v>
      </c>
      <c r="K177" s="892">
        <v>1236</v>
      </c>
      <c r="L177" s="892">
        <v>1658</v>
      </c>
      <c r="M177" s="785">
        <v>2081</v>
      </c>
      <c r="N177" s="23" t="str">
        <f>D177&amp;FIXED(MOD(F177,10),0)</f>
        <v>hh13</v>
      </c>
      <c r="O177" s="78" t="str">
        <f>MID(A$5,((FIND(N177,A$4,1)-1)+1),4)</f>
        <v>bde7</v>
      </c>
      <c r="P177" s="78" t="s">
        <v>0</v>
      </c>
      <c r="Q177" s="78" t="s">
        <v>0</v>
      </c>
      <c r="R177" s="78" t="s">
        <v>0</v>
      </c>
      <c r="S177" s="103" t="s">
        <v>0</v>
      </c>
      <c r="T177" s="42" t="s">
        <v>1</v>
      </c>
    </row>
    <row r="178" spans="1:20" ht="12.75">
      <c r="A178" s="44">
        <v>2113</v>
      </c>
      <c r="B178" s="886">
        <v>4226</v>
      </c>
      <c r="C178" s="886">
        <v>4464769</v>
      </c>
      <c r="D178" s="950" t="s">
        <v>2496</v>
      </c>
      <c r="E178" s="115">
        <f>B178-MOD(E$1-A178*3,B178)</f>
        <v>3433</v>
      </c>
      <c r="F178" s="644">
        <f>IF(MOD(E178,5)=0,B178,0)+E178</f>
        <v>3433</v>
      </c>
      <c r="G178" s="814">
        <f>IF(MOD(F178+$B178,5)=0,$B178,0)+$B178+F178</f>
        <v>7659</v>
      </c>
      <c r="H178" s="785">
        <f>IF(MOD(G178+$B178,5)=0,$B178,0)+$B178+G178</f>
        <v>16111</v>
      </c>
      <c r="I178" s="785">
        <f>IF(MOD(H178+$B178,5)=0,$B178,0)+$B178+H178</f>
        <v>20337</v>
      </c>
      <c r="J178" s="911">
        <v>343</v>
      </c>
      <c r="K178" s="892">
        <v>765</v>
      </c>
      <c r="L178" s="785">
        <v>1611</v>
      </c>
      <c r="M178" s="785">
        <v>2033</v>
      </c>
      <c r="N178" s="23" t="str">
        <f>D178&amp;FIXED(MOD(F178,10),0)</f>
        <v>hh33</v>
      </c>
      <c r="O178" s="78" t="str">
        <f>MID(A$5,((FIND(N178,A$4,1)-1)+1),4)</f>
        <v>be7d</v>
      </c>
      <c r="P178" s="78" t="s">
        <v>0</v>
      </c>
      <c r="Q178" s="78" t="s">
        <v>0</v>
      </c>
      <c r="R178" s="103" t="s">
        <v>0</v>
      </c>
      <c r="S178" s="103" t="s">
        <v>0</v>
      </c>
      <c r="T178" s="42" t="s">
        <v>1</v>
      </c>
    </row>
    <row r="179" spans="1:20" ht="12.75">
      <c r="A179" s="44">
        <v>2129</v>
      </c>
      <c r="B179" s="886">
        <v>4258</v>
      </c>
      <c r="C179" s="886">
        <v>4532641</v>
      </c>
      <c r="D179" s="950" t="s">
        <v>2506</v>
      </c>
      <c r="E179" s="115">
        <f>B179-MOD(E$1-A179*3,B179)</f>
        <v>807</v>
      </c>
      <c r="F179" s="644">
        <f>IF(MOD(E179,5)=0,B179,0)+E179</f>
        <v>807</v>
      </c>
      <c r="G179" s="814">
        <f>IF(MOD(F179+$B179,5)=0,$B179,0)+$B179+F179</f>
        <v>9323</v>
      </c>
      <c r="H179" s="785">
        <f>IF(MOD(G179+$B179,5)=0,$B179,0)+$B179+G179</f>
        <v>13581</v>
      </c>
      <c r="I179" s="785">
        <f>IF(MOD(H179+$B179,5)=0,$B179,0)+$B179+H179</f>
        <v>17839</v>
      </c>
      <c r="J179" s="911">
        <v>80</v>
      </c>
      <c r="K179" s="892">
        <v>932</v>
      </c>
      <c r="L179" s="785">
        <v>1358</v>
      </c>
      <c r="M179" s="785">
        <v>1783</v>
      </c>
      <c r="N179" s="23" t="str">
        <f>D179&amp;FIXED(MOD(F179,10),0)</f>
        <v>hh97</v>
      </c>
      <c r="O179" s="78" t="str">
        <f>MID(A$5,((FIND(N179,A$4,1)-1)+1),4)</f>
        <v>db7e</v>
      </c>
      <c r="P179" s="94" t="s">
        <v>0</v>
      </c>
      <c r="Q179" s="78" t="s">
        <v>0</v>
      </c>
      <c r="R179" s="103" t="s">
        <v>0</v>
      </c>
      <c r="S179" s="103" t="s">
        <v>0</v>
      </c>
      <c r="T179" s="42" t="s">
        <v>1</v>
      </c>
    </row>
    <row r="180" spans="1:20" ht="12.75">
      <c r="A180" s="44">
        <v>2131</v>
      </c>
      <c r="B180" s="886">
        <v>4262</v>
      </c>
      <c r="C180" s="886">
        <v>4541161</v>
      </c>
      <c r="D180" s="950" t="s">
        <v>2490</v>
      </c>
      <c r="E180" s="115">
        <f>B180-MOD(E$1-A180*3,B180)</f>
        <v>219</v>
      </c>
      <c r="F180" s="644">
        <f>IF(MOD(E180,5)=0,B180,0)+E180</f>
        <v>219</v>
      </c>
      <c r="G180" s="814">
        <f>IF(MOD(F180+$B180,5)=0,$B180,0)+$B180+F180</f>
        <v>4481</v>
      </c>
      <c r="H180" s="785">
        <f>IF(MOD(G180+$B180,5)=0,$B180,0)+$B180+G180</f>
        <v>8743</v>
      </c>
      <c r="I180" s="785">
        <f>IF(MOD(H180+$B180,5)=0,$B180,0)+$B180+H180</f>
        <v>17267</v>
      </c>
      <c r="J180" s="911">
        <v>21</v>
      </c>
      <c r="K180" s="892">
        <v>448</v>
      </c>
      <c r="L180" s="785">
        <v>874</v>
      </c>
      <c r="M180" s="785">
        <v>1726</v>
      </c>
      <c r="N180" s="23" t="str">
        <f>D180&amp;FIXED(MOD(F180,10),0)</f>
        <v>hh19</v>
      </c>
      <c r="O180" s="78" t="str">
        <f>MID(A$5,((FIND(N180,A$4,1)-1)+1),4)</f>
        <v>e7bd</v>
      </c>
      <c r="P180" s="94" t="s">
        <v>0</v>
      </c>
      <c r="Q180" s="78" t="s">
        <v>0</v>
      </c>
      <c r="R180" s="103" t="s">
        <v>0</v>
      </c>
      <c r="S180" s="103" t="s">
        <v>0</v>
      </c>
      <c r="T180" s="42" t="s">
        <v>1</v>
      </c>
    </row>
    <row r="181" spans="1:20" ht="12.75">
      <c r="A181" s="44">
        <v>2137</v>
      </c>
      <c r="B181" s="886">
        <v>4274</v>
      </c>
      <c r="C181" s="886">
        <v>4566769</v>
      </c>
      <c r="D181" s="950" t="s">
        <v>2501</v>
      </c>
      <c r="E181" s="115">
        <f>B181-MOD(E$1-A181*3,B181)</f>
        <v>2381</v>
      </c>
      <c r="F181" s="644">
        <f>IF(MOD(E181,5)=0,B181,0)+E181</f>
        <v>2381</v>
      </c>
      <c r="G181" s="814">
        <f>IF(MOD(F181+$B181,5)=0,$B181,0)+$B181+F181</f>
        <v>10929</v>
      </c>
      <c r="H181" s="785">
        <f>IF(MOD(G181+$B181,5)=0,$B181,0)+$B181+G181</f>
        <v>15203</v>
      </c>
      <c r="I181" s="785">
        <f>IF(MOD(H181+$B181,5)=0,$B181,0)+$B181+H181</f>
        <v>19477</v>
      </c>
      <c r="J181" s="911">
        <v>238</v>
      </c>
      <c r="K181" s="892">
        <v>1092</v>
      </c>
      <c r="L181" s="785">
        <v>1520</v>
      </c>
      <c r="M181" s="785">
        <v>1947</v>
      </c>
      <c r="N181" s="23" t="str">
        <f>D181&amp;FIXED(MOD(F181,10),0)</f>
        <v>hh71</v>
      </c>
      <c r="O181" s="78" t="str">
        <f>MID(A$5,((FIND(N181,A$4,1)-1)+1),4)</f>
        <v>7ebd</v>
      </c>
      <c r="P181" s="94" t="s">
        <v>0</v>
      </c>
      <c r="Q181" s="78" t="s">
        <v>0</v>
      </c>
      <c r="R181" s="103" t="s">
        <v>0</v>
      </c>
      <c r="S181" s="103" t="s">
        <v>0</v>
      </c>
      <c r="T181" s="42" t="s">
        <v>1</v>
      </c>
    </row>
    <row r="182" spans="1:20" ht="12.75">
      <c r="A182" s="44">
        <v>2141</v>
      </c>
      <c r="B182" s="886">
        <v>4282</v>
      </c>
      <c r="C182" s="886">
        <v>4583881</v>
      </c>
      <c r="D182" s="950" t="s">
        <v>2490</v>
      </c>
      <c r="E182" s="115">
        <f>B182-MOD(E$1-A182*3,B182)</f>
        <v>357</v>
      </c>
      <c r="F182" s="644">
        <f>IF(MOD(E182,5)=0,B182,0)+E182</f>
        <v>357</v>
      </c>
      <c r="G182" s="814">
        <f>IF(MOD(F182+$B182,5)=0,$B182,0)+$B182+F182</f>
        <v>4639</v>
      </c>
      <c r="H182" s="785">
        <f>IF(MOD(G182+$B182,5)=0,$B182,0)+$B182+G182</f>
        <v>8921</v>
      </c>
      <c r="I182" s="785">
        <f>IF(MOD(H182+$B182,5)=0,$B182,0)+$B182+H182</f>
        <v>13203</v>
      </c>
      <c r="J182" s="911">
        <v>35</v>
      </c>
      <c r="K182" s="892">
        <v>463</v>
      </c>
      <c r="L182" s="785">
        <v>892</v>
      </c>
      <c r="M182" s="785">
        <v>1320</v>
      </c>
      <c r="N182" s="23" t="str">
        <f>D182&amp;FIXED(MOD(F182,10),0)</f>
        <v>hh17</v>
      </c>
      <c r="O182" s="78" t="str">
        <f>MID(A$5,((FIND(N182,A$4,1)-1)+1),4)</f>
        <v>de7b</v>
      </c>
      <c r="P182" s="94" t="s">
        <v>0</v>
      </c>
      <c r="Q182" s="78" t="s">
        <v>0</v>
      </c>
      <c r="R182" s="103" t="s">
        <v>0</v>
      </c>
      <c r="S182" s="103" t="s">
        <v>0</v>
      </c>
      <c r="T182" s="42" t="s">
        <v>1</v>
      </c>
    </row>
    <row r="183" spans="1:20" ht="12.75">
      <c r="A183" s="44">
        <v>2143</v>
      </c>
      <c r="B183" s="886">
        <v>4286</v>
      </c>
      <c r="C183" s="886">
        <v>4592449</v>
      </c>
      <c r="D183" s="950" t="s">
        <v>2496</v>
      </c>
      <c r="E183" s="115">
        <f>B183-MOD(E$1-A183*3,B183)</f>
        <v>1999</v>
      </c>
      <c r="F183" s="644">
        <f>IF(MOD(E183,5)=0,B183,0)+E183</f>
        <v>1999</v>
      </c>
      <c r="G183" s="814">
        <f>IF(MOD(F183+$B183,5)=0,$B183,0)+$B183+F183</f>
        <v>10571</v>
      </c>
      <c r="H183" s="785">
        <f>IF(MOD(G183+$B183,5)=0,$B183,0)+$B183+G183</f>
        <v>14857</v>
      </c>
      <c r="I183" s="785">
        <f>IF(MOD(H183+$B183,5)=0,$B183,0)+$B183+H183</f>
        <v>19143</v>
      </c>
      <c r="J183" s="911">
        <v>199</v>
      </c>
      <c r="K183" s="892">
        <v>1057</v>
      </c>
      <c r="L183" s="785">
        <v>1485</v>
      </c>
      <c r="M183" s="785">
        <v>1914</v>
      </c>
      <c r="N183" s="23" t="str">
        <f>D183&amp;FIXED(MOD(F183,10),0)</f>
        <v>hh39</v>
      </c>
      <c r="O183" s="78" t="str">
        <f>MID(A$5,((FIND(N183,A$4,1)-1)+1),4)</f>
        <v>e7db</v>
      </c>
      <c r="P183" s="94" t="s">
        <v>0</v>
      </c>
      <c r="Q183" s="78" t="s">
        <v>0</v>
      </c>
      <c r="R183" s="103" t="s">
        <v>0</v>
      </c>
      <c r="S183" s="103" t="s">
        <v>0</v>
      </c>
      <c r="T183" s="42" t="s">
        <v>1</v>
      </c>
    </row>
    <row r="184" spans="1:20" ht="12.75">
      <c r="A184" s="44">
        <v>2153</v>
      </c>
      <c r="B184" s="886">
        <v>4306</v>
      </c>
      <c r="C184" s="886">
        <v>4635409</v>
      </c>
      <c r="D184" s="950" t="s">
        <v>2496</v>
      </c>
      <c r="E184" s="115">
        <f>B184-MOD(E$1-A184*3,B184)</f>
        <v>3479</v>
      </c>
      <c r="F184" s="644">
        <f>IF(MOD(E184,5)=0,B184,0)+E184</f>
        <v>3479</v>
      </c>
      <c r="G184" s="814">
        <f>IF(MOD(F184+$B184,5)=0,$B184,0)+$B184+F184</f>
        <v>12091</v>
      </c>
      <c r="H184" s="785">
        <f>IF(MOD(G184+$B184,5)=0,$B184,0)+$B184+G184</f>
        <v>16397</v>
      </c>
      <c r="I184" s="785">
        <f>IF(MOD(H184+$B184,5)=0,$B184,0)+$B184+H184</f>
        <v>20703</v>
      </c>
      <c r="J184" s="911">
        <v>347</v>
      </c>
      <c r="K184" s="892">
        <v>1209</v>
      </c>
      <c r="L184" s="785">
        <v>1639</v>
      </c>
      <c r="M184" s="785">
        <v>2070</v>
      </c>
      <c r="N184" s="23" t="str">
        <f>D184&amp;FIXED(MOD(F184,10),0)</f>
        <v>hh39</v>
      </c>
      <c r="O184" s="78" t="str">
        <f>MID(A$5,((FIND(N184,A$4,1)-1)+1),4)</f>
        <v>e7db</v>
      </c>
      <c r="P184" s="94" t="s">
        <v>0</v>
      </c>
      <c r="Q184" s="78" t="s">
        <v>0</v>
      </c>
      <c r="R184" s="103" t="s">
        <v>0</v>
      </c>
      <c r="S184" s="103" t="s">
        <v>0</v>
      </c>
      <c r="T184" s="42" t="s">
        <v>1</v>
      </c>
    </row>
    <row r="185" spans="1:20" ht="12.75">
      <c r="A185" s="44">
        <v>2161</v>
      </c>
      <c r="B185" s="886">
        <v>4322</v>
      </c>
      <c r="C185" s="886">
        <v>4669921</v>
      </c>
      <c r="D185" s="950" t="s">
        <v>2490</v>
      </c>
      <c r="E185" s="115">
        <f>B185-MOD(E$1-A185*3,B185)</f>
        <v>2509</v>
      </c>
      <c r="F185" s="644">
        <f>IF(MOD(E185,5)=0,B185,0)+E185</f>
        <v>2509</v>
      </c>
      <c r="G185" s="814">
        <f>IF(MOD(F185+$B185,5)=0,$B185,0)+$B185+F185</f>
        <v>6831</v>
      </c>
      <c r="H185" s="785">
        <f>IF(MOD(G185+$B185,5)=0,$B185,0)+$B185+G185</f>
        <v>11153</v>
      </c>
      <c r="I185" s="785">
        <f>IF(MOD(H185+$B185,5)=0,$B185,0)+$B185+H185</f>
        <v>19797</v>
      </c>
      <c r="J185" s="911">
        <v>250</v>
      </c>
      <c r="K185" s="892">
        <v>683</v>
      </c>
      <c r="L185" s="785">
        <v>1115</v>
      </c>
      <c r="M185" s="785">
        <v>1979</v>
      </c>
      <c r="N185" s="23" t="str">
        <f>D185&amp;FIXED(MOD(F185,10),0)</f>
        <v>hh19</v>
      </c>
      <c r="O185" s="78" t="str">
        <f>MID(A$5,((FIND(N185,A$4,1)-1)+1),4)</f>
        <v>e7bd</v>
      </c>
      <c r="P185" s="94" t="s">
        <v>0</v>
      </c>
      <c r="Q185" s="78" t="s">
        <v>0</v>
      </c>
      <c r="R185" s="103" t="s">
        <v>0</v>
      </c>
      <c r="S185" s="103" t="s">
        <v>0</v>
      </c>
      <c r="T185" s="42" t="s">
        <v>1</v>
      </c>
    </row>
    <row r="186" spans="1:20" ht="12.75">
      <c r="A186" s="44">
        <v>2179</v>
      </c>
      <c r="B186" s="886">
        <v>4358</v>
      </c>
      <c r="C186" s="886">
        <v>4748041</v>
      </c>
      <c r="D186" s="950" t="s">
        <v>2506</v>
      </c>
      <c r="E186" s="115">
        <f>B186-MOD(E$1-A186*3,B186)</f>
        <v>389</v>
      </c>
      <c r="F186" s="644">
        <f>IF(MOD(E186,5)=0,B186,0)+E186</f>
        <v>389</v>
      </c>
      <c r="G186" s="814">
        <f>IF(MOD(F186+$B186,5)=0,$B186,0)+$B186+F186</f>
        <v>4747</v>
      </c>
      <c r="H186" s="785">
        <f>IF(MOD(G186+$B186,5)=0,$B186,0)+$B186+G186</f>
        <v>13463</v>
      </c>
      <c r="I186" s="785">
        <f>IF(MOD(H186+$B186,5)=0,$B186,0)+$B186+H186</f>
        <v>17821</v>
      </c>
      <c r="J186" s="911">
        <v>38</v>
      </c>
      <c r="K186" s="892">
        <v>474</v>
      </c>
      <c r="L186" s="785">
        <v>1346</v>
      </c>
      <c r="M186" s="785">
        <v>1782</v>
      </c>
      <c r="N186" s="23" t="str">
        <f>D186&amp;FIXED(MOD(F186,10),0)</f>
        <v>hh99</v>
      </c>
      <c r="O186" s="78" t="str">
        <f>MID(A$5,((FIND(N186,A$4,1)-1)+1),4)</f>
        <v>edb7</v>
      </c>
      <c r="P186" s="94" t="s">
        <v>0</v>
      </c>
      <c r="Q186" s="78" t="s">
        <v>0</v>
      </c>
      <c r="R186" s="103" t="s">
        <v>0</v>
      </c>
      <c r="S186" s="103" t="s">
        <v>0</v>
      </c>
      <c r="T186" s="42" t="s">
        <v>1</v>
      </c>
    </row>
    <row r="187" spans="1:20" ht="12.75">
      <c r="A187" s="44">
        <v>2203</v>
      </c>
      <c r="B187" s="886">
        <v>4406</v>
      </c>
      <c r="C187" s="886">
        <v>4853209</v>
      </c>
      <c r="D187" s="950" t="s">
        <v>2496</v>
      </c>
      <c r="E187" s="115">
        <f>B187-MOD(E$1-A187*3,B187)</f>
        <v>3603</v>
      </c>
      <c r="F187" s="644">
        <f>IF(MOD(E187,5)=0,B187,0)+E187</f>
        <v>3603</v>
      </c>
      <c r="G187" s="814">
        <f>IF(MOD(F187+$B187,5)=0,$B187,0)+$B187+F187</f>
        <v>8009</v>
      </c>
      <c r="H187" s="785">
        <f>IF(MOD(G187+$B187,5)=0,$B187,0)+$B187+G187</f>
        <v>16821</v>
      </c>
      <c r="I187" s="785">
        <f>IF(MOD(H187+$B187,5)=0,$B187,0)+$B187+H187</f>
        <v>21227</v>
      </c>
      <c r="J187" s="911">
        <v>360</v>
      </c>
      <c r="K187" s="892">
        <v>800</v>
      </c>
      <c r="L187" s="785">
        <v>1682</v>
      </c>
      <c r="M187" s="785">
        <v>2122</v>
      </c>
      <c r="N187" s="23" t="str">
        <f>D187&amp;FIXED(MOD(F187,10),0)</f>
        <v>hh33</v>
      </c>
      <c r="O187" s="78" t="str">
        <f>MID(A$5,((FIND(N187,A$4,1)-1)+1),4)</f>
        <v>be7d</v>
      </c>
      <c r="P187" s="94" t="s">
        <v>0</v>
      </c>
      <c r="Q187" s="78" t="s">
        <v>0</v>
      </c>
      <c r="R187" s="103" t="s">
        <v>0</v>
      </c>
      <c r="S187" s="103" t="s">
        <v>0</v>
      </c>
      <c r="T187" s="42" t="s">
        <v>1</v>
      </c>
    </row>
    <row r="188" spans="1:20" ht="12.75">
      <c r="A188" s="44">
        <v>2207</v>
      </c>
      <c r="B188" s="886">
        <v>4414</v>
      </c>
      <c r="C188" s="886">
        <v>4870849</v>
      </c>
      <c r="D188" s="950" t="s">
        <v>2501</v>
      </c>
      <c r="E188" s="115">
        <f>B188-MOD(E$1-A188*3,B188)</f>
        <v>1617</v>
      </c>
      <c r="F188" s="644">
        <f>IF(MOD(E188,5)=0,B188,0)+E188</f>
        <v>1617</v>
      </c>
      <c r="G188" s="814">
        <f>IF(MOD(F188+$B188,5)=0,$B188,0)+$B188+F188</f>
        <v>6031</v>
      </c>
      <c r="H188" s="785">
        <f>IF(MOD(G188+$B188,5)=0,$B188,0)+$B188+G188</f>
        <v>14859</v>
      </c>
      <c r="I188" s="785">
        <f>IF(MOD(H188+$B188,5)=0,$B188,0)+$B188+H188</f>
        <v>19273</v>
      </c>
      <c r="J188" s="911">
        <v>161</v>
      </c>
      <c r="K188" s="892">
        <v>603</v>
      </c>
      <c r="L188" s="785">
        <v>1485</v>
      </c>
      <c r="M188" s="785">
        <v>1927</v>
      </c>
      <c r="N188" s="23" t="str">
        <f>D188&amp;FIXED(MOD(F188,10),0)</f>
        <v>hh77</v>
      </c>
      <c r="O188" s="78" t="str">
        <f>MID(A$5,((FIND(N188,A$4,1)-1)+1),4)</f>
        <v>d7eb</v>
      </c>
      <c r="P188" s="94" t="s">
        <v>0</v>
      </c>
      <c r="Q188" s="78" t="s">
        <v>0</v>
      </c>
      <c r="R188" s="103" t="s">
        <v>0</v>
      </c>
      <c r="S188" s="103" t="s">
        <v>0</v>
      </c>
      <c r="T188" s="42" t="s">
        <v>1</v>
      </c>
    </row>
    <row r="189" spans="1:20" ht="12.75">
      <c r="A189" s="44">
        <v>2213</v>
      </c>
      <c r="B189" s="886">
        <v>4426</v>
      </c>
      <c r="C189" s="886">
        <v>4897369</v>
      </c>
      <c r="D189" s="950" t="s">
        <v>2496</v>
      </c>
      <c r="E189" s="115">
        <f>B189-MOD(E$1-A189*3,B189)</f>
        <v>3721</v>
      </c>
      <c r="F189" s="644">
        <f>IF(MOD(E189,5)=0,B189,0)+E189</f>
        <v>3721</v>
      </c>
      <c r="G189" s="814">
        <f>IF(MOD(F189+$B189,5)=0,$B189,0)+$B189+F189</f>
        <v>8147</v>
      </c>
      <c r="H189" s="785">
        <f>IF(MOD(G189+$B189,5)=0,$B189,0)+$B189+G189</f>
        <v>12573</v>
      </c>
      <c r="I189" s="785">
        <f>IF(MOD(H189+$B189,5)=0,$B189,0)+$B189+H189</f>
        <v>16999</v>
      </c>
      <c r="J189" s="911">
        <v>372</v>
      </c>
      <c r="K189" s="892">
        <v>814</v>
      </c>
      <c r="L189" s="785">
        <v>1257</v>
      </c>
      <c r="M189" s="785">
        <v>1699</v>
      </c>
      <c r="N189" s="23" t="str">
        <f>D189&amp;FIXED(MOD(F189,10),0)</f>
        <v>hh31</v>
      </c>
      <c r="O189" s="78" t="str">
        <f>MID(A$5,((FIND(N189,A$4,1)-1)+1),4)</f>
        <v>7dbe</v>
      </c>
      <c r="P189" s="94" t="s">
        <v>0</v>
      </c>
      <c r="Q189" s="78" t="s">
        <v>0</v>
      </c>
      <c r="R189" s="103" t="s">
        <v>0</v>
      </c>
      <c r="S189" s="103" t="s">
        <v>0</v>
      </c>
      <c r="T189" s="42" t="s">
        <v>1</v>
      </c>
    </row>
    <row r="190" spans="1:20" ht="12.75">
      <c r="A190" s="44">
        <v>2221</v>
      </c>
      <c r="B190" s="886">
        <v>4442</v>
      </c>
      <c r="C190" s="886">
        <v>4932841</v>
      </c>
      <c r="D190" s="950" t="s">
        <v>2490</v>
      </c>
      <c r="E190" s="115">
        <f>B190-MOD(E$1-A190*3,B190)</f>
        <v>1231</v>
      </c>
      <c r="F190" s="644">
        <f>IF(MOD(E190,5)=0,B190,0)+E190</f>
        <v>1231</v>
      </c>
      <c r="G190" s="814">
        <f>IF(MOD(F190+$B190,5)=0,$B190,0)+$B190+F190</f>
        <v>5673</v>
      </c>
      <c r="H190" s="785">
        <f>IF(MOD(G190+$B190,5)=0,$B190,0)+$B190+G190</f>
        <v>14557</v>
      </c>
      <c r="I190" s="785">
        <f>IF(MOD(H190+$B190,5)=0,$B190,0)+$B190+H190</f>
        <v>18999</v>
      </c>
      <c r="J190" s="911">
        <v>123</v>
      </c>
      <c r="K190" s="892">
        <v>567</v>
      </c>
      <c r="L190" s="785">
        <v>1455</v>
      </c>
      <c r="M190" s="785">
        <v>1899</v>
      </c>
      <c r="N190" s="23" t="str">
        <f>D190&amp;FIXED(MOD(F190,10),0)</f>
        <v>hh11</v>
      </c>
      <c r="O190" s="78" t="str">
        <f>MID(A$5,((FIND(N190,A$4,1)-1)+1),4)</f>
        <v>7bde</v>
      </c>
      <c r="P190" s="94" t="s">
        <v>0</v>
      </c>
      <c r="Q190" s="78" t="s">
        <v>0</v>
      </c>
      <c r="R190" s="103" t="s">
        <v>0</v>
      </c>
      <c r="S190" s="103" t="s">
        <v>0</v>
      </c>
      <c r="T190" s="42" t="s">
        <v>1</v>
      </c>
    </row>
    <row r="191" spans="1:20" ht="12.75">
      <c r="A191" s="44">
        <v>2237</v>
      </c>
      <c r="B191" s="886">
        <v>4474</v>
      </c>
      <c r="C191" s="886">
        <v>5004169</v>
      </c>
      <c r="D191" s="950" t="s">
        <v>2501</v>
      </c>
      <c r="E191" s="115">
        <f>B191-MOD(E$1-A191*3,B191)</f>
        <v>107</v>
      </c>
      <c r="F191" s="644">
        <f>IF(MOD(E191,5)=0,B191,0)+E191</f>
        <v>107</v>
      </c>
      <c r="G191" s="814">
        <f>IF(MOD(F191+$B191,5)=0,$B191,0)+$B191+F191</f>
        <v>4581</v>
      </c>
      <c r="H191" s="785">
        <f>IF(MOD(G191+$B191,5)=0,$B191,0)+$B191+G191</f>
        <v>13529</v>
      </c>
      <c r="I191" s="785">
        <f>IF(MOD(H191+$B191,5)=0,$B191,0)+$B191+H191</f>
        <v>18003</v>
      </c>
      <c r="J191" s="911">
        <v>10</v>
      </c>
      <c r="K191" s="892">
        <v>458</v>
      </c>
      <c r="L191" s="785">
        <v>1352</v>
      </c>
      <c r="M191" s="785">
        <v>1800</v>
      </c>
      <c r="N191" s="23" t="str">
        <f>D191&amp;FIXED(MOD(F191,10),0)</f>
        <v>hh77</v>
      </c>
      <c r="O191" s="78" t="str">
        <f>MID(A$5,((FIND(N191,A$4,1)-1)+1),4)</f>
        <v>d7eb</v>
      </c>
      <c r="P191" s="94" t="s">
        <v>0</v>
      </c>
      <c r="Q191" s="78" t="s">
        <v>0</v>
      </c>
      <c r="R191" s="103" t="s">
        <v>0</v>
      </c>
      <c r="S191" s="103" t="s">
        <v>0</v>
      </c>
      <c r="T191" s="42" t="s">
        <v>1</v>
      </c>
    </row>
    <row r="192" spans="1:20" ht="12.75">
      <c r="A192" s="44">
        <v>2239</v>
      </c>
      <c r="B192" s="886">
        <v>4478</v>
      </c>
      <c r="C192" s="886">
        <v>5013121</v>
      </c>
      <c r="D192" s="950" t="s">
        <v>2506</v>
      </c>
      <c r="E192" s="115">
        <f>B192-MOD(E$1-A192*3,B192)</f>
        <v>2043</v>
      </c>
      <c r="F192" s="644">
        <f>IF(MOD(E192,5)=0,B192,0)+E192</f>
        <v>2043</v>
      </c>
      <c r="G192" s="814">
        <f>IF(MOD(F192+$B192,5)=0,$B192,0)+$B192+F192</f>
        <v>6521</v>
      </c>
      <c r="H192" s="785">
        <f>IF(MOD(G192+$B192,5)=0,$B192,0)+$B192+G192</f>
        <v>10999</v>
      </c>
      <c r="I192" s="785">
        <f>IF(MOD(H192+$B192,5)=0,$B192,0)+$B192+H192</f>
        <v>15477</v>
      </c>
      <c r="J192" s="911">
        <v>204</v>
      </c>
      <c r="K192" s="892">
        <v>652</v>
      </c>
      <c r="L192" s="785">
        <v>1099</v>
      </c>
      <c r="M192" s="785">
        <v>1547</v>
      </c>
      <c r="N192" s="23" t="str">
        <f>D192&amp;FIXED(MOD(F192,10),0)</f>
        <v>hh93</v>
      </c>
      <c r="O192" s="78" t="str">
        <f>MID(A$5,((FIND(N192,A$4,1)-1)+1),4)</f>
        <v>b7ed</v>
      </c>
      <c r="P192" s="94" t="s">
        <v>0</v>
      </c>
      <c r="Q192" s="78" t="s">
        <v>0</v>
      </c>
      <c r="R192" s="103" t="s">
        <v>0</v>
      </c>
      <c r="S192" s="103" t="s">
        <v>0</v>
      </c>
      <c r="T192" s="42" t="s">
        <v>1</v>
      </c>
    </row>
    <row r="193" spans="1:20" ht="12.75">
      <c r="A193" s="44">
        <v>2243</v>
      </c>
      <c r="B193" s="886">
        <v>4486</v>
      </c>
      <c r="C193" s="886">
        <v>5031049</v>
      </c>
      <c r="D193" s="950" t="s">
        <v>2496</v>
      </c>
      <c r="E193" s="115">
        <f>B193-MOD(E$1-A193*3,B193)</f>
        <v>3581</v>
      </c>
      <c r="F193" s="644">
        <f>IF(MOD(E193,5)=0,B193,0)+E193</f>
        <v>3581</v>
      </c>
      <c r="G193" s="814">
        <f>IF(MOD(F193+$B193,5)=0,$B193,0)+$B193+F193</f>
        <v>8067</v>
      </c>
      <c r="H193" s="785">
        <f>IF(MOD(G193+$B193,5)=0,$B193,0)+$B193+G193</f>
        <v>12553</v>
      </c>
      <c r="I193" s="785">
        <f>IF(MOD(H193+$B193,5)=0,$B193,0)+$B193+H193</f>
        <v>17039</v>
      </c>
      <c r="J193" s="911">
        <v>358</v>
      </c>
      <c r="K193" s="892">
        <v>806</v>
      </c>
      <c r="L193" s="785">
        <v>1255</v>
      </c>
      <c r="M193" s="785">
        <v>1703</v>
      </c>
      <c r="N193" s="23" t="str">
        <f>D193&amp;FIXED(MOD(F193,10),0)</f>
        <v>hh31</v>
      </c>
      <c r="O193" s="78" t="str">
        <f>MID(A$5,((FIND(N193,A$4,1)-1)+1),4)</f>
        <v>7dbe</v>
      </c>
      <c r="P193" s="94" t="s">
        <v>0</v>
      </c>
      <c r="Q193" s="78" t="s">
        <v>0</v>
      </c>
      <c r="R193" s="103" t="s">
        <v>0</v>
      </c>
      <c r="S193" s="103" t="s">
        <v>0</v>
      </c>
      <c r="T193" s="42" t="s">
        <v>1</v>
      </c>
    </row>
    <row r="194" spans="1:20" ht="12.75">
      <c r="A194" s="44">
        <v>2251</v>
      </c>
      <c r="B194" s="886">
        <v>4502</v>
      </c>
      <c r="C194" s="886">
        <v>5067001</v>
      </c>
      <c r="D194" s="950" t="s">
        <v>2490</v>
      </c>
      <c r="E194" s="115">
        <f>B194-MOD(E$1-A194*3,B194)</f>
        <v>1359</v>
      </c>
      <c r="F194" s="644">
        <f>IF(MOD(E194,5)=0,B194,0)+E194</f>
        <v>1359</v>
      </c>
      <c r="G194" s="814">
        <f>IF(MOD(F194+$B194,5)=0,$B194,0)+$B194+F194</f>
        <v>5861</v>
      </c>
      <c r="H194" s="785">
        <f>IF(MOD(G194+$B194,5)=0,$B194,0)+$B194+G194</f>
        <v>10363</v>
      </c>
      <c r="I194" s="785">
        <f>IF(MOD(H194+$B194,5)=0,$B194,0)+$B194+H194</f>
        <v>19367</v>
      </c>
      <c r="J194" s="911">
        <v>135</v>
      </c>
      <c r="K194" s="892">
        <v>586</v>
      </c>
      <c r="L194" s="785">
        <v>1036</v>
      </c>
      <c r="M194" s="785">
        <v>1936</v>
      </c>
      <c r="N194" s="23" t="str">
        <f>D194&amp;FIXED(MOD(F194,10),0)</f>
        <v>hh19</v>
      </c>
      <c r="O194" s="78" t="str">
        <f>MID(A$5,((FIND(N194,A$4,1)-1)+1),4)</f>
        <v>e7bd</v>
      </c>
      <c r="P194" s="94" t="s">
        <v>0</v>
      </c>
      <c r="Q194" s="78" t="s">
        <v>0</v>
      </c>
      <c r="R194" s="103" t="s">
        <v>0</v>
      </c>
      <c r="S194" s="103" t="s">
        <v>0</v>
      </c>
      <c r="T194" s="42" t="s">
        <v>1</v>
      </c>
    </row>
    <row r="195" spans="1:20" ht="12.75">
      <c r="A195" s="44">
        <v>2267</v>
      </c>
      <c r="B195" s="886">
        <v>4534</v>
      </c>
      <c r="C195" s="886">
        <v>5139289</v>
      </c>
      <c r="D195" s="950" t="s">
        <v>2501</v>
      </c>
      <c r="E195" s="115">
        <f>B195-MOD(E$1-A195*3,B195)</f>
        <v>827</v>
      </c>
      <c r="F195" s="644">
        <f>IF(MOD(E195,5)=0,B195,0)+E195</f>
        <v>827</v>
      </c>
      <c r="G195" s="814">
        <f>IF(MOD(F195+$B195,5)=0,$B195,0)+$B195+F195</f>
        <v>5361</v>
      </c>
      <c r="H195" s="785">
        <f>IF(MOD(G195+$B195,5)=0,$B195,0)+$B195+G195</f>
        <v>14429</v>
      </c>
      <c r="I195" s="785">
        <f>IF(MOD(H195+$B195,5)=0,$B195,0)+$B195+H195</f>
        <v>18963</v>
      </c>
      <c r="J195" s="911">
        <v>82</v>
      </c>
      <c r="K195" s="892">
        <v>536</v>
      </c>
      <c r="L195" s="785">
        <v>1442</v>
      </c>
      <c r="M195" s="785">
        <v>1896</v>
      </c>
      <c r="N195" s="23" t="str">
        <f>D195&amp;FIXED(MOD(F195,10),0)</f>
        <v>hh77</v>
      </c>
      <c r="O195" s="78" t="str">
        <f>MID(A$5,((FIND(N195,A$4,1)-1)+1),4)</f>
        <v>d7eb</v>
      </c>
      <c r="P195" s="94" t="s">
        <v>0</v>
      </c>
      <c r="Q195" s="78" t="s">
        <v>0</v>
      </c>
      <c r="R195" s="103" t="s">
        <v>0</v>
      </c>
      <c r="S195" s="103" t="s">
        <v>0</v>
      </c>
      <c r="T195" s="42" t="s">
        <v>1</v>
      </c>
    </row>
    <row r="196" spans="1:20" ht="12.75">
      <c r="A196" s="44">
        <v>2269</v>
      </c>
      <c r="B196" s="886">
        <v>4538</v>
      </c>
      <c r="C196" s="886">
        <v>5148361</v>
      </c>
      <c r="D196" s="950" t="s">
        <v>2506</v>
      </c>
      <c r="E196" s="115">
        <f>B196-MOD(E$1-A196*3,B196)</f>
        <v>741</v>
      </c>
      <c r="F196" s="644">
        <f>IF(MOD(E196,5)=0,B196,0)+E196</f>
        <v>741</v>
      </c>
      <c r="G196" s="814">
        <f>IF(MOD(F196+$B196,5)=0,$B196,0)+$B196+F196</f>
        <v>5279</v>
      </c>
      <c r="H196" s="785">
        <f>IF(MOD(G196+$B196,5)=0,$B196,0)+$B196+G196</f>
        <v>9817</v>
      </c>
      <c r="I196" s="785">
        <f>IF(MOD(H196+$B196,5)=0,$B196,0)+$B196+H196</f>
        <v>18893</v>
      </c>
      <c r="J196" s="911">
        <v>74</v>
      </c>
      <c r="K196" s="892">
        <v>527</v>
      </c>
      <c r="L196" s="785">
        <v>981</v>
      </c>
      <c r="M196" s="785">
        <v>1889</v>
      </c>
      <c r="N196" s="23" t="str">
        <f>D196&amp;FIXED(MOD(F196,10),0)</f>
        <v>hh91</v>
      </c>
      <c r="O196" s="78" t="str">
        <f>MID(A$5,((FIND(N196,A$4,1)-1)+1),4)</f>
        <v>7edb</v>
      </c>
      <c r="P196" s="94" t="s">
        <v>0</v>
      </c>
      <c r="Q196" s="78" t="s">
        <v>0</v>
      </c>
      <c r="R196" s="103" t="s">
        <v>0</v>
      </c>
      <c r="S196" s="103" t="s">
        <v>0</v>
      </c>
      <c r="T196" s="42" t="s">
        <v>1</v>
      </c>
    </row>
    <row r="197" spans="1:20" ht="12.75">
      <c r="A197" s="44">
        <v>2273</v>
      </c>
      <c r="B197" s="886">
        <v>4546</v>
      </c>
      <c r="C197" s="886">
        <v>5166529</v>
      </c>
      <c r="D197" s="950" t="s">
        <v>2496</v>
      </c>
      <c r="E197" s="115">
        <f>B197-MOD(E$1-A197*3,B197)</f>
        <v>2855</v>
      </c>
      <c r="F197" s="644">
        <f>IF(MOD(E197,5)=0,B197,0)+E197</f>
        <v>7401</v>
      </c>
      <c r="G197" s="814">
        <f>IF(MOD(F197+$B197,5)=0,$B197,0)+$B197+F197</f>
        <v>11947</v>
      </c>
      <c r="H197" s="785">
        <f>IF(MOD(G197+$B197,5)=0,$B197,0)+$B197+G197</f>
        <v>16493</v>
      </c>
      <c r="I197" s="785">
        <f>IF(MOD(H197+$B197,5)=0,$B197,0)+$B197+H197</f>
        <v>21039</v>
      </c>
      <c r="J197" s="911">
        <v>740</v>
      </c>
      <c r="K197" s="892">
        <v>1194</v>
      </c>
      <c r="L197" s="785">
        <v>1649</v>
      </c>
      <c r="M197" s="785">
        <v>2103</v>
      </c>
      <c r="N197" s="23" t="str">
        <f>D197&amp;FIXED(MOD(F197,10),0)</f>
        <v>hh31</v>
      </c>
      <c r="O197" s="78" t="str">
        <f>MID(A$5,((FIND(N197,A$4,1)-1)+1),4)</f>
        <v>7dbe</v>
      </c>
      <c r="P197" s="94" t="s">
        <v>0</v>
      </c>
      <c r="Q197" s="78" t="s">
        <v>0</v>
      </c>
      <c r="R197" s="103" t="s">
        <v>0</v>
      </c>
      <c r="S197" s="103" t="s">
        <v>0</v>
      </c>
      <c r="T197" s="42" t="s">
        <v>1</v>
      </c>
    </row>
    <row r="198" spans="1:20" ht="12.75">
      <c r="A198" s="44">
        <v>2281</v>
      </c>
      <c r="B198" s="886">
        <v>4562</v>
      </c>
      <c r="C198" s="886">
        <v>5202961</v>
      </c>
      <c r="D198" s="950" t="s">
        <v>2490</v>
      </c>
      <c r="E198" s="115">
        <f>B198-MOD(E$1-A198*3,B198)</f>
        <v>2991</v>
      </c>
      <c r="F198" s="644">
        <f>IF(MOD(E198,5)=0,B198,0)+E198</f>
        <v>2991</v>
      </c>
      <c r="G198" s="814">
        <f>IF(MOD(F198+$B198,5)=0,$B198,0)+$B198+F198</f>
        <v>7553</v>
      </c>
      <c r="H198" s="785">
        <f>IF(MOD(G198+$B198,5)=0,$B198,0)+$B198+G198</f>
        <v>16677</v>
      </c>
      <c r="I198" s="785">
        <f>IF(MOD(H198+$B198,5)=0,$B198,0)+$B198+H198</f>
        <v>21239</v>
      </c>
      <c r="J198" s="911">
        <v>299</v>
      </c>
      <c r="K198" s="892">
        <v>755</v>
      </c>
      <c r="L198" s="785">
        <v>1667</v>
      </c>
      <c r="M198" s="785">
        <v>2123</v>
      </c>
      <c r="N198" s="23" t="str">
        <f>D198&amp;FIXED(MOD(F198,10),0)</f>
        <v>hh11</v>
      </c>
      <c r="O198" s="78" t="str">
        <f>MID(A$5,((FIND(N198,A$4,1)-1)+1),4)</f>
        <v>7bde</v>
      </c>
      <c r="P198" s="94" t="s">
        <v>0</v>
      </c>
      <c r="Q198" s="78" t="s">
        <v>0</v>
      </c>
      <c r="R198" s="103" t="s">
        <v>0</v>
      </c>
      <c r="S198" s="103" t="s">
        <v>0</v>
      </c>
      <c r="T198" s="42" t="s">
        <v>1</v>
      </c>
    </row>
    <row r="199" spans="1:20" ht="12.75">
      <c r="A199" s="44">
        <v>2287</v>
      </c>
      <c r="B199" s="886">
        <v>4574</v>
      </c>
      <c r="C199" s="886">
        <v>5230369</v>
      </c>
      <c r="D199" s="950" t="s">
        <v>2501</v>
      </c>
      <c r="E199" s="115">
        <f>B199-MOD(E$1-A199*3,B199)</f>
        <v>4395</v>
      </c>
      <c r="F199" s="644">
        <f>IF(MOD(E199,5)=0,B199,0)+E199</f>
        <v>8969</v>
      </c>
      <c r="G199" s="814">
        <f>IF(MOD(F199+$B199,5)=0,$B199,0)+$B199+F199</f>
        <v>13543</v>
      </c>
      <c r="H199" s="785">
        <f>IF(MOD(G199+$B199,5)=0,$B199,0)+$B199+G199</f>
        <v>18117</v>
      </c>
      <c r="I199" s="785">
        <f>IF(MOD(H199+$B199,5)=0,$B199,0)+$B199+H199</f>
        <v>22691</v>
      </c>
      <c r="J199" s="911">
        <v>896</v>
      </c>
      <c r="K199" s="892">
        <v>1354</v>
      </c>
      <c r="L199" s="785">
        <v>1811</v>
      </c>
      <c r="M199" s="785">
        <v>2269</v>
      </c>
      <c r="N199" s="23" t="str">
        <f>D199&amp;FIXED(MOD(F199,10),0)</f>
        <v>hh79</v>
      </c>
      <c r="O199" s="78" t="str">
        <f>MID(A$5,((FIND(N199,A$4,1)-1)+1),4)</f>
        <v>ebd7</v>
      </c>
      <c r="P199" s="94" t="s">
        <v>0</v>
      </c>
      <c r="Q199" s="78" t="s">
        <v>0</v>
      </c>
      <c r="R199" s="103" t="s">
        <v>0</v>
      </c>
      <c r="S199" s="103" t="s">
        <v>0</v>
      </c>
      <c r="T199" s="42" t="s">
        <v>1</v>
      </c>
    </row>
    <row r="200" spans="1:20" ht="12.75">
      <c r="A200" s="44">
        <v>2293</v>
      </c>
      <c r="B200" s="886">
        <v>4586</v>
      </c>
      <c r="C200" s="886">
        <v>5257849</v>
      </c>
      <c r="D200" s="950" t="s">
        <v>2496</v>
      </c>
      <c r="E200" s="115">
        <f>B200-MOD(E$1-A200*3,B200)</f>
        <v>1673</v>
      </c>
      <c r="F200" s="644">
        <f>IF(MOD(E200,5)=0,B200,0)+E200</f>
        <v>1673</v>
      </c>
      <c r="G200" s="814">
        <f>IF(MOD(F200+$B200,5)=0,$B200,0)+$B200+F200</f>
        <v>6259</v>
      </c>
      <c r="H200" s="785">
        <f>IF(MOD(G200+$B200,5)=0,$B200,0)+$B200+G200</f>
        <v>15431</v>
      </c>
      <c r="I200" s="785">
        <f>IF(MOD(H200+$B200,5)=0,$B200,0)+$B200+H200</f>
        <v>20017</v>
      </c>
      <c r="J200" s="911">
        <v>167</v>
      </c>
      <c r="K200" s="892">
        <v>625</v>
      </c>
      <c r="L200" s="785">
        <v>1543</v>
      </c>
      <c r="M200" s="785">
        <v>2001</v>
      </c>
      <c r="N200" s="23" t="str">
        <f>D200&amp;FIXED(MOD(F200,10),0)</f>
        <v>hh33</v>
      </c>
      <c r="O200" s="78" t="str">
        <f>MID(A$5,((FIND(N200,A$4,1)-1)+1),4)</f>
        <v>be7d</v>
      </c>
      <c r="P200" s="94" t="s">
        <v>0</v>
      </c>
      <c r="Q200" s="78" t="s">
        <v>0</v>
      </c>
      <c r="R200" s="103" t="s">
        <v>0</v>
      </c>
      <c r="S200" s="103" t="s">
        <v>0</v>
      </c>
      <c r="T200" s="42" t="s">
        <v>1</v>
      </c>
    </row>
    <row r="201" spans="1:20" ht="12.75">
      <c r="A201" s="44">
        <v>2297</v>
      </c>
      <c r="B201" s="886">
        <v>4594</v>
      </c>
      <c r="C201" s="886">
        <v>5276209</v>
      </c>
      <c r="D201" s="950" t="s">
        <v>2501</v>
      </c>
      <c r="E201" s="115">
        <f>B201-MOD(E$1-A201*3,B201)</f>
        <v>999</v>
      </c>
      <c r="F201" s="644">
        <f>IF(MOD(E201,5)=0,B201,0)+E201</f>
        <v>999</v>
      </c>
      <c r="G201" s="814">
        <f>IF(MOD(F201+$B201,5)=0,$B201,0)+$B201+F201</f>
        <v>5593</v>
      </c>
      <c r="H201" s="785">
        <f>IF(MOD(G201+$B201,5)=0,$B201,0)+$B201+G201</f>
        <v>10187</v>
      </c>
      <c r="I201" s="785">
        <f>IF(MOD(H201+$B201,5)=0,$B201,0)+$B201+H201</f>
        <v>14781</v>
      </c>
      <c r="J201" s="911">
        <v>99</v>
      </c>
      <c r="K201" s="892">
        <v>559</v>
      </c>
      <c r="L201" s="785">
        <v>1018</v>
      </c>
      <c r="M201" s="785">
        <v>1478</v>
      </c>
      <c r="N201" s="23" t="str">
        <f>D201&amp;FIXED(MOD(F201,10),0)</f>
        <v>hh79</v>
      </c>
      <c r="O201" s="78" t="str">
        <f>MID(A$5,((FIND(N201,A$4,1)-1)+1),4)</f>
        <v>ebd7</v>
      </c>
      <c r="P201" s="94" t="s">
        <v>0</v>
      </c>
      <c r="Q201" s="78" t="s">
        <v>0</v>
      </c>
      <c r="R201" s="103" t="s">
        <v>0</v>
      </c>
      <c r="S201" s="103" t="s">
        <v>0</v>
      </c>
      <c r="T201" s="42" t="s">
        <v>1</v>
      </c>
    </row>
    <row r="202" spans="1:20" ht="12.75">
      <c r="A202" s="44">
        <v>2309</v>
      </c>
      <c r="B202" s="886">
        <v>4618</v>
      </c>
      <c r="C202" s="886">
        <v>5331481</v>
      </c>
      <c r="D202" s="950" t="s">
        <v>2506</v>
      </c>
      <c r="E202" s="115">
        <f>B202-MOD(E$1-A202*3,B202)</f>
        <v>2951</v>
      </c>
      <c r="F202" s="644">
        <f>IF(MOD(E202,5)=0,B202,0)+E202</f>
        <v>2951</v>
      </c>
      <c r="G202" s="814">
        <f>IF(MOD(F202+$B202,5)=0,$B202,0)+$B202+F202</f>
        <v>7569</v>
      </c>
      <c r="H202" s="785">
        <f>IF(MOD(G202+$B202,5)=0,$B202,0)+$B202+G202</f>
        <v>12187</v>
      </c>
      <c r="I202" s="785">
        <f>IF(MOD(H202+$B202,5)=0,$B202,0)+$B202+H202</f>
        <v>21423</v>
      </c>
      <c r="J202" s="911">
        <v>295</v>
      </c>
      <c r="K202" s="892">
        <v>756</v>
      </c>
      <c r="L202" s="785">
        <v>1218</v>
      </c>
      <c r="M202" s="785">
        <v>2142</v>
      </c>
      <c r="N202" s="23" t="str">
        <f>D202&amp;FIXED(MOD(F202,10),0)</f>
        <v>hh91</v>
      </c>
      <c r="O202" s="78" t="str">
        <f>MID(A$5,((FIND(N202,A$4,1)-1)+1),4)</f>
        <v>7edb</v>
      </c>
      <c r="P202" s="94" t="s">
        <v>0</v>
      </c>
      <c r="Q202" s="78" t="s">
        <v>0</v>
      </c>
      <c r="R202" s="103" t="s">
        <v>0</v>
      </c>
      <c r="S202" s="103" t="s">
        <v>0</v>
      </c>
      <c r="T202" s="42" t="s">
        <v>1</v>
      </c>
    </row>
    <row r="203" spans="1:20" ht="12.75">
      <c r="A203" s="44">
        <v>2311</v>
      </c>
      <c r="B203" s="886">
        <v>4622</v>
      </c>
      <c r="C203" s="886">
        <v>5340721</v>
      </c>
      <c r="D203" s="950" t="s">
        <v>2490</v>
      </c>
      <c r="E203" s="115">
        <f>B203-MOD(E$1-A203*3,B203)</f>
        <v>2385</v>
      </c>
      <c r="F203" s="644">
        <f>IF(MOD(E203,5)=0,B203,0)+E203</f>
        <v>7007</v>
      </c>
      <c r="G203" s="814">
        <f>IF(MOD(F203+$B203,5)=0,$B203,0)+$B203+F203</f>
        <v>11629</v>
      </c>
      <c r="H203" s="785">
        <f>IF(MOD(G203+$B203,5)=0,$B203,0)+$B203+G203</f>
        <v>16251</v>
      </c>
      <c r="I203" s="785">
        <f>IF(MOD(H203+$B203,5)=0,$B203,0)+$B203+H203</f>
        <v>20873</v>
      </c>
      <c r="J203" s="911">
        <v>700</v>
      </c>
      <c r="K203" s="892">
        <v>1162</v>
      </c>
      <c r="L203" s="785">
        <v>1625</v>
      </c>
      <c r="M203" s="785">
        <v>2087</v>
      </c>
      <c r="N203" s="23" t="str">
        <f>D203&amp;FIXED(MOD(F203,10),0)</f>
        <v>hh17</v>
      </c>
      <c r="O203" s="78" t="str">
        <f>MID(A$5,((FIND(N203,A$4,1)-1)+1),4)</f>
        <v>de7b</v>
      </c>
      <c r="P203" s="94" t="s">
        <v>0</v>
      </c>
      <c r="Q203" s="78" t="s">
        <v>0</v>
      </c>
      <c r="R203" s="103" t="s">
        <v>0</v>
      </c>
      <c r="S203" s="103" t="s">
        <v>0</v>
      </c>
      <c r="T203" s="42" t="s">
        <v>1</v>
      </c>
    </row>
    <row r="204" spans="1:20" ht="12.75">
      <c r="A204" s="44">
        <v>2333</v>
      </c>
      <c r="B204" s="886">
        <v>4666</v>
      </c>
      <c r="C204" s="886">
        <v>5442889</v>
      </c>
      <c r="D204" s="950" t="s">
        <v>2496</v>
      </c>
      <c r="E204" s="115">
        <f>B204-MOD(E$1-A204*3,B204)</f>
        <v>2371</v>
      </c>
      <c r="F204" s="644">
        <f>IF(MOD(E204,5)=0,B204,0)+E204</f>
        <v>2371</v>
      </c>
      <c r="G204" s="814">
        <f>IF(MOD(F204+$B204,5)=0,$B204,0)+$B204+F204</f>
        <v>7037</v>
      </c>
      <c r="H204" s="785">
        <f>IF(MOD(G204+$B204,5)=0,$B204,0)+$B204+G204</f>
        <v>11703</v>
      </c>
      <c r="I204" s="785">
        <f>IF(MOD(H204+$B204,5)=0,$B204,0)+$B204+H204</f>
        <v>16369</v>
      </c>
      <c r="J204" s="911">
        <v>237</v>
      </c>
      <c r="K204" s="892">
        <v>703</v>
      </c>
      <c r="L204" s="785">
        <v>1170</v>
      </c>
      <c r="M204" s="785">
        <v>1636</v>
      </c>
      <c r="N204" s="23" t="str">
        <f>D204&amp;FIXED(MOD(F204,10),0)</f>
        <v>hh31</v>
      </c>
      <c r="O204" s="78" t="str">
        <f>MID(A$5,((FIND(N204,A$4,1)-1)+1),4)</f>
        <v>7dbe</v>
      </c>
      <c r="P204" s="94" t="s">
        <v>0</v>
      </c>
      <c r="Q204" s="78" t="s">
        <v>0</v>
      </c>
      <c r="R204" s="103" t="s">
        <v>0</v>
      </c>
      <c r="S204" s="103" t="s">
        <v>0</v>
      </c>
      <c r="T204" s="42" t="s">
        <v>1</v>
      </c>
    </row>
    <row r="205" spans="1:20" ht="12.75">
      <c r="A205" s="44">
        <v>2339</v>
      </c>
      <c r="B205" s="886">
        <v>4678</v>
      </c>
      <c r="C205" s="886">
        <v>5470921</v>
      </c>
      <c r="D205" s="950" t="s">
        <v>2506</v>
      </c>
      <c r="E205" s="115">
        <f>B205-MOD(E$1-A205*3,B205)</f>
        <v>1803</v>
      </c>
      <c r="F205" s="644">
        <f>IF(MOD(E205,5)=0,B205,0)+E205</f>
        <v>1803</v>
      </c>
      <c r="G205" s="814">
        <f>IF(MOD(F205+$B205,5)=0,$B205,0)+$B205+F205</f>
        <v>6481</v>
      </c>
      <c r="H205" s="785">
        <f>IF(MOD(G205+$B205,5)=0,$B205,0)+$B205+G205</f>
        <v>11159</v>
      </c>
      <c r="I205" s="785">
        <f>IF(MOD(H205+$B205,5)=0,$B205,0)+$B205+H205</f>
        <v>15837</v>
      </c>
      <c r="J205" s="911">
        <v>180</v>
      </c>
      <c r="K205" s="892">
        <v>648</v>
      </c>
      <c r="L205" s="785">
        <v>1115</v>
      </c>
      <c r="M205" s="785">
        <v>1583</v>
      </c>
      <c r="N205" s="23" t="str">
        <f>D205&amp;FIXED(MOD(F205,10),0)</f>
        <v>hh93</v>
      </c>
      <c r="O205" s="78" t="str">
        <f>MID(A$5,((FIND(N205,A$4,1)-1)+1),4)</f>
        <v>b7ed</v>
      </c>
      <c r="P205" s="94" t="s">
        <v>0</v>
      </c>
      <c r="Q205" s="78" t="s">
        <v>0</v>
      </c>
      <c r="R205" s="103" t="s">
        <v>0</v>
      </c>
      <c r="S205" s="103" t="s">
        <v>0</v>
      </c>
      <c r="T205" s="42" t="s">
        <v>1</v>
      </c>
    </row>
    <row r="206" spans="1:20" ht="12.75">
      <c r="A206" s="44">
        <v>2341</v>
      </c>
      <c r="B206" s="886">
        <v>4682</v>
      </c>
      <c r="C206" s="886">
        <v>5480281</v>
      </c>
      <c r="D206" s="950" t="s">
        <v>2490</v>
      </c>
      <c r="E206" s="115">
        <f>B206-MOD(E$1-A206*3,B206)</f>
        <v>3431</v>
      </c>
      <c r="F206" s="644">
        <f>IF(MOD(E206,5)=0,B206,0)+E206</f>
        <v>3431</v>
      </c>
      <c r="G206" s="814">
        <f>IF(MOD(F206+$B206,5)=0,$B206,0)+$B206+F206</f>
        <v>8113</v>
      </c>
      <c r="H206" s="785">
        <f>IF(MOD(G206+$B206,5)=0,$B206,0)+$B206+G206</f>
        <v>17477</v>
      </c>
      <c r="I206" s="785">
        <f>IF(MOD(H206+$B206,5)=0,$B206,0)+$B206+H206</f>
        <v>22159</v>
      </c>
      <c r="J206" s="911">
        <v>343</v>
      </c>
      <c r="K206" s="892">
        <v>811</v>
      </c>
      <c r="L206" s="785">
        <v>1747</v>
      </c>
      <c r="M206" s="785">
        <v>2215</v>
      </c>
      <c r="N206" s="23" t="str">
        <f>D206&amp;FIXED(MOD(F206,10),0)</f>
        <v>hh11</v>
      </c>
      <c r="O206" s="78" t="str">
        <f>MID(A$5,((FIND(N206,A$4,1)-1)+1),4)</f>
        <v>7bde</v>
      </c>
      <c r="P206" s="94" t="s">
        <v>0</v>
      </c>
      <c r="Q206" s="78" t="s">
        <v>0</v>
      </c>
      <c r="R206" s="103" t="s">
        <v>0</v>
      </c>
      <c r="S206" s="103" t="s">
        <v>0</v>
      </c>
      <c r="T206" s="42" t="s">
        <v>1</v>
      </c>
    </row>
    <row r="207" spans="1:20" ht="12.75">
      <c r="A207" s="44">
        <v>2347</v>
      </c>
      <c r="B207" s="886">
        <v>4694</v>
      </c>
      <c r="C207" s="886">
        <v>5508409</v>
      </c>
      <c r="D207" s="950" t="s">
        <v>2501</v>
      </c>
      <c r="E207" s="115">
        <f>B207-MOD(E$1-A207*3,B207)</f>
        <v>3049</v>
      </c>
      <c r="F207" s="644">
        <f>IF(MOD(E207,5)=0,B207,0)+E207</f>
        <v>3049</v>
      </c>
      <c r="G207" s="814">
        <f>IF(MOD(F207+$B207,5)=0,$B207,0)+$B207+F207</f>
        <v>7743</v>
      </c>
      <c r="H207" s="785">
        <f>IF(MOD(G207+$B207,5)=0,$B207,0)+$B207+G207</f>
        <v>12437</v>
      </c>
      <c r="I207" s="785">
        <f>IF(MOD(H207+$B207,5)=0,$B207,0)+$B207+H207</f>
        <v>17131</v>
      </c>
      <c r="J207" s="911">
        <v>304</v>
      </c>
      <c r="K207" s="892">
        <v>774</v>
      </c>
      <c r="L207" s="785">
        <v>1243</v>
      </c>
      <c r="M207" s="785">
        <v>1713</v>
      </c>
      <c r="N207" s="23" t="str">
        <f>D207&amp;FIXED(MOD(F207,10),0)</f>
        <v>hh79</v>
      </c>
      <c r="O207" s="78" t="str">
        <f>MID(A$5,((FIND(N207,A$4,1)-1)+1),4)</f>
        <v>ebd7</v>
      </c>
      <c r="P207" s="94" t="s">
        <v>0</v>
      </c>
      <c r="Q207" s="78" t="s">
        <v>0</v>
      </c>
      <c r="R207" s="103" t="s">
        <v>0</v>
      </c>
      <c r="S207" s="103" t="s">
        <v>0</v>
      </c>
      <c r="T207" s="42" t="s">
        <v>1</v>
      </c>
    </row>
    <row r="208" spans="1:20" ht="12.75">
      <c r="A208" s="44">
        <v>2351</v>
      </c>
      <c r="B208" s="886">
        <v>4702</v>
      </c>
      <c r="C208" s="886">
        <v>5527201</v>
      </c>
      <c r="D208" s="950" t="s">
        <v>2490</v>
      </c>
      <c r="E208" s="115">
        <f>B208-MOD(E$1-A208*3,B208)</f>
        <v>4289</v>
      </c>
      <c r="F208" s="644">
        <f>IF(MOD(E208,5)=0,B208,0)+E208</f>
        <v>4289</v>
      </c>
      <c r="G208" s="814">
        <f>IF(MOD(F208+$B208,5)=0,$B208,0)+$B208+F208</f>
        <v>8991</v>
      </c>
      <c r="H208" s="785">
        <f>IF(MOD(G208+$B208,5)=0,$B208,0)+$B208+G208</f>
        <v>13693</v>
      </c>
      <c r="I208" s="785">
        <f>IF(MOD(H208+$B208,5)=0,$B208,0)+$B208+H208</f>
        <v>23097</v>
      </c>
      <c r="J208" s="911">
        <v>428</v>
      </c>
      <c r="K208" s="892">
        <v>899</v>
      </c>
      <c r="L208" s="785">
        <v>1369</v>
      </c>
      <c r="M208" s="785">
        <v>2309</v>
      </c>
      <c r="N208" s="23" t="str">
        <f>D208&amp;FIXED(MOD(F208,10),0)</f>
        <v>hh19</v>
      </c>
      <c r="O208" s="78" t="str">
        <f>MID(A$5,((FIND(N208,A$4,1)-1)+1),4)</f>
        <v>e7bd</v>
      </c>
      <c r="P208" s="94" t="s">
        <v>0</v>
      </c>
      <c r="Q208" s="78" t="s">
        <v>0</v>
      </c>
      <c r="R208" s="103" t="s">
        <v>0</v>
      </c>
      <c r="S208" s="103" t="s">
        <v>0</v>
      </c>
      <c r="T208" s="42" t="s">
        <v>1</v>
      </c>
    </row>
    <row r="209" spans="1:20" ht="12.75">
      <c r="A209" s="44">
        <v>2357</v>
      </c>
      <c r="B209" s="886">
        <v>4714</v>
      </c>
      <c r="C209" s="886">
        <v>5555449</v>
      </c>
      <c r="D209" s="950" t="s">
        <v>2501</v>
      </c>
      <c r="E209" s="115">
        <f>B209-MOD(E$1-A209*3,B209)</f>
        <v>1049</v>
      </c>
      <c r="F209" s="644">
        <f>IF(MOD(E209,5)=0,B209,0)+E209</f>
        <v>1049</v>
      </c>
      <c r="G209" s="814">
        <f>IF(MOD(F209+$B209,5)=0,$B209,0)+$B209+F209</f>
        <v>5763</v>
      </c>
      <c r="H209" s="785">
        <f>IF(MOD(G209+$B209,5)=0,$B209,0)+$B209+G209</f>
        <v>10477</v>
      </c>
      <c r="I209" s="785">
        <f>IF(MOD(H209+$B209,5)=0,$B209,0)+$B209+H209</f>
        <v>15191</v>
      </c>
      <c r="J209" s="911">
        <v>104</v>
      </c>
      <c r="K209" s="892">
        <v>576</v>
      </c>
      <c r="L209" s="785">
        <v>1047</v>
      </c>
      <c r="M209" s="785">
        <v>1519</v>
      </c>
      <c r="N209" s="23" t="str">
        <f>D209&amp;FIXED(MOD(F209,10),0)</f>
        <v>hh79</v>
      </c>
      <c r="O209" s="78" t="str">
        <f>MID(A$5,((FIND(N209,A$4,1)-1)+1),4)</f>
        <v>ebd7</v>
      </c>
      <c r="P209" s="94" t="s">
        <v>0</v>
      </c>
      <c r="Q209" s="78" t="s">
        <v>0</v>
      </c>
      <c r="R209" s="103" t="s">
        <v>0</v>
      </c>
      <c r="S209" s="103" t="s">
        <v>0</v>
      </c>
      <c r="T209" s="42" t="s">
        <v>1</v>
      </c>
    </row>
    <row r="210" spans="1:20" ht="12.75">
      <c r="A210" s="44">
        <v>2371</v>
      </c>
      <c r="B210" s="886">
        <v>4742</v>
      </c>
      <c r="C210" s="886">
        <v>5621641</v>
      </c>
      <c r="D210" s="950" t="s">
        <v>2490</v>
      </c>
      <c r="E210" s="115">
        <f>B210-MOD(E$1-A210*3,B210)</f>
        <v>3773</v>
      </c>
      <c r="F210" s="644">
        <f>IF(MOD(E210,5)=0,B210,0)+E210</f>
        <v>3773</v>
      </c>
      <c r="G210" s="814">
        <f>IF(MOD(F210+$B210,5)=0,$B210,0)+$B210+F210</f>
        <v>13257</v>
      </c>
      <c r="H210" s="785">
        <f>IF(MOD(G210+$B210,5)=0,$B210,0)+$B210+G210</f>
        <v>17999</v>
      </c>
      <c r="I210" s="785">
        <f>IF(MOD(H210+$B210,5)=0,$B210,0)+$B210+H210</f>
        <v>22741</v>
      </c>
      <c r="J210" s="911">
        <v>377</v>
      </c>
      <c r="K210" s="892">
        <v>1325</v>
      </c>
      <c r="L210" s="785">
        <v>1799</v>
      </c>
      <c r="M210" s="785">
        <v>2274</v>
      </c>
      <c r="N210" s="23" t="str">
        <f>D210&amp;FIXED(MOD(F210,10),0)</f>
        <v>hh13</v>
      </c>
      <c r="O210" s="78" t="str">
        <f>MID(A$5,((FIND(N210,A$4,1)-1)+1),4)</f>
        <v>bde7</v>
      </c>
      <c r="P210" s="94" t="s">
        <v>0</v>
      </c>
      <c r="Q210" s="78" t="s">
        <v>0</v>
      </c>
      <c r="R210" s="103" t="s">
        <v>0</v>
      </c>
      <c r="S210" s="103" t="s">
        <v>0</v>
      </c>
      <c r="T210" s="42" t="s">
        <v>1</v>
      </c>
    </row>
    <row r="211" spans="1:20" ht="12.75">
      <c r="A211" s="44">
        <v>2377</v>
      </c>
      <c r="B211" s="886">
        <v>4754</v>
      </c>
      <c r="C211" s="886">
        <v>5650129</v>
      </c>
      <c r="D211" s="950" t="s">
        <v>2501</v>
      </c>
      <c r="E211" s="115">
        <f>B211-MOD(E$1-A211*3,B211)</f>
        <v>2843</v>
      </c>
      <c r="F211" s="644">
        <f>IF(MOD(E211,5)=0,B211,0)+E211</f>
        <v>2843</v>
      </c>
      <c r="G211" s="814">
        <f>IF(MOD(F211+$B211,5)=0,$B211,0)+$B211+F211</f>
        <v>7597</v>
      </c>
      <c r="H211" s="785">
        <f>IF(MOD(G211+$B211,5)=0,$B211,0)+$B211+G211</f>
        <v>12351</v>
      </c>
      <c r="I211" s="785">
        <f>IF(MOD(H211+$B211,5)=0,$B211,0)+$B211+H211</f>
        <v>21859</v>
      </c>
      <c r="J211" s="911">
        <v>284</v>
      </c>
      <c r="K211" s="892">
        <v>759</v>
      </c>
      <c r="L211" s="785">
        <v>1235</v>
      </c>
      <c r="M211" s="785">
        <v>2185</v>
      </c>
      <c r="N211" s="23" t="str">
        <f>D211&amp;FIXED(MOD(F211,10),0)</f>
        <v>hh73</v>
      </c>
      <c r="O211" s="78" t="str">
        <f>MID(A$5,((FIND(N211,A$4,1)-1)+1),4)</f>
        <v>bd7e</v>
      </c>
      <c r="P211" s="94" t="s">
        <v>0</v>
      </c>
      <c r="Q211" s="78" t="s">
        <v>0</v>
      </c>
      <c r="R211" s="103" t="s">
        <v>0</v>
      </c>
      <c r="S211" s="103" t="s">
        <v>0</v>
      </c>
      <c r="T211" s="42" t="s">
        <v>1</v>
      </c>
    </row>
    <row r="212" spans="1:20" ht="12.75">
      <c r="A212" s="44">
        <v>2381</v>
      </c>
      <c r="B212" s="886">
        <v>4762</v>
      </c>
      <c r="C212" s="886">
        <v>5669161</v>
      </c>
      <c r="D212" s="950" t="s">
        <v>2490</v>
      </c>
      <c r="E212" s="115">
        <f>B212-MOD(E$1-A212*3,B212)</f>
        <v>567</v>
      </c>
      <c r="F212" s="644">
        <f>IF(MOD(E212,5)=0,B212,0)+E212</f>
        <v>567</v>
      </c>
      <c r="G212" s="814">
        <f>IF(MOD(F212+$B212,5)=0,$B212,0)+$B212+F212</f>
        <v>5329</v>
      </c>
      <c r="H212" s="785">
        <f>IF(MOD(G212+$B212,5)=0,$B212,0)+$B212+G212</f>
        <v>10091</v>
      </c>
      <c r="I212" s="785">
        <f>IF(MOD(H212+$B212,5)=0,$B212,0)+$B212+H212</f>
        <v>14853</v>
      </c>
      <c r="J212" s="911">
        <v>56</v>
      </c>
      <c r="K212" s="892">
        <v>532</v>
      </c>
      <c r="L212" s="785">
        <v>1009</v>
      </c>
      <c r="M212" s="785">
        <v>1485</v>
      </c>
      <c r="N212" s="23" t="str">
        <f>D212&amp;FIXED(MOD(F212,10),0)</f>
        <v>hh17</v>
      </c>
      <c r="O212" s="78" t="str">
        <f>MID(A$5,((FIND(N212,A$4,1)-1)+1),4)</f>
        <v>de7b</v>
      </c>
      <c r="P212" s="94" t="s">
        <v>0</v>
      </c>
      <c r="Q212" s="78" t="s">
        <v>0</v>
      </c>
      <c r="R212" s="103" t="s">
        <v>0</v>
      </c>
      <c r="S212" s="103" t="s">
        <v>0</v>
      </c>
      <c r="T212" s="42" t="s">
        <v>1</v>
      </c>
    </row>
    <row r="213" spans="1:20" ht="12.75">
      <c r="A213" s="44">
        <v>2383</v>
      </c>
      <c r="B213" s="886">
        <v>4766</v>
      </c>
      <c r="C213" s="886">
        <v>5678689</v>
      </c>
      <c r="D213" s="950" t="s">
        <v>2496</v>
      </c>
      <c r="E213" s="115">
        <f>B213-MOD(E$1-A213*3,B213)</f>
        <v>2495</v>
      </c>
      <c r="F213" s="644">
        <f>IF(MOD(E213,5)=0,B213,0)+E213</f>
        <v>7261</v>
      </c>
      <c r="G213" s="814">
        <f>IF(MOD(F213+$B213,5)=0,$B213,0)+$B213+F213</f>
        <v>12027</v>
      </c>
      <c r="H213" s="785">
        <f>IF(MOD(G213+$B213,5)=0,$B213,0)+$B213+G213</f>
        <v>16793</v>
      </c>
      <c r="I213" s="785">
        <f>IF(MOD(H213+$B213,5)=0,$B213,0)+$B213+H213</f>
        <v>21559</v>
      </c>
      <c r="J213" s="911">
        <v>726</v>
      </c>
      <c r="K213" s="892">
        <v>1202</v>
      </c>
      <c r="L213" s="785">
        <v>1679</v>
      </c>
      <c r="M213" s="785">
        <v>2155</v>
      </c>
      <c r="N213" s="23" t="str">
        <f>D213&amp;FIXED(MOD(F213,10),0)</f>
        <v>hh31</v>
      </c>
      <c r="O213" s="78" t="str">
        <f>MID(A$5,((FIND(N213,A$4,1)-1)+1),4)</f>
        <v>7dbe</v>
      </c>
      <c r="P213" s="94" t="s">
        <v>0</v>
      </c>
      <c r="Q213" s="78" t="s">
        <v>0</v>
      </c>
      <c r="R213" s="103" t="s">
        <v>0</v>
      </c>
      <c r="S213" s="103" t="s">
        <v>0</v>
      </c>
      <c r="T213" s="42" t="s">
        <v>1</v>
      </c>
    </row>
    <row r="214" spans="1:20" ht="12.75">
      <c r="A214" s="44">
        <v>2389</v>
      </c>
      <c r="B214" s="886">
        <v>4778</v>
      </c>
      <c r="C214" s="886">
        <v>5707321</v>
      </c>
      <c r="D214" s="950" t="s">
        <v>2506</v>
      </c>
      <c r="E214" s="115">
        <f>B214-MOD(E$1-A214*3,B214)</f>
        <v>3173</v>
      </c>
      <c r="F214" s="644">
        <f>IF(MOD(E214,5)=0,B214,0)+E214</f>
        <v>3173</v>
      </c>
      <c r="G214" s="814">
        <f>IF(MOD(F214+$B214,5)=0,$B214,0)+$B214+F214</f>
        <v>7951</v>
      </c>
      <c r="H214" s="785">
        <f>IF(MOD(G214+$B214,5)=0,$B214,0)+$B214+G214</f>
        <v>12729</v>
      </c>
      <c r="I214" s="785">
        <f>IF(MOD(H214+$B214,5)=0,$B214,0)+$B214+H214</f>
        <v>17507</v>
      </c>
      <c r="J214" s="911">
        <v>317</v>
      </c>
      <c r="K214" s="892">
        <v>795</v>
      </c>
      <c r="L214" s="785">
        <v>1272</v>
      </c>
      <c r="M214" s="785">
        <v>1750</v>
      </c>
      <c r="N214" s="23" t="str">
        <f>D214&amp;FIXED(MOD(F214,10),0)</f>
        <v>hh93</v>
      </c>
      <c r="O214" s="78" t="str">
        <f>MID(A$5,((FIND(N214,A$4,1)-1)+1),4)</f>
        <v>b7ed</v>
      </c>
      <c r="P214" s="94" t="s">
        <v>0</v>
      </c>
      <c r="Q214" s="78" t="s">
        <v>0</v>
      </c>
      <c r="R214" s="103" t="s">
        <v>0</v>
      </c>
      <c r="S214" s="103" t="s">
        <v>0</v>
      </c>
      <c r="T214" s="42" t="s">
        <v>1</v>
      </c>
    </row>
    <row r="215" spans="1:20" ht="12.75">
      <c r="A215" s="44">
        <v>2393</v>
      </c>
      <c r="B215" s="886">
        <v>4786</v>
      </c>
      <c r="C215" s="886">
        <v>5726449</v>
      </c>
      <c r="D215" s="950" t="s">
        <v>2496</v>
      </c>
      <c r="E215" s="115">
        <f>B215-MOD(E$1-A215*3,B215)</f>
        <v>3799</v>
      </c>
      <c r="F215" s="644">
        <f>IF(MOD(E215,5)=0,B215,0)+E215</f>
        <v>3799</v>
      </c>
      <c r="G215" s="814">
        <f>IF(MOD(F215+$B215,5)=0,$B215,0)+$B215+F215</f>
        <v>13371</v>
      </c>
      <c r="H215" s="785">
        <f>IF(MOD(G215+$B215,5)=0,$B215,0)+$B215+G215</f>
        <v>18157</v>
      </c>
      <c r="I215" s="785">
        <f>IF(MOD(H215+$B215,5)=0,$B215,0)+$B215+H215</f>
        <v>22943</v>
      </c>
      <c r="J215" s="911">
        <v>379</v>
      </c>
      <c r="K215" s="892">
        <v>1337</v>
      </c>
      <c r="L215" s="785">
        <v>1815</v>
      </c>
      <c r="M215" s="785">
        <v>2294</v>
      </c>
      <c r="N215" s="23" t="str">
        <f>D215&amp;FIXED(MOD(F215,10),0)</f>
        <v>hh39</v>
      </c>
      <c r="O215" s="78" t="str">
        <f>MID(A$5,((FIND(N215,A$4,1)-1)+1),4)</f>
        <v>e7db</v>
      </c>
      <c r="P215" s="94" t="s">
        <v>0</v>
      </c>
      <c r="Q215" s="78" t="s">
        <v>0</v>
      </c>
      <c r="R215" s="103" t="s">
        <v>0</v>
      </c>
      <c r="S215" s="103" t="s">
        <v>0</v>
      </c>
      <c r="T215" s="42" t="s">
        <v>1</v>
      </c>
    </row>
    <row r="216" spans="1:20" ht="12.75">
      <c r="A216" s="44">
        <v>2399</v>
      </c>
      <c r="B216" s="886">
        <v>4798</v>
      </c>
      <c r="C216" s="886">
        <v>5755201</v>
      </c>
      <c r="D216" s="950" t="s">
        <v>2506</v>
      </c>
      <c r="E216" s="115">
        <f>B216-MOD(E$1-A216*3,B216)</f>
        <v>4009</v>
      </c>
      <c r="F216" s="644">
        <f>IF(MOD(E216,5)=0,B216,0)+E216</f>
        <v>4009</v>
      </c>
      <c r="G216" s="814">
        <f>IF(MOD(F216+$B216,5)=0,$B216,0)+$B216+F216</f>
        <v>8807</v>
      </c>
      <c r="H216" s="785">
        <f>IF(MOD(G216+$B216,5)=0,$B216,0)+$B216+G216</f>
        <v>18403</v>
      </c>
      <c r="I216" s="785">
        <f>IF(MOD(H216+$B216,5)=0,$B216,0)+$B216+H216</f>
        <v>23201</v>
      </c>
      <c r="J216" s="911">
        <v>400</v>
      </c>
      <c r="K216" s="892">
        <v>880</v>
      </c>
      <c r="L216" s="785">
        <v>1840</v>
      </c>
      <c r="M216" s="785">
        <v>2320</v>
      </c>
      <c r="N216" s="23" t="str">
        <f>D216&amp;FIXED(MOD(F216,10),0)</f>
        <v>hh99</v>
      </c>
      <c r="O216" s="78" t="str">
        <f>MID(A$5,((FIND(N216,A$4,1)-1)+1),4)</f>
        <v>edb7</v>
      </c>
      <c r="P216" s="94" t="s">
        <v>0</v>
      </c>
      <c r="Q216" s="78" t="s">
        <v>0</v>
      </c>
      <c r="R216" s="103" t="s">
        <v>0</v>
      </c>
      <c r="S216" s="103" t="s">
        <v>0</v>
      </c>
      <c r="T216" s="42" t="s">
        <v>1</v>
      </c>
    </row>
    <row r="217" spans="1:20" ht="12.75">
      <c r="A217" s="44">
        <v>2411</v>
      </c>
      <c r="B217" s="886">
        <v>4822</v>
      </c>
      <c r="C217" s="886">
        <v>5812921</v>
      </c>
      <c r="D217" s="950" t="s">
        <v>2490</v>
      </c>
      <c r="E217" s="115">
        <f>B217-MOD(E$1-A217*3,B217)</f>
        <v>919</v>
      </c>
      <c r="F217" s="644">
        <f>IF(MOD(E217,5)=0,B217,0)+E217</f>
        <v>919</v>
      </c>
      <c r="G217" s="814">
        <f>IF(MOD(F217+$B217,5)=0,$B217,0)+$B217+F217</f>
        <v>5741</v>
      </c>
      <c r="H217" s="785">
        <f>IF(MOD(G217+$B217,5)=0,$B217,0)+$B217+G217</f>
        <v>10563</v>
      </c>
      <c r="I217" s="785">
        <f>IF(MOD(H217+$B217,5)=0,$B217,0)+$B217+H217</f>
        <v>20207</v>
      </c>
      <c r="J217" s="911">
        <v>91</v>
      </c>
      <c r="K217" s="892">
        <v>574</v>
      </c>
      <c r="L217" s="785">
        <v>1056</v>
      </c>
      <c r="M217" s="785">
        <v>2020</v>
      </c>
      <c r="N217" s="23" t="str">
        <f>D217&amp;FIXED(MOD(F217,10),0)</f>
        <v>hh19</v>
      </c>
      <c r="O217" s="78" t="str">
        <f>MID(A$5,((FIND(N217,A$4,1)-1)+1),4)</f>
        <v>e7bd</v>
      </c>
      <c r="P217" s="94" t="s">
        <v>0</v>
      </c>
      <c r="Q217" s="78" t="s">
        <v>0</v>
      </c>
      <c r="R217" s="103" t="s">
        <v>0</v>
      </c>
      <c r="S217" s="103" t="s">
        <v>0</v>
      </c>
      <c r="T217" s="42" t="s">
        <v>1</v>
      </c>
    </row>
    <row r="218" spans="1:20" ht="12.75">
      <c r="A218" s="44">
        <v>2417</v>
      </c>
      <c r="B218" s="886">
        <v>4834</v>
      </c>
      <c r="C218" s="886">
        <v>5841889</v>
      </c>
      <c r="D218" s="950" t="s">
        <v>2501</v>
      </c>
      <c r="E218" s="115">
        <f>B218-MOD(E$1-A218*3,B218)</f>
        <v>3375</v>
      </c>
      <c r="F218" s="644">
        <f>IF(MOD(E218,5)=0,B218,0)+E218</f>
        <v>8209</v>
      </c>
      <c r="G218" s="814">
        <f>IF(MOD(F218+$B218,5)=0,$B218,0)+$B218+F218</f>
        <v>13043</v>
      </c>
      <c r="H218" s="785">
        <f>IF(MOD(G218+$B218,5)=0,$B218,0)+$B218+G218</f>
        <v>17877</v>
      </c>
      <c r="I218" s="785">
        <f>IF(MOD(H218+$B218,5)=0,$B218,0)+$B218+H218</f>
        <v>22711</v>
      </c>
      <c r="J218" s="911">
        <v>820</v>
      </c>
      <c r="K218" s="892">
        <v>1304</v>
      </c>
      <c r="L218" s="785">
        <v>1787</v>
      </c>
      <c r="M218" s="785">
        <v>2271</v>
      </c>
      <c r="N218" s="23" t="str">
        <f>D218&amp;FIXED(MOD(F218,10),0)</f>
        <v>hh79</v>
      </c>
      <c r="O218" s="78" t="str">
        <f>MID(A$5,((FIND(N218,A$4,1)-1)+1),4)</f>
        <v>ebd7</v>
      </c>
      <c r="P218" s="94" t="s">
        <v>0</v>
      </c>
      <c r="Q218" s="78" t="s">
        <v>0</v>
      </c>
      <c r="R218" s="103" t="s">
        <v>0</v>
      </c>
      <c r="S218" s="103" t="s">
        <v>0</v>
      </c>
      <c r="T218" s="42" t="s">
        <v>1</v>
      </c>
    </row>
    <row r="219" spans="1:20" ht="12.75">
      <c r="A219" s="44">
        <v>2423</v>
      </c>
      <c r="B219" s="886">
        <v>4846</v>
      </c>
      <c r="C219" s="886">
        <v>5870929</v>
      </c>
      <c r="D219" s="950" t="s">
        <v>2496</v>
      </c>
      <c r="E219" s="115">
        <f>B219-MOD(E$1-A219*3,B219)</f>
        <v>3379</v>
      </c>
      <c r="F219" s="644">
        <f>IF(MOD(E219,5)=0,B219,0)+E219</f>
        <v>3379</v>
      </c>
      <c r="G219" s="814">
        <f>IF(MOD(F219+$B219,5)=0,$B219,0)+$B219+F219</f>
        <v>13071</v>
      </c>
      <c r="H219" s="785">
        <f>IF(MOD(G219+$B219,5)=0,$B219,0)+$B219+G219</f>
        <v>17917</v>
      </c>
      <c r="I219" s="785">
        <f>IF(MOD(H219+$B219,5)=0,$B219,0)+$B219+H219</f>
        <v>22763</v>
      </c>
      <c r="J219" s="911">
        <v>337</v>
      </c>
      <c r="K219" s="892">
        <v>1307</v>
      </c>
      <c r="L219" s="785">
        <v>1791</v>
      </c>
      <c r="M219" s="785">
        <v>2276</v>
      </c>
      <c r="N219" s="23" t="str">
        <f>D219&amp;FIXED(MOD(F219,10),0)</f>
        <v>hh39</v>
      </c>
      <c r="O219" s="78" t="str">
        <f>MID(A$5,((FIND(N219,A$4,1)-1)+1),4)</f>
        <v>e7db</v>
      </c>
      <c r="P219" s="94" t="s">
        <v>0</v>
      </c>
      <c r="Q219" s="78" t="s">
        <v>0</v>
      </c>
      <c r="R219" s="103" t="s">
        <v>0</v>
      </c>
      <c r="S219" s="103" t="s">
        <v>0</v>
      </c>
      <c r="T219" s="42" t="s">
        <v>1</v>
      </c>
    </row>
    <row r="220" spans="1:20" ht="12.75">
      <c r="A220" s="44">
        <v>2437</v>
      </c>
      <c r="B220" s="886">
        <v>4874</v>
      </c>
      <c r="C220" s="886">
        <v>5938969</v>
      </c>
      <c r="D220" s="950" t="s">
        <v>2501</v>
      </c>
      <c r="E220" s="115">
        <f>B220-MOD(E$1-A220*3,B220)</f>
        <v>1339</v>
      </c>
      <c r="F220" s="644">
        <f>IF(MOD(E220,5)=0,B220,0)+E220</f>
        <v>1339</v>
      </c>
      <c r="G220" s="814">
        <f>IF(MOD(F220+$B220,5)=0,$B220,0)+$B220+F220</f>
        <v>6213</v>
      </c>
      <c r="H220" s="785">
        <f>IF(MOD(G220+$B220,5)=0,$B220,0)+$B220+G220</f>
        <v>11087</v>
      </c>
      <c r="I220" s="785">
        <f>IF(MOD(H220+$B220,5)=0,$B220,0)+$B220+H220</f>
        <v>15961</v>
      </c>
      <c r="J220" s="911">
        <v>133</v>
      </c>
      <c r="K220" s="892">
        <v>621</v>
      </c>
      <c r="L220" s="785">
        <v>1108</v>
      </c>
      <c r="M220" s="785">
        <v>1596</v>
      </c>
      <c r="N220" s="23" t="str">
        <f>D220&amp;FIXED(MOD(F220,10),0)</f>
        <v>hh79</v>
      </c>
      <c r="O220" s="78" t="str">
        <f>MID(A$5,((FIND(N220,A$4,1)-1)+1),4)</f>
        <v>ebd7</v>
      </c>
      <c r="P220" s="94" t="s">
        <v>0</v>
      </c>
      <c r="Q220" s="78" t="s">
        <v>0</v>
      </c>
      <c r="R220" s="103" t="s">
        <v>0</v>
      </c>
      <c r="S220" s="103" t="s">
        <v>0</v>
      </c>
      <c r="T220" s="42" t="s">
        <v>1</v>
      </c>
    </row>
    <row r="221" spans="1:20" ht="12.75">
      <c r="A221" s="44">
        <v>2441</v>
      </c>
      <c r="B221" s="886">
        <v>4882</v>
      </c>
      <c r="C221" s="886">
        <v>5958481</v>
      </c>
      <c r="D221" s="950" t="s">
        <v>2490</v>
      </c>
      <c r="E221" s="115">
        <f>B221-MOD(E$1-A221*3,B221)</f>
        <v>1019</v>
      </c>
      <c r="F221" s="644">
        <f>IF(MOD(E221,5)=0,B221,0)+E221</f>
        <v>1019</v>
      </c>
      <c r="G221" s="814">
        <f>IF(MOD(F221+$B221,5)=0,$B221,0)+$B221+F221</f>
        <v>5901</v>
      </c>
      <c r="H221" s="785">
        <f>IF(MOD(G221+$B221,5)=0,$B221,0)+$B221+G221</f>
        <v>10783</v>
      </c>
      <c r="I221" s="785">
        <f>IF(MOD(H221+$B221,5)=0,$B221,0)+$B221+H221</f>
        <v>20547</v>
      </c>
      <c r="J221" s="911">
        <v>101</v>
      </c>
      <c r="K221" s="892">
        <v>590</v>
      </c>
      <c r="L221" s="785">
        <v>1078</v>
      </c>
      <c r="M221" s="785">
        <v>2054</v>
      </c>
      <c r="N221" s="23" t="str">
        <f>D221&amp;FIXED(MOD(F221,10),0)</f>
        <v>hh19</v>
      </c>
      <c r="O221" s="78" t="str">
        <f>MID(A$5,((FIND(N221,A$4,1)-1)+1),4)</f>
        <v>e7bd</v>
      </c>
      <c r="P221" s="94" t="s">
        <v>0</v>
      </c>
      <c r="Q221" s="78" t="s">
        <v>0</v>
      </c>
      <c r="R221" s="103" t="s">
        <v>0</v>
      </c>
      <c r="S221" s="103" t="s">
        <v>0</v>
      </c>
      <c r="T221" s="42" t="s">
        <v>1</v>
      </c>
    </row>
    <row r="222" spans="1:20" ht="12.75">
      <c r="A222" s="44">
        <v>2447</v>
      </c>
      <c r="B222" s="886">
        <v>4894</v>
      </c>
      <c r="C222" s="886">
        <v>5987809</v>
      </c>
      <c r="D222" s="950" t="s">
        <v>2501</v>
      </c>
      <c r="E222" s="115">
        <f>B222-MOD(E$1-A222*3,B222)</f>
        <v>915</v>
      </c>
      <c r="F222" s="644">
        <f>IF(MOD(E222,5)=0,B222,0)+E222</f>
        <v>5809</v>
      </c>
      <c r="G222" s="814">
        <f>IF(MOD(F222+$B222,5)=0,$B222,0)+$B222+F222</f>
        <v>10703</v>
      </c>
      <c r="H222" s="785">
        <f>IF(MOD(G222+$B222,5)=0,$B222,0)+$B222+G222</f>
        <v>15597</v>
      </c>
      <c r="I222" s="785">
        <f>IF(MOD(H222+$B222,5)=0,$B222,0)+$B222+H222</f>
        <v>20491</v>
      </c>
      <c r="J222" s="911">
        <v>580</v>
      </c>
      <c r="K222" s="892">
        <v>1070</v>
      </c>
      <c r="L222" s="785">
        <v>1559</v>
      </c>
      <c r="M222" s="785">
        <v>2049</v>
      </c>
      <c r="N222" s="23" t="str">
        <f>D222&amp;FIXED(MOD(F222,10),0)</f>
        <v>hh79</v>
      </c>
      <c r="O222" s="78" t="str">
        <f>MID(A$5,((FIND(N222,A$4,1)-1)+1),4)</f>
        <v>ebd7</v>
      </c>
      <c r="P222" s="94" t="s">
        <v>0</v>
      </c>
      <c r="Q222" s="78" t="s">
        <v>0</v>
      </c>
      <c r="R222" s="103" t="s">
        <v>0</v>
      </c>
      <c r="S222" s="103" t="s">
        <v>0</v>
      </c>
      <c r="T222" s="42" t="s">
        <v>1</v>
      </c>
    </row>
    <row r="223" spans="1:20" ht="12.75">
      <c r="A223" s="44">
        <v>2459</v>
      </c>
      <c r="B223" s="886">
        <v>4918</v>
      </c>
      <c r="C223" s="886">
        <v>6046681</v>
      </c>
      <c r="D223" s="950" t="s">
        <v>2506</v>
      </c>
      <c r="E223" s="115">
        <f>B223-MOD(E$1-A223*3,B223)</f>
        <v>3757</v>
      </c>
      <c r="F223" s="644">
        <f>IF(MOD(E223,5)=0,B223,0)+E223</f>
        <v>3757</v>
      </c>
      <c r="G223" s="814">
        <f>IF(MOD(F223+$B223,5)=0,$B223,0)+$B223+F223</f>
        <v>13593</v>
      </c>
      <c r="H223" s="785">
        <f>IF(MOD(G223+$B223,5)=0,$B223,0)+$B223+G223</f>
        <v>18511</v>
      </c>
      <c r="I223" s="785">
        <f>IF(MOD(H223+$B223,5)=0,$B223,0)+$B223+H223</f>
        <v>23429</v>
      </c>
      <c r="J223" s="911">
        <v>375</v>
      </c>
      <c r="K223" s="892">
        <v>1359</v>
      </c>
      <c r="L223" s="785">
        <v>1851</v>
      </c>
      <c r="M223" s="785">
        <v>2342</v>
      </c>
      <c r="N223" s="23" t="str">
        <f>D223&amp;FIXED(MOD(F223,10),0)</f>
        <v>hh97</v>
      </c>
      <c r="O223" s="78" t="str">
        <f>MID(A$5,((FIND(N223,A$4,1)-1)+1),4)</f>
        <v>db7e</v>
      </c>
      <c r="P223" s="94" t="s">
        <v>0</v>
      </c>
      <c r="Q223" s="78" t="s">
        <v>0</v>
      </c>
      <c r="R223" s="103" t="s">
        <v>0</v>
      </c>
      <c r="S223" s="103" t="s">
        <v>0</v>
      </c>
      <c r="T223" s="42" t="s">
        <v>1</v>
      </c>
    </row>
    <row r="224" spans="1:20" ht="12.75">
      <c r="A224" s="44">
        <v>2467</v>
      </c>
      <c r="B224" s="886">
        <v>4934</v>
      </c>
      <c r="C224" s="886">
        <v>6086089</v>
      </c>
      <c r="D224" s="950" t="s">
        <v>2501</v>
      </c>
      <c r="E224" s="115">
        <f>B224-MOD(E$1-A224*3,B224)</f>
        <v>4087</v>
      </c>
      <c r="F224" s="644">
        <f>IF(MOD(E224,5)=0,B224,0)+E224</f>
        <v>4087</v>
      </c>
      <c r="G224" s="814">
        <f>IF(MOD(F224+$B224,5)=0,$B224,0)+$B224+F224</f>
        <v>9021</v>
      </c>
      <c r="H224" s="785">
        <f>IF(MOD(G224+$B224,5)=0,$B224,0)+$B224+G224</f>
        <v>18889</v>
      </c>
      <c r="I224" s="785">
        <f>IF(MOD(H224+$B224,5)=0,$B224,0)+$B224+H224</f>
        <v>23823</v>
      </c>
      <c r="J224" s="911">
        <v>408</v>
      </c>
      <c r="K224" s="892">
        <v>902</v>
      </c>
      <c r="L224" s="785">
        <v>1888</v>
      </c>
      <c r="M224" s="785">
        <v>2382</v>
      </c>
      <c r="N224" s="23" t="str">
        <f>D224&amp;FIXED(MOD(F224,10),0)</f>
        <v>hh77</v>
      </c>
      <c r="O224" s="78" t="str">
        <f>MID(A$5,((FIND(N224,A$4,1)-1)+1),4)</f>
        <v>d7eb</v>
      </c>
      <c r="P224" s="94" t="s">
        <v>0</v>
      </c>
      <c r="Q224" s="78" t="s">
        <v>0</v>
      </c>
      <c r="R224" s="103" t="s">
        <v>0</v>
      </c>
      <c r="S224" s="103" t="s">
        <v>0</v>
      </c>
      <c r="T224" s="42" t="s">
        <v>1</v>
      </c>
    </row>
    <row r="225" spans="1:20" ht="12.75">
      <c r="A225" s="44">
        <v>2473</v>
      </c>
      <c r="B225" s="886">
        <v>4946</v>
      </c>
      <c r="C225" s="886">
        <v>6115729</v>
      </c>
      <c r="D225" s="950" t="s">
        <v>2496</v>
      </c>
      <c r="E225" s="115">
        <f>B225-MOD(E$1-A225*3,B225)</f>
        <v>2193</v>
      </c>
      <c r="F225" s="644">
        <f>IF(MOD(E225,5)=0,B225,0)+E225</f>
        <v>2193</v>
      </c>
      <c r="G225" s="814">
        <f>IF(MOD(F225+$B225,5)=0,$B225,0)+$B225+F225</f>
        <v>7139</v>
      </c>
      <c r="H225" s="785">
        <f>IF(MOD(G225+$B225,5)=0,$B225,0)+$B225+G225</f>
        <v>17031</v>
      </c>
      <c r="I225" s="785">
        <f>IF(MOD(H225+$B225,5)=0,$B225,0)+$B225+H225</f>
        <v>21977</v>
      </c>
      <c r="J225" s="911">
        <v>219</v>
      </c>
      <c r="K225" s="892">
        <v>713</v>
      </c>
      <c r="L225" s="785">
        <v>1703</v>
      </c>
      <c r="M225" s="785">
        <v>2197</v>
      </c>
      <c r="N225" s="23" t="str">
        <f>D225&amp;FIXED(MOD(F225,10),0)</f>
        <v>hh33</v>
      </c>
      <c r="O225" s="78" t="str">
        <f>MID(A$5,((FIND(N225,A$4,1)-1)+1),4)</f>
        <v>be7d</v>
      </c>
      <c r="P225" s="94" t="s">
        <v>0</v>
      </c>
      <c r="Q225" s="78" t="s">
        <v>0</v>
      </c>
      <c r="R225" s="103" t="s">
        <v>0</v>
      </c>
      <c r="S225" s="103" t="s">
        <v>0</v>
      </c>
      <c r="T225" s="42" t="s">
        <v>1</v>
      </c>
    </row>
    <row r="226" spans="1:20" ht="12.75">
      <c r="A226" s="44">
        <v>2477</v>
      </c>
      <c r="B226" s="886">
        <v>4954</v>
      </c>
      <c r="C226" s="886">
        <v>6135529</v>
      </c>
      <c r="D226" s="950" t="s">
        <v>2501</v>
      </c>
      <c r="E226" s="115">
        <f>B226-MOD(E$1-A226*3,B226)</f>
        <v>683</v>
      </c>
      <c r="F226" s="644">
        <f>IF(MOD(E226,5)=0,B226,0)+E226</f>
        <v>683</v>
      </c>
      <c r="G226" s="814">
        <f>IF(MOD(F226+$B226,5)=0,$B226,0)+$B226+F226</f>
        <v>5637</v>
      </c>
      <c r="H226" s="785">
        <f>IF(MOD(G226+$B226,5)=0,$B226,0)+$B226+G226</f>
        <v>10591</v>
      </c>
      <c r="I226" s="785">
        <f>IF(MOD(H226+$B226,5)=0,$B226,0)+$B226+H226</f>
        <v>20499</v>
      </c>
      <c r="J226" s="911">
        <v>68</v>
      </c>
      <c r="K226" s="892">
        <v>563</v>
      </c>
      <c r="L226" s="785">
        <v>1059</v>
      </c>
      <c r="M226" s="785">
        <v>2049</v>
      </c>
      <c r="N226" s="23" t="str">
        <f>D226&amp;FIXED(MOD(F226,10),0)</f>
        <v>hh73</v>
      </c>
      <c r="O226" s="78" t="str">
        <f>MID(A$5,((FIND(N226,A$4,1)-1)+1),4)</f>
        <v>bd7e</v>
      </c>
      <c r="P226" s="94" t="s">
        <v>0</v>
      </c>
      <c r="Q226" s="78" t="s">
        <v>0</v>
      </c>
      <c r="R226" s="103" t="s">
        <v>0</v>
      </c>
      <c r="S226" s="103" t="s">
        <v>0</v>
      </c>
      <c r="T226" s="42" t="s">
        <v>1</v>
      </c>
    </row>
    <row r="227" spans="1:20" ht="12.75">
      <c r="A227" s="44">
        <v>2503</v>
      </c>
      <c r="B227" s="886">
        <v>5006</v>
      </c>
      <c r="C227" s="886">
        <v>6265009</v>
      </c>
      <c r="D227" s="950" t="s">
        <v>2496</v>
      </c>
      <c r="E227" s="115">
        <f>B227-MOD(E$1-A227*3,B227)</f>
        <v>2167</v>
      </c>
      <c r="F227" s="644">
        <f>IF(MOD(E227,5)=0,B227,0)+E227</f>
        <v>2167</v>
      </c>
      <c r="G227" s="814">
        <f>IF(MOD(F227+$B227,5)=0,$B227,0)+$B227+F227</f>
        <v>7173</v>
      </c>
      <c r="H227" s="785">
        <f>IF(MOD(G227+$B227,5)=0,$B227,0)+$B227+G227</f>
        <v>12179</v>
      </c>
      <c r="I227" s="785">
        <f>IF(MOD(H227+$B227,5)=0,$B227,0)+$B227+H227</f>
        <v>22191</v>
      </c>
      <c r="J227" s="911">
        <v>216</v>
      </c>
      <c r="K227" s="892">
        <v>717</v>
      </c>
      <c r="L227" s="785">
        <v>1217</v>
      </c>
      <c r="M227" s="785">
        <v>2219</v>
      </c>
      <c r="N227" s="23" t="str">
        <f>D227&amp;FIXED(MOD(F227,10),0)</f>
        <v>hh37</v>
      </c>
      <c r="O227" s="78" t="str">
        <f>MID(A$5,((FIND(N227,A$4,1)-1)+1),4)</f>
        <v>dbe7</v>
      </c>
      <c r="P227" s="94" t="s">
        <v>0</v>
      </c>
      <c r="Q227" s="78" t="s">
        <v>0</v>
      </c>
      <c r="R227" s="103" t="s">
        <v>0</v>
      </c>
      <c r="S227" s="103" t="s">
        <v>0</v>
      </c>
      <c r="T227" s="42" t="s">
        <v>1</v>
      </c>
    </row>
    <row r="228" spans="1:20" ht="12.75">
      <c r="A228" s="44">
        <v>2521</v>
      </c>
      <c r="B228" s="886">
        <v>5042</v>
      </c>
      <c r="C228" s="886">
        <v>6355441</v>
      </c>
      <c r="D228" s="950" t="s">
        <v>2490</v>
      </c>
      <c r="E228" s="115">
        <f>B228-MOD(E$1-A228*3,B228)</f>
        <v>827</v>
      </c>
      <c r="F228" s="644">
        <f>IF(MOD(E228,5)=0,B228,0)+E228</f>
        <v>827</v>
      </c>
      <c r="G228" s="814">
        <f>IF(MOD(F228+$B228,5)=0,$B228,0)+$B228+F228</f>
        <v>5869</v>
      </c>
      <c r="H228" s="785">
        <f>IF(MOD(G228+$B228,5)=0,$B228,0)+$B228+G228</f>
        <v>10911</v>
      </c>
      <c r="I228" s="785">
        <f>IF(MOD(H228+$B228,5)=0,$B228,0)+$B228+H228</f>
        <v>15953</v>
      </c>
      <c r="J228" s="911">
        <v>82</v>
      </c>
      <c r="K228" s="892">
        <v>586</v>
      </c>
      <c r="L228" s="785">
        <v>1091</v>
      </c>
      <c r="M228" s="785">
        <v>1595</v>
      </c>
      <c r="N228" s="23" t="str">
        <f>D228&amp;FIXED(MOD(F228,10),0)</f>
        <v>hh17</v>
      </c>
      <c r="O228" s="78" t="str">
        <f>MID(A$5,((FIND(N228,A$4,1)-1)+1),4)</f>
        <v>de7b</v>
      </c>
      <c r="P228" s="94" t="s">
        <v>0</v>
      </c>
      <c r="Q228" s="78" t="s">
        <v>0</v>
      </c>
      <c r="R228" s="103" t="s">
        <v>0</v>
      </c>
      <c r="S228" s="103" t="s">
        <v>0</v>
      </c>
      <c r="T228" s="42" t="s">
        <v>1</v>
      </c>
    </row>
    <row r="229" spans="1:20" ht="12.75">
      <c r="A229" s="44">
        <v>2531</v>
      </c>
      <c r="B229" s="886">
        <v>5062</v>
      </c>
      <c r="C229" s="886">
        <v>6405961</v>
      </c>
      <c r="D229" s="950" t="s">
        <v>2490</v>
      </c>
      <c r="E229" s="115">
        <f>B229-MOD(E$1-A229*3,B229)</f>
        <v>4281</v>
      </c>
      <c r="F229" s="644">
        <f>IF(MOD(E229,5)=0,B229,0)+E229</f>
        <v>4281</v>
      </c>
      <c r="G229" s="814">
        <f>IF(MOD(F229+$B229,5)=0,$B229,0)+$B229+F229</f>
        <v>9343</v>
      </c>
      <c r="H229" s="785">
        <f>IF(MOD(G229+$B229,5)=0,$B229,0)+$B229+G229</f>
        <v>19467</v>
      </c>
      <c r="I229" s="785">
        <f>IF(MOD(H229+$B229,5)=0,$B229,0)+$B229+H229</f>
        <v>24529</v>
      </c>
      <c r="J229" s="911">
        <v>428</v>
      </c>
      <c r="K229" s="892">
        <v>934</v>
      </c>
      <c r="L229" s="785">
        <v>1946</v>
      </c>
      <c r="M229" s="785">
        <v>2452</v>
      </c>
      <c r="N229" s="23" t="str">
        <f>D229&amp;FIXED(MOD(F229,10),0)</f>
        <v>hh11</v>
      </c>
      <c r="O229" s="78" t="str">
        <f>MID(A$5,((FIND(N229,A$4,1)-1)+1),4)</f>
        <v>7bde</v>
      </c>
      <c r="P229" s="94" t="s">
        <v>0</v>
      </c>
      <c r="Q229" s="78" t="s">
        <v>0</v>
      </c>
      <c r="R229" s="103" t="s">
        <v>0</v>
      </c>
      <c r="S229" s="103" t="s">
        <v>0</v>
      </c>
      <c r="T229" s="42" t="s">
        <v>1</v>
      </c>
    </row>
    <row r="230" spans="1:20" ht="12.75">
      <c r="A230" s="44">
        <v>2539</v>
      </c>
      <c r="B230" s="886">
        <v>5078</v>
      </c>
      <c r="C230" s="886">
        <v>6446521</v>
      </c>
      <c r="D230" s="950" t="s">
        <v>2506</v>
      </c>
      <c r="E230" s="115">
        <f>B230-MOD(E$1-A230*3,B230)</f>
        <v>4517</v>
      </c>
      <c r="F230" s="644">
        <f>IF(MOD(E230,5)=0,B230,0)+E230</f>
        <v>4517</v>
      </c>
      <c r="G230" s="814">
        <f>IF(MOD(F230+$B230,5)=0,$B230,0)+$B230+F230</f>
        <v>14673</v>
      </c>
      <c r="H230" s="785">
        <f>IF(MOD(G230+$B230,5)=0,$B230,0)+$B230+G230</f>
        <v>19751</v>
      </c>
      <c r="I230" s="785">
        <f>IF(MOD(H230+$B230,5)=0,$B230,0)+$B230+H230</f>
        <v>24829</v>
      </c>
      <c r="J230" s="911">
        <v>451</v>
      </c>
      <c r="K230" s="892">
        <v>1467</v>
      </c>
      <c r="L230" s="785">
        <v>1975</v>
      </c>
      <c r="M230" s="785">
        <v>2482</v>
      </c>
      <c r="N230" s="23" t="str">
        <f>D230&amp;FIXED(MOD(F230,10),0)</f>
        <v>hh97</v>
      </c>
      <c r="O230" s="78" t="str">
        <f>MID(A$5,((FIND(N230,A$4,1)-1)+1),4)</f>
        <v>db7e</v>
      </c>
      <c r="P230" s="94" t="s">
        <v>0</v>
      </c>
      <c r="Q230" s="78" t="s">
        <v>0</v>
      </c>
      <c r="R230" s="103" t="s">
        <v>0</v>
      </c>
      <c r="S230" s="103" t="s">
        <v>0</v>
      </c>
      <c r="T230" s="42" t="s">
        <v>1</v>
      </c>
    </row>
    <row r="231" spans="1:20" ht="12.75">
      <c r="A231" s="44">
        <v>2543</v>
      </c>
      <c r="B231" s="886">
        <v>5086</v>
      </c>
      <c r="C231" s="886">
        <v>6466849</v>
      </c>
      <c r="D231" s="950" t="s">
        <v>2496</v>
      </c>
      <c r="E231" s="115">
        <f>B231-MOD(E$1-A231*3,B231)</f>
        <v>3141</v>
      </c>
      <c r="F231" s="644">
        <f>IF(MOD(E231,5)=0,B231,0)+E231</f>
        <v>3141</v>
      </c>
      <c r="G231" s="814">
        <f>IF(MOD(F231+$B231,5)=0,$B231,0)+$B231+F231</f>
        <v>8227</v>
      </c>
      <c r="H231" s="785">
        <f>IF(MOD(G231+$B231,5)=0,$B231,0)+$B231+G231</f>
        <v>13313</v>
      </c>
      <c r="I231" s="785">
        <f>IF(MOD(H231+$B231,5)=0,$B231,0)+$B231+H231</f>
        <v>18399</v>
      </c>
      <c r="J231" s="911">
        <v>314</v>
      </c>
      <c r="K231" s="892">
        <v>822</v>
      </c>
      <c r="L231" s="785">
        <v>1331</v>
      </c>
      <c r="M231" s="785">
        <v>1839</v>
      </c>
      <c r="N231" s="23" t="str">
        <f>D231&amp;FIXED(MOD(F231,10),0)</f>
        <v>hh31</v>
      </c>
      <c r="O231" s="78" t="str">
        <f>MID(A$5,((FIND(N231,A$4,1)-1)+1),4)</f>
        <v>7dbe</v>
      </c>
      <c r="P231" s="94" t="s">
        <v>0</v>
      </c>
      <c r="Q231" s="78" t="s">
        <v>0</v>
      </c>
      <c r="R231" s="103" t="s">
        <v>0</v>
      </c>
      <c r="S231" s="103" t="s">
        <v>0</v>
      </c>
      <c r="T231" s="42" t="s">
        <v>1</v>
      </c>
    </row>
    <row r="232" spans="1:20" ht="12.75">
      <c r="A232" s="44">
        <v>2549</v>
      </c>
      <c r="B232" s="886">
        <v>5098</v>
      </c>
      <c r="C232" s="886">
        <v>6497401</v>
      </c>
      <c r="D232" s="950" t="s">
        <v>2506</v>
      </c>
      <c r="E232" s="115">
        <f>B232-MOD(E$1-A232*3,B232)</f>
        <v>4353</v>
      </c>
      <c r="F232" s="644">
        <f>IF(MOD(E232,5)=0,B232,0)+E232</f>
        <v>4353</v>
      </c>
      <c r="G232" s="814">
        <f>IF(MOD(F232+$B232,5)=0,$B232,0)+$B232+F232</f>
        <v>9451</v>
      </c>
      <c r="H232" s="785">
        <f>IF(MOD(G232+$B232,5)=0,$B232,0)+$B232+G232</f>
        <v>14549</v>
      </c>
      <c r="I232" s="785">
        <f>IF(MOD(H232+$B232,5)=0,$B232,0)+$B232+H232</f>
        <v>19647</v>
      </c>
      <c r="J232" s="911">
        <v>435</v>
      </c>
      <c r="K232" s="892">
        <v>945</v>
      </c>
      <c r="L232" s="785">
        <v>1454</v>
      </c>
      <c r="M232" s="785">
        <v>1964</v>
      </c>
      <c r="N232" s="23" t="str">
        <f>D232&amp;FIXED(MOD(F232,10),0)</f>
        <v>hh93</v>
      </c>
      <c r="O232" s="78" t="str">
        <f>MID(A$5,((FIND(N232,A$4,1)-1)+1),4)</f>
        <v>b7ed</v>
      </c>
      <c r="P232" s="94" t="s">
        <v>0</v>
      </c>
      <c r="Q232" s="78" t="s">
        <v>0</v>
      </c>
      <c r="R232" s="103" t="s">
        <v>0</v>
      </c>
      <c r="S232" s="103" t="s">
        <v>0</v>
      </c>
      <c r="T232" s="42" t="s">
        <v>1</v>
      </c>
    </row>
    <row r="233" spans="1:20" ht="12.75">
      <c r="A233" s="44">
        <v>2551</v>
      </c>
      <c r="B233" s="886">
        <v>5102</v>
      </c>
      <c r="C233" s="886">
        <v>6507601</v>
      </c>
      <c r="D233" s="950" t="s">
        <v>2490</v>
      </c>
      <c r="E233" s="115">
        <f>B233-MOD(E$1-A233*3,B233)</f>
        <v>1395</v>
      </c>
      <c r="F233" s="644">
        <f>IF(MOD(E233,5)=0,B233,0)+E233</f>
        <v>6497</v>
      </c>
      <c r="G233" s="814">
        <f>IF(MOD(F233+$B233,5)=0,$B233,0)+$B233+F233</f>
        <v>11599</v>
      </c>
      <c r="H233" s="785">
        <f>IF(MOD(G233+$B233,5)=0,$B233,0)+$B233+G233</f>
        <v>16701</v>
      </c>
      <c r="I233" s="785">
        <f>IF(MOD(H233+$B233,5)=0,$B233,0)+$B233+H233</f>
        <v>21803</v>
      </c>
      <c r="J233" s="911">
        <v>649</v>
      </c>
      <c r="K233" s="892">
        <v>1159</v>
      </c>
      <c r="L233" s="785">
        <v>1670</v>
      </c>
      <c r="M233" s="785">
        <v>2180</v>
      </c>
      <c r="N233" s="23" t="str">
        <f>D233&amp;FIXED(MOD(F233,10),0)</f>
        <v>hh17</v>
      </c>
      <c r="O233" s="78" t="str">
        <f>MID(A$5,((FIND(N233,A$4,1)-1)+1),4)</f>
        <v>de7b</v>
      </c>
      <c r="P233" s="94" t="s">
        <v>0</v>
      </c>
      <c r="Q233" s="78" t="s">
        <v>0</v>
      </c>
      <c r="R233" s="103" t="s">
        <v>0</v>
      </c>
      <c r="S233" s="103" t="s">
        <v>0</v>
      </c>
      <c r="T233" s="42" t="s">
        <v>1</v>
      </c>
    </row>
    <row r="234" spans="1:20" ht="12.75">
      <c r="A234" s="44">
        <v>2557</v>
      </c>
      <c r="B234" s="886">
        <v>5114</v>
      </c>
      <c r="C234" s="886">
        <v>6538249</v>
      </c>
      <c r="D234" s="950" t="s">
        <v>2501</v>
      </c>
      <c r="E234" s="115">
        <f>B234-MOD(E$1-A234*3,B234)</f>
        <v>1597</v>
      </c>
      <c r="F234" s="644">
        <f>IF(MOD(E234,5)=0,B234,0)+E234</f>
        <v>1597</v>
      </c>
      <c r="G234" s="814">
        <f>IF(MOD(F234+$B234,5)=0,$B234,0)+$B234+F234</f>
        <v>6711</v>
      </c>
      <c r="H234" s="785">
        <f>IF(MOD(G234+$B234,5)=0,$B234,0)+$B234+G234</f>
        <v>16939</v>
      </c>
      <c r="I234" s="785">
        <f>IF(MOD(H234+$B234,5)=0,$B234,0)+$B234+H234</f>
        <v>22053</v>
      </c>
      <c r="J234" s="911">
        <v>159</v>
      </c>
      <c r="K234" s="892">
        <v>671</v>
      </c>
      <c r="L234" s="785">
        <v>1693</v>
      </c>
      <c r="M234" s="785">
        <v>2205</v>
      </c>
      <c r="N234" s="23" t="str">
        <f>D234&amp;FIXED(MOD(F234,10),0)</f>
        <v>hh77</v>
      </c>
      <c r="O234" s="78" t="str">
        <f>MID(A$5,((FIND(N234,A$4,1)-1)+1),4)</f>
        <v>d7eb</v>
      </c>
      <c r="P234" s="94" t="s">
        <v>0</v>
      </c>
      <c r="Q234" s="78" t="s">
        <v>0</v>
      </c>
      <c r="R234" s="103" t="s">
        <v>0</v>
      </c>
      <c r="S234" s="103" t="s">
        <v>0</v>
      </c>
      <c r="T234" s="42" t="s">
        <v>1</v>
      </c>
    </row>
    <row r="235" spans="1:20" ht="12.75">
      <c r="A235" s="44">
        <v>2579</v>
      </c>
      <c r="B235" s="886">
        <v>5158</v>
      </c>
      <c r="C235" s="886">
        <v>6651241</v>
      </c>
      <c r="D235" s="950" t="s">
        <v>2506</v>
      </c>
      <c r="E235" s="115">
        <f>B235-MOD(E$1-A235*3,B235)</f>
        <v>1617</v>
      </c>
      <c r="F235" s="644">
        <f>IF(MOD(E235,5)=0,B235,0)+E235</f>
        <v>1617</v>
      </c>
      <c r="G235" s="814">
        <f>IF(MOD(F235+$B235,5)=0,$B235,0)+$B235+F235</f>
        <v>11933</v>
      </c>
      <c r="H235" s="785">
        <f>IF(MOD(G235+$B235,5)=0,$B235,0)+$B235+G235</f>
        <v>17091</v>
      </c>
      <c r="I235" s="785">
        <f>IF(MOD(H235+$B235,5)=0,$B235,0)+$B235+H235</f>
        <v>22249</v>
      </c>
      <c r="J235" s="911">
        <v>161</v>
      </c>
      <c r="K235" s="892">
        <v>1193</v>
      </c>
      <c r="L235" s="785">
        <v>1709</v>
      </c>
      <c r="M235" s="785">
        <v>2224</v>
      </c>
      <c r="N235" s="23" t="str">
        <f>D235&amp;FIXED(MOD(F235,10),0)</f>
        <v>hh97</v>
      </c>
      <c r="O235" s="78" t="str">
        <f>MID(A$5,((FIND(N235,A$4,1)-1)+1),4)</f>
        <v>db7e</v>
      </c>
      <c r="P235" s="94" t="s">
        <v>0</v>
      </c>
      <c r="Q235" s="78" t="s">
        <v>0</v>
      </c>
      <c r="R235" s="103" t="s">
        <v>0</v>
      </c>
      <c r="S235" s="103" t="s">
        <v>0</v>
      </c>
      <c r="T235" s="42" t="s">
        <v>1</v>
      </c>
    </row>
    <row r="236" spans="1:20" ht="12.75">
      <c r="A236" s="44">
        <v>2591</v>
      </c>
      <c r="B236" s="886">
        <v>5182</v>
      </c>
      <c r="C236" s="886">
        <v>6713281</v>
      </c>
      <c r="D236" s="950" t="s">
        <v>2490</v>
      </c>
      <c r="E236" s="115">
        <f>B236-MOD(E$1-A236*3,B236)</f>
        <v>4621</v>
      </c>
      <c r="F236" s="644">
        <f>IF(MOD(E236,5)=0,B236,0)+E236</f>
        <v>4621</v>
      </c>
      <c r="G236" s="814">
        <f>IF(MOD(F236+$B236,5)=0,$B236,0)+$B236+F236</f>
        <v>9803</v>
      </c>
      <c r="H236" s="785">
        <f>IF(MOD(G236+$B236,5)=0,$B236,0)+$B236+G236</f>
        <v>20167</v>
      </c>
      <c r="I236" s="785">
        <f>IF(MOD(H236+$B236,5)=0,$B236,0)+$B236+H236</f>
        <v>25349</v>
      </c>
      <c r="J236" s="911">
        <v>462</v>
      </c>
      <c r="K236" s="892">
        <v>980</v>
      </c>
      <c r="L236" s="785">
        <v>2016</v>
      </c>
      <c r="M236" s="785">
        <v>2534</v>
      </c>
      <c r="N236" s="23" t="str">
        <f>D236&amp;FIXED(MOD(F236,10),0)</f>
        <v>hh11</v>
      </c>
      <c r="O236" s="78" t="str">
        <f>MID(A$5,((FIND(N236,A$4,1)-1)+1),4)</f>
        <v>7bde</v>
      </c>
      <c r="P236" s="94" t="s">
        <v>0</v>
      </c>
      <c r="Q236" s="78" t="s">
        <v>0</v>
      </c>
      <c r="R236" s="103" t="s">
        <v>0</v>
      </c>
      <c r="S236" s="103" t="s">
        <v>0</v>
      </c>
      <c r="T236" s="42" t="s">
        <v>1</v>
      </c>
    </row>
    <row r="237" spans="1:20" ht="12.75">
      <c r="A237" s="44">
        <v>2593</v>
      </c>
      <c r="B237" s="886">
        <v>5186</v>
      </c>
      <c r="C237" s="886">
        <v>6723649</v>
      </c>
      <c r="D237" s="950" t="s">
        <v>2496</v>
      </c>
      <c r="E237" s="115">
        <f>B237-MOD(E$1-A237*3,B237)</f>
        <v>2907</v>
      </c>
      <c r="F237" s="644">
        <f>IF(MOD(E237,5)=0,B237,0)+E237</f>
        <v>2907</v>
      </c>
      <c r="G237" s="814">
        <f>IF(MOD(F237+$B237,5)=0,$B237,0)+$B237+F237</f>
        <v>8093</v>
      </c>
      <c r="H237" s="785">
        <f>IF(MOD(G237+$B237,5)=0,$B237,0)+$B237+G237</f>
        <v>13279</v>
      </c>
      <c r="I237" s="785">
        <f>IF(MOD(H237+$B237,5)=0,$B237,0)+$B237+H237</f>
        <v>23651</v>
      </c>
      <c r="J237" s="911">
        <v>290</v>
      </c>
      <c r="K237" s="892">
        <v>809</v>
      </c>
      <c r="L237" s="785">
        <v>1327</v>
      </c>
      <c r="M237" s="785">
        <v>2365</v>
      </c>
      <c r="N237" s="23" t="str">
        <f>D237&amp;FIXED(MOD(F237,10),0)</f>
        <v>hh37</v>
      </c>
      <c r="O237" s="78" t="str">
        <f>MID(A$5,((FIND(N237,A$4,1)-1)+1),4)</f>
        <v>dbe7</v>
      </c>
      <c r="P237" s="94" t="s">
        <v>0</v>
      </c>
      <c r="Q237" s="78" t="s">
        <v>0</v>
      </c>
      <c r="R237" s="103" t="s">
        <v>0</v>
      </c>
      <c r="S237" s="103" t="s">
        <v>0</v>
      </c>
      <c r="T237" s="42" t="s">
        <v>1</v>
      </c>
    </row>
    <row r="238" spans="1:20" ht="12.75">
      <c r="A238" s="44">
        <v>2609</v>
      </c>
      <c r="B238" s="886">
        <v>5218</v>
      </c>
      <c r="C238" s="886">
        <v>6806881</v>
      </c>
      <c r="D238" s="950" t="s">
        <v>2506</v>
      </c>
      <c r="E238" s="115">
        <f>B238-MOD(E$1-A238*3,B238)</f>
        <v>1565</v>
      </c>
      <c r="F238" s="644">
        <f>IF(MOD(E238,5)=0,B238,0)+E238</f>
        <v>6783</v>
      </c>
      <c r="G238" s="814">
        <f>IF(MOD(F238+$B238,5)=0,$B238,0)+$B238+F238</f>
        <v>12001</v>
      </c>
      <c r="H238" s="785">
        <f>IF(MOD(G238+$B238,5)=0,$B238,0)+$B238+G238</f>
        <v>17219</v>
      </c>
      <c r="I238" s="785">
        <f>IF(MOD(H238+$B238,5)=0,$B238,0)+$B238+H238</f>
        <v>22437</v>
      </c>
      <c r="J238" s="911">
        <v>678</v>
      </c>
      <c r="K238" s="892">
        <v>1200</v>
      </c>
      <c r="L238" s="785">
        <v>1721</v>
      </c>
      <c r="M238" s="785">
        <v>2243</v>
      </c>
      <c r="N238" s="23" t="str">
        <f>D238&amp;FIXED(MOD(F238,10),0)</f>
        <v>hh93</v>
      </c>
      <c r="O238" s="78" t="str">
        <f>MID(A$5,((FIND(N238,A$4,1)-1)+1),4)</f>
        <v>b7ed</v>
      </c>
      <c r="P238" s="94" t="s">
        <v>0</v>
      </c>
      <c r="Q238" s="78" t="s">
        <v>0</v>
      </c>
      <c r="R238" s="103" t="s">
        <v>0</v>
      </c>
      <c r="S238" s="103" t="s">
        <v>0</v>
      </c>
      <c r="T238" s="42" t="s">
        <v>1</v>
      </c>
    </row>
    <row r="239" spans="1:20" ht="12.75">
      <c r="A239" s="44">
        <v>2617</v>
      </c>
      <c r="B239" s="886">
        <v>5234</v>
      </c>
      <c r="C239" s="886">
        <v>6848689</v>
      </c>
      <c r="D239" s="950" t="s">
        <v>2501</v>
      </c>
      <c r="E239" s="115">
        <f>B239-MOD(E$1-A239*3,B239)</f>
        <v>907</v>
      </c>
      <c r="F239" s="644">
        <f>IF(MOD(E239,5)=0,B239,0)+E239</f>
        <v>907</v>
      </c>
      <c r="G239" s="814">
        <f>IF(MOD(F239+$B239,5)=0,$B239,0)+$B239+F239</f>
        <v>6141</v>
      </c>
      <c r="H239" s="785">
        <f>IF(MOD(G239+$B239,5)=0,$B239,0)+$B239+G239</f>
        <v>16609</v>
      </c>
      <c r="I239" s="785">
        <f>IF(MOD(H239+$B239,5)=0,$B239,0)+$B239+H239</f>
        <v>21843</v>
      </c>
      <c r="J239" s="911">
        <v>90</v>
      </c>
      <c r="K239" s="892">
        <v>614</v>
      </c>
      <c r="L239" s="785">
        <v>1660</v>
      </c>
      <c r="M239" s="785">
        <v>2184</v>
      </c>
      <c r="N239" s="23" t="str">
        <f>D239&amp;FIXED(MOD(F239,10),0)</f>
        <v>hh77</v>
      </c>
      <c r="O239" s="78" t="str">
        <f>MID(A$5,((FIND(N239,A$4,1)-1)+1),4)</f>
        <v>d7eb</v>
      </c>
      <c r="P239" s="94" t="s">
        <v>0</v>
      </c>
      <c r="Q239" s="78" t="s">
        <v>0</v>
      </c>
      <c r="R239" s="103" t="s">
        <v>0</v>
      </c>
      <c r="S239" s="103" t="s">
        <v>0</v>
      </c>
      <c r="T239" s="42" t="s">
        <v>1</v>
      </c>
    </row>
    <row r="240" spans="1:20" ht="12.75">
      <c r="A240" s="44">
        <v>2621</v>
      </c>
      <c r="B240" s="886">
        <v>5242</v>
      </c>
      <c r="C240" s="886">
        <v>6869641</v>
      </c>
      <c r="D240" s="950" t="s">
        <v>2490</v>
      </c>
      <c r="E240" s="115">
        <f>B240-MOD(E$1-A240*3,B240)</f>
        <v>3441</v>
      </c>
      <c r="F240" s="644">
        <f>IF(MOD(E240,5)=0,B240,0)+E240</f>
        <v>3441</v>
      </c>
      <c r="G240" s="814">
        <f>IF(MOD(F240+$B240,5)=0,$B240,0)+$B240+F240</f>
        <v>8683</v>
      </c>
      <c r="H240" s="785">
        <f>IF(MOD(G240+$B240,5)=0,$B240,0)+$B240+G240</f>
        <v>19167</v>
      </c>
      <c r="I240" s="785">
        <f>IF(MOD(H240+$B240,5)=0,$B240,0)+$B240+H240</f>
        <v>24409</v>
      </c>
      <c r="J240" s="911">
        <v>344</v>
      </c>
      <c r="K240" s="892">
        <v>868</v>
      </c>
      <c r="L240" s="785">
        <v>1916</v>
      </c>
      <c r="M240" s="785">
        <v>2440</v>
      </c>
      <c r="N240" s="23" t="str">
        <f>D240&amp;FIXED(MOD(F240,10),0)</f>
        <v>hh11</v>
      </c>
      <c r="O240" s="78" t="str">
        <f>MID(A$5,((FIND(N240,A$4,1)-1)+1),4)</f>
        <v>7bde</v>
      </c>
      <c r="P240" s="94" t="s">
        <v>0</v>
      </c>
      <c r="Q240" s="78" t="s">
        <v>0</v>
      </c>
      <c r="R240" s="103" t="s">
        <v>0</v>
      </c>
      <c r="S240" s="103" t="s">
        <v>0</v>
      </c>
      <c r="T240" s="42" t="s">
        <v>1</v>
      </c>
    </row>
    <row r="241" spans="1:20" ht="12.75">
      <c r="A241" s="44">
        <v>2633</v>
      </c>
      <c r="B241" s="886">
        <v>5266</v>
      </c>
      <c r="C241" s="886">
        <v>6932689</v>
      </c>
      <c r="D241" s="950" t="s">
        <v>2496</v>
      </c>
      <c r="E241" s="115">
        <f>B241-MOD(E$1-A241*3,B241)</f>
        <v>2989</v>
      </c>
      <c r="F241" s="644">
        <f>IF(MOD(E241,5)=0,B241,0)+E241</f>
        <v>2989</v>
      </c>
      <c r="G241" s="814">
        <f>IF(MOD(F241+$B241,5)=0,$B241,0)+$B241+F241</f>
        <v>13521</v>
      </c>
      <c r="H241" s="785">
        <f>IF(MOD(G241+$B241,5)=0,$B241,0)+$B241+G241</f>
        <v>18787</v>
      </c>
      <c r="I241" s="785">
        <f>IF(MOD(H241+$B241,5)=0,$B241,0)+$B241+H241</f>
        <v>24053</v>
      </c>
      <c r="J241" s="911">
        <v>298</v>
      </c>
      <c r="K241" s="892">
        <v>1352</v>
      </c>
      <c r="L241" s="785">
        <v>1878</v>
      </c>
      <c r="M241" s="785">
        <v>2405</v>
      </c>
      <c r="N241" s="23" t="str">
        <f>D241&amp;FIXED(MOD(F241,10),0)</f>
        <v>hh39</v>
      </c>
      <c r="O241" s="78" t="str">
        <f>MID(A$5,((FIND(N241,A$4,1)-1)+1),4)</f>
        <v>e7db</v>
      </c>
      <c r="P241" s="94" t="s">
        <v>0</v>
      </c>
      <c r="Q241" s="78" t="s">
        <v>0</v>
      </c>
      <c r="R241" s="103" t="s">
        <v>0</v>
      </c>
      <c r="S241" s="103" t="s">
        <v>0</v>
      </c>
      <c r="T241" s="42" t="s">
        <v>1</v>
      </c>
    </row>
    <row r="242" spans="1:20" ht="12.75">
      <c r="A242" s="44">
        <v>2647</v>
      </c>
      <c r="B242" s="886">
        <v>5294</v>
      </c>
      <c r="C242" s="886">
        <v>7006609</v>
      </c>
      <c r="D242" s="950" t="s">
        <v>2501</v>
      </c>
      <c r="E242" s="115">
        <f>B242-MOD(E$1-A242*3,B242)</f>
        <v>3267</v>
      </c>
      <c r="F242" s="644">
        <f>IF(MOD(E242,5)=0,B242,0)+E242</f>
        <v>3267</v>
      </c>
      <c r="G242" s="814">
        <f>IF(MOD(F242+$B242,5)=0,$B242,0)+$B242+F242</f>
        <v>8561</v>
      </c>
      <c r="H242" s="785">
        <f>IF(MOD(G242+$B242,5)=0,$B242,0)+$B242+G242</f>
        <v>19149</v>
      </c>
      <c r="I242" s="785">
        <f>IF(MOD(H242+$B242,5)=0,$B242,0)+$B242+H242</f>
        <v>24443</v>
      </c>
      <c r="J242" s="911">
        <v>326</v>
      </c>
      <c r="K242" s="892">
        <v>856</v>
      </c>
      <c r="L242" s="785">
        <v>1914</v>
      </c>
      <c r="M242" s="785">
        <v>2444</v>
      </c>
      <c r="N242" s="23" t="str">
        <f>D242&amp;FIXED(MOD(F242,10),0)</f>
        <v>hh77</v>
      </c>
      <c r="O242" s="78" t="str">
        <f>MID(A$5,((FIND(N242,A$4,1)-1)+1),4)</f>
        <v>d7eb</v>
      </c>
      <c r="P242" s="94" t="s">
        <v>0</v>
      </c>
      <c r="Q242" s="78" t="s">
        <v>0</v>
      </c>
      <c r="R242" s="103" t="s">
        <v>0</v>
      </c>
      <c r="S242" s="103" t="s">
        <v>0</v>
      </c>
      <c r="T242" s="42" t="s">
        <v>1</v>
      </c>
    </row>
    <row r="243" spans="1:20" ht="12.75">
      <c r="A243" s="44">
        <v>2657</v>
      </c>
      <c r="B243" s="886">
        <v>5314</v>
      </c>
      <c r="C243" s="886">
        <v>7059649</v>
      </c>
      <c r="D243" s="950" t="s">
        <v>2501</v>
      </c>
      <c r="E243" s="115">
        <f>B243-MOD(E$1-A243*3,B243)</f>
        <v>3033</v>
      </c>
      <c r="F243" s="644">
        <f>IF(MOD(E243,5)=0,B243,0)+E243</f>
        <v>3033</v>
      </c>
      <c r="G243" s="814">
        <f>IF(MOD(F243+$B243,5)=0,$B243,0)+$B243+F243</f>
        <v>8347</v>
      </c>
      <c r="H243" s="785">
        <f>IF(MOD(G243+$B243,5)=0,$B243,0)+$B243+G243</f>
        <v>13661</v>
      </c>
      <c r="I243" s="785">
        <f>IF(MOD(H243+$B243,5)=0,$B243,0)+$B243+H243</f>
        <v>24289</v>
      </c>
      <c r="J243" s="911">
        <v>303</v>
      </c>
      <c r="K243" s="892">
        <v>834</v>
      </c>
      <c r="L243" s="785">
        <v>1366</v>
      </c>
      <c r="M243" s="785">
        <v>2428</v>
      </c>
      <c r="N243" s="23" t="str">
        <f>D243&amp;FIXED(MOD(F243,10),0)</f>
        <v>hh73</v>
      </c>
      <c r="O243" s="78" t="str">
        <f>MID(A$5,((FIND(N243,A$4,1)-1)+1),4)</f>
        <v>bd7e</v>
      </c>
      <c r="P243" s="94" t="s">
        <v>0</v>
      </c>
      <c r="Q243" s="78" t="s">
        <v>0</v>
      </c>
      <c r="R243" s="103" t="s">
        <v>0</v>
      </c>
      <c r="S243" s="103" t="s">
        <v>0</v>
      </c>
      <c r="T243" s="42" t="s">
        <v>1</v>
      </c>
    </row>
    <row r="244" spans="1:20" ht="12.75">
      <c r="A244" s="44">
        <v>2659</v>
      </c>
      <c r="B244" s="886">
        <v>5318</v>
      </c>
      <c r="C244" s="886">
        <v>7070281</v>
      </c>
      <c r="D244" s="950" t="s">
        <v>2506</v>
      </c>
      <c r="E244" s="115">
        <f>B244-MOD(E$1-A244*3,B244)</f>
        <v>3061</v>
      </c>
      <c r="F244" s="644">
        <f>IF(MOD(E244,5)=0,B244,0)+E244</f>
        <v>3061</v>
      </c>
      <c r="G244" s="814">
        <f>IF(MOD(F244+$B244,5)=0,$B244,0)+$B244+F244</f>
        <v>8379</v>
      </c>
      <c r="H244" s="785">
        <f>IF(MOD(G244+$B244,5)=0,$B244,0)+$B244+G244</f>
        <v>13697</v>
      </c>
      <c r="I244" s="785">
        <f>IF(MOD(H244+$B244,5)=0,$B244,0)+$B244+H244</f>
        <v>24333</v>
      </c>
      <c r="J244" s="911">
        <v>306</v>
      </c>
      <c r="K244" s="892">
        <v>837</v>
      </c>
      <c r="L244" s="785">
        <v>1369</v>
      </c>
      <c r="M244" s="785">
        <v>2433</v>
      </c>
      <c r="N244" s="23" t="str">
        <f>D244&amp;FIXED(MOD(F244,10),0)</f>
        <v>hh91</v>
      </c>
      <c r="O244" s="78" t="str">
        <f>MID(A$5,((FIND(N244,A$4,1)-1)+1),4)</f>
        <v>7edb</v>
      </c>
      <c r="P244" s="94" t="s">
        <v>0</v>
      </c>
      <c r="Q244" s="78" t="s">
        <v>0</v>
      </c>
      <c r="R244" s="103" t="s">
        <v>0</v>
      </c>
      <c r="S244" s="103" t="s">
        <v>0</v>
      </c>
      <c r="T244" s="42" t="s">
        <v>1</v>
      </c>
    </row>
    <row r="245" spans="1:20" ht="12.75">
      <c r="A245" s="44">
        <v>2663</v>
      </c>
      <c r="B245" s="886">
        <v>5326</v>
      </c>
      <c r="C245" s="886">
        <v>7091569</v>
      </c>
      <c r="D245" s="950" t="s">
        <v>2496</v>
      </c>
      <c r="E245" s="115">
        <f>B245-MOD(E$1-A245*3,B245)</f>
        <v>3769</v>
      </c>
      <c r="F245" s="644">
        <f>IF(MOD(E245,5)=0,B245,0)+E245</f>
        <v>3769</v>
      </c>
      <c r="G245" s="814">
        <f>IF(MOD(F245+$B245,5)=0,$B245,0)+$B245+F245</f>
        <v>14421</v>
      </c>
      <c r="H245" s="785">
        <f>IF(MOD(G245+$B245,5)=0,$B245,0)+$B245+G245</f>
        <v>19747</v>
      </c>
      <c r="I245" s="785">
        <f>IF(MOD(H245+$B245,5)=0,$B245,0)+$B245+H245</f>
        <v>25073</v>
      </c>
      <c r="J245" s="911">
        <v>376</v>
      </c>
      <c r="K245" s="892">
        <v>1442</v>
      </c>
      <c r="L245" s="785">
        <v>1974</v>
      </c>
      <c r="M245" s="785">
        <v>2507</v>
      </c>
      <c r="N245" s="23" t="str">
        <f>D245&amp;FIXED(MOD(F245,10),0)</f>
        <v>hh39</v>
      </c>
      <c r="O245" s="78" t="str">
        <f>MID(A$5,((FIND(N245,A$4,1)-1)+1),4)</f>
        <v>e7db</v>
      </c>
      <c r="P245" s="94" t="s">
        <v>0</v>
      </c>
      <c r="Q245" s="78" t="s">
        <v>0</v>
      </c>
      <c r="R245" s="103" t="s">
        <v>0</v>
      </c>
      <c r="S245" s="103" t="s">
        <v>0</v>
      </c>
      <c r="T245" s="42" t="s">
        <v>1</v>
      </c>
    </row>
    <row r="246" spans="1:20" ht="12.75">
      <c r="A246" s="44">
        <v>2671</v>
      </c>
      <c r="B246" s="886">
        <v>5342</v>
      </c>
      <c r="C246" s="886">
        <v>7134241</v>
      </c>
      <c r="D246" s="950" t="s">
        <v>2490</v>
      </c>
      <c r="E246" s="115">
        <f>B246-MOD(E$1-A246*3,B246)</f>
        <v>2499</v>
      </c>
      <c r="F246" s="644">
        <f>IF(MOD(E246,5)=0,B246,0)+E246</f>
        <v>2499</v>
      </c>
      <c r="G246" s="814">
        <f>IF(MOD(F246+$B246,5)=0,$B246,0)+$B246+F246</f>
        <v>7841</v>
      </c>
      <c r="H246" s="785">
        <f>IF(MOD(G246+$B246,5)=0,$B246,0)+$B246+G246</f>
        <v>13183</v>
      </c>
      <c r="I246" s="785">
        <f>IF(MOD(H246+$B246,5)=0,$B246,0)+$B246+H246</f>
        <v>23867</v>
      </c>
      <c r="J246" s="911">
        <v>249</v>
      </c>
      <c r="K246" s="892">
        <v>784</v>
      </c>
      <c r="L246" s="785">
        <v>1318</v>
      </c>
      <c r="M246" s="785">
        <v>2386</v>
      </c>
      <c r="N246" s="23" t="str">
        <f>D246&amp;FIXED(MOD(F246,10),0)</f>
        <v>hh19</v>
      </c>
      <c r="O246" s="78" t="str">
        <f>MID(A$5,((FIND(N246,A$4,1)-1)+1),4)</f>
        <v>e7bd</v>
      </c>
      <c r="P246" s="94" t="s">
        <v>0</v>
      </c>
      <c r="Q246" s="78" t="s">
        <v>0</v>
      </c>
      <c r="R246" s="103" t="s">
        <v>0</v>
      </c>
      <c r="S246" s="103" t="s">
        <v>0</v>
      </c>
      <c r="T246" s="42" t="s">
        <v>1</v>
      </c>
    </row>
    <row r="247" spans="1:20" ht="12.75">
      <c r="A247" s="44">
        <v>2677</v>
      </c>
      <c r="B247" s="886">
        <v>5354</v>
      </c>
      <c r="C247" s="886">
        <v>7166329</v>
      </c>
      <c r="D247" s="950" t="s">
        <v>2501</v>
      </c>
      <c r="E247" s="115">
        <f>B247-MOD(E$1-A247*3,B247)</f>
        <v>2205</v>
      </c>
      <c r="F247" s="644">
        <f>IF(MOD(E247,5)=0,B247,0)+E247</f>
        <v>7559</v>
      </c>
      <c r="G247" s="814">
        <f>IF(MOD(F247+$B247,5)=0,$B247,0)+$B247+F247</f>
        <v>12913</v>
      </c>
      <c r="H247" s="785">
        <f>IF(MOD(G247+$B247,5)=0,$B247,0)+$B247+G247</f>
        <v>18267</v>
      </c>
      <c r="I247" s="785">
        <f>IF(MOD(H247+$B247,5)=0,$B247,0)+$B247+H247</f>
        <v>23621</v>
      </c>
      <c r="J247" s="911">
        <v>755</v>
      </c>
      <c r="K247" s="892">
        <v>1291</v>
      </c>
      <c r="L247" s="785">
        <v>1826</v>
      </c>
      <c r="M247" s="785">
        <v>2362</v>
      </c>
      <c r="N247" s="23" t="str">
        <f>D247&amp;FIXED(MOD(F247,10),0)</f>
        <v>hh79</v>
      </c>
      <c r="O247" s="78" t="str">
        <f>MID(A$5,((FIND(N247,A$4,1)-1)+1),4)</f>
        <v>ebd7</v>
      </c>
      <c r="P247" s="94" t="s">
        <v>0</v>
      </c>
      <c r="Q247" s="78" t="s">
        <v>0</v>
      </c>
      <c r="R247" s="103" t="s">
        <v>0</v>
      </c>
      <c r="S247" s="103" t="s">
        <v>0</v>
      </c>
      <c r="T247" s="42" t="s">
        <v>1</v>
      </c>
    </row>
    <row r="248" spans="1:20" ht="12.75">
      <c r="A248" s="44">
        <v>2683</v>
      </c>
      <c r="B248" s="886">
        <v>5366</v>
      </c>
      <c r="C248" s="886">
        <v>7198489</v>
      </c>
      <c r="D248" s="950" t="s">
        <v>2496</v>
      </c>
      <c r="E248" s="115">
        <f>B248-MOD(E$1-A248*3,B248)</f>
        <v>4447</v>
      </c>
      <c r="F248" s="644">
        <f>IF(MOD(E248,5)=0,B248,0)+E248</f>
        <v>4447</v>
      </c>
      <c r="G248" s="814">
        <f>IF(MOD(F248+$B248,5)=0,$B248,0)+$B248+F248</f>
        <v>9813</v>
      </c>
      <c r="H248" s="785">
        <f>IF(MOD(G248+$B248,5)=0,$B248,0)+$B248+G248</f>
        <v>15179</v>
      </c>
      <c r="I248" s="785">
        <f>IF(MOD(H248+$B248,5)=0,$B248,0)+$B248+H248</f>
        <v>25911</v>
      </c>
      <c r="J248" s="911">
        <v>444</v>
      </c>
      <c r="K248" s="892">
        <v>981</v>
      </c>
      <c r="L248" s="785">
        <v>1517</v>
      </c>
      <c r="M248" s="785">
        <v>2591</v>
      </c>
      <c r="N248" s="23" t="str">
        <f>D248&amp;FIXED(MOD(F248,10),0)</f>
        <v>hh37</v>
      </c>
      <c r="O248" s="78" t="str">
        <f>MID(A$5,((FIND(N248,A$4,1)-1)+1),4)</f>
        <v>dbe7</v>
      </c>
      <c r="P248" s="94" t="s">
        <v>0</v>
      </c>
      <c r="Q248" s="78" t="s">
        <v>0</v>
      </c>
      <c r="R248" s="103" t="s">
        <v>0</v>
      </c>
      <c r="S248" s="103" t="s">
        <v>0</v>
      </c>
      <c r="T248" s="42" t="s">
        <v>1</v>
      </c>
    </row>
    <row r="249" spans="1:20" ht="12.75">
      <c r="A249" s="44">
        <v>2687</v>
      </c>
      <c r="B249" s="886">
        <v>5374</v>
      </c>
      <c r="C249" s="886">
        <v>7219969</v>
      </c>
      <c r="D249" s="950" t="s">
        <v>2501</v>
      </c>
      <c r="E249" s="115">
        <f>B249-MOD(E$1-A249*3,B249)</f>
        <v>1657</v>
      </c>
      <c r="F249" s="644">
        <f>IF(MOD(E249,5)=0,B249,0)+E249</f>
        <v>1657</v>
      </c>
      <c r="G249" s="814">
        <f>IF(MOD(F249+$B249,5)=0,$B249,0)+$B249+F249</f>
        <v>7031</v>
      </c>
      <c r="H249" s="785">
        <f>IF(MOD(G249+$B249,5)=0,$B249,0)+$B249+G249</f>
        <v>17779</v>
      </c>
      <c r="I249" s="785">
        <f>IF(MOD(H249+$B249,5)=0,$B249,0)+$B249+H249</f>
        <v>23153</v>
      </c>
      <c r="J249" s="911">
        <v>165</v>
      </c>
      <c r="K249" s="892">
        <v>703</v>
      </c>
      <c r="L249" s="785">
        <v>1777</v>
      </c>
      <c r="M249" s="785">
        <v>2315</v>
      </c>
      <c r="N249" s="23" t="str">
        <f>D249&amp;FIXED(MOD(F249,10),0)</f>
        <v>hh77</v>
      </c>
      <c r="O249" s="78" t="str">
        <f>MID(A$5,((FIND(N249,A$4,1)-1)+1),4)</f>
        <v>d7eb</v>
      </c>
      <c r="P249" s="94" t="s">
        <v>0</v>
      </c>
      <c r="Q249" s="78" t="s">
        <v>0</v>
      </c>
      <c r="R249" s="103" t="s">
        <v>0</v>
      </c>
      <c r="S249" s="103" t="s">
        <v>0</v>
      </c>
      <c r="T249" s="42" t="s">
        <v>1</v>
      </c>
    </row>
    <row r="250" spans="1:20" ht="12.75">
      <c r="A250" s="44">
        <v>2689</v>
      </c>
      <c r="B250" s="886">
        <v>5378</v>
      </c>
      <c r="C250" s="886">
        <v>7230721</v>
      </c>
      <c r="D250" s="950" t="s">
        <v>2506</v>
      </c>
      <c r="E250" s="115">
        <f>B250-MOD(E$1-A250*3,B250)</f>
        <v>1287</v>
      </c>
      <c r="F250" s="644">
        <f>IF(MOD(E250,5)=0,B250,0)+E250</f>
        <v>1287</v>
      </c>
      <c r="G250" s="814">
        <f>IF(MOD(F250+$B250,5)=0,$B250,0)+$B250+F250</f>
        <v>12043</v>
      </c>
      <c r="H250" s="785">
        <f>IF(MOD(G250+$B250,5)=0,$B250,0)+$B250+G250</f>
        <v>17421</v>
      </c>
      <c r="I250" s="785">
        <f>IF(MOD(H250+$B250,5)=0,$B250,0)+$B250+H250</f>
        <v>22799</v>
      </c>
      <c r="J250" s="911">
        <v>128</v>
      </c>
      <c r="K250" s="892">
        <v>1204</v>
      </c>
      <c r="L250" s="785">
        <v>1742</v>
      </c>
      <c r="M250" s="785">
        <v>2279</v>
      </c>
      <c r="N250" s="23" t="str">
        <f>D250&amp;FIXED(MOD(F250,10),0)</f>
        <v>hh97</v>
      </c>
      <c r="O250" s="78" t="str">
        <f>MID(A$5,((FIND(N250,A$4,1)-1)+1),4)</f>
        <v>db7e</v>
      </c>
      <c r="P250" s="94" t="s">
        <v>0</v>
      </c>
      <c r="Q250" s="78" t="s">
        <v>0</v>
      </c>
      <c r="R250" s="103" t="s">
        <v>0</v>
      </c>
      <c r="S250" s="103" t="s">
        <v>0</v>
      </c>
      <c r="T250" s="42" t="s">
        <v>1</v>
      </c>
    </row>
    <row r="251" spans="1:20" ht="12.75">
      <c r="A251" s="44">
        <v>2693</v>
      </c>
      <c r="B251" s="886">
        <v>5386</v>
      </c>
      <c r="C251" s="886">
        <v>7252249</v>
      </c>
      <c r="D251" s="950" t="s">
        <v>2496</v>
      </c>
      <c r="E251" s="115">
        <f>B251-MOD(E$1-A251*3,B251)</f>
        <v>4631</v>
      </c>
      <c r="F251" s="644">
        <f>IF(MOD(E251,5)=0,B251,0)+E251</f>
        <v>4631</v>
      </c>
      <c r="G251" s="814">
        <f>IF(MOD(F251+$B251,5)=0,$B251,0)+$B251+F251</f>
        <v>10017</v>
      </c>
      <c r="H251" s="785">
        <f>IF(MOD(G251+$B251,5)=0,$B251,0)+$B251+G251</f>
        <v>15403</v>
      </c>
      <c r="I251" s="785">
        <f>IF(MOD(H251+$B251,5)=0,$B251,0)+$B251+H251</f>
        <v>20789</v>
      </c>
      <c r="J251" s="911">
        <v>463</v>
      </c>
      <c r="K251" s="892">
        <v>1001</v>
      </c>
      <c r="L251" s="785">
        <v>1540</v>
      </c>
      <c r="M251" s="785">
        <v>2078</v>
      </c>
      <c r="N251" s="23" t="str">
        <f>D251&amp;FIXED(MOD(F251,10),0)</f>
        <v>hh31</v>
      </c>
      <c r="O251" s="78" t="str">
        <f>MID(A$5,((FIND(N251,A$4,1)-1)+1),4)</f>
        <v>7dbe</v>
      </c>
      <c r="P251" s="94" t="s">
        <v>0</v>
      </c>
      <c r="Q251" s="78" t="s">
        <v>0</v>
      </c>
      <c r="R251" s="103" t="s">
        <v>0</v>
      </c>
      <c r="S251" s="103" t="s">
        <v>0</v>
      </c>
      <c r="T251" s="42" t="s">
        <v>1</v>
      </c>
    </row>
    <row r="252" spans="1:20" ht="12.75">
      <c r="A252" s="44">
        <v>2699</v>
      </c>
      <c r="B252" s="886">
        <v>5398</v>
      </c>
      <c r="C252" s="886">
        <v>7284601</v>
      </c>
      <c r="D252" s="950" t="s">
        <v>2506</v>
      </c>
      <c r="E252" s="115">
        <f>B252-MOD(E$1-A252*3,B252)</f>
        <v>4271</v>
      </c>
      <c r="F252" s="644">
        <f>IF(MOD(E252,5)=0,B252,0)+E252</f>
        <v>4271</v>
      </c>
      <c r="G252" s="814">
        <f>IF(MOD(F252+$B252,5)=0,$B252,0)+$B252+F252</f>
        <v>9669</v>
      </c>
      <c r="H252" s="785">
        <f>IF(MOD(G252+$B252,5)=0,$B252,0)+$B252+G252</f>
        <v>15067</v>
      </c>
      <c r="I252" s="785">
        <f>IF(MOD(H252+$B252,5)=0,$B252,0)+$B252+H252</f>
        <v>25863</v>
      </c>
      <c r="J252" s="911">
        <v>427</v>
      </c>
      <c r="K252" s="892">
        <v>966</v>
      </c>
      <c r="L252" s="785">
        <v>1506</v>
      </c>
      <c r="M252" s="785">
        <v>2586</v>
      </c>
      <c r="N252" s="23" t="str">
        <f>D252&amp;FIXED(MOD(F252,10),0)</f>
        <v>hh91</v>
      </c>
      <c r="O252" s="78" t="str">
        <f>MID(A$5,((FIND(N252,A$4,1)-1)+1),4)</f>
        <v>7edb</v>
      </c>
      <c r="P252" s="94" t="s">
        <v>0</v>
      </c>
      <c r="Q252" s="78" t="s">
        <v>0</v>
      </c>
      <c r="R252" s="103" t="s">
        <v>0</v>
      </c>
      <c r="S252" s="103" t="s">
        <v>0</v>
      </c>
      <c r="T252" s="42" t="s">
        <v>1</v>
      </c>
    </row>
    <row r="253" spans="1:20" ht="12.75">
      <c r="A253" s="44">
        <v>2707</v>
      </c>
      <c r="B253" s="886">
        <v>5414</v>
      </c>
      <c r="C253" s="886">
        <v>7327849</v>
      </c>
      <c r="D253" s="950" t="s">
        <v>2501</v>
      </c>
      <c r="E253" s="115">
        <f>B253-MOD(E$1-A253*3,B253)</f>
        <v>3471</v>
      </c>
      <c r="F253" s="644">
        <f>IF(MOD(E253,5)=0,B253,0)+E253</f>
        <v>3471</v>
      </c>
      <c r="G253" s="814">
        <f>IF(MOD(F253+$B253,5)=0,$B253,0)+$B253+F253</f>
        <v>14299</v>
      </c>
      <c r="H253" s="785">
        <f>IF(MOD(G253+$B253,5)=0,$B253,0)+$B253+G253</f>
        <v>19713</v>
      </c>
      <c r="I253" s="785">
        <f>IF(MOD(H253+$B253,5)=0,$B253,0)+$B253+H253</f>
        <v>25127</v>
      </c>
      <c r="J253" s="911">
        <v>347</v>
      </c>
      <c r="K253" s="892">
        <v>1429</v>
      </c>
      <c r="L253" s="785">
        <v>1971</v>
      </c>
      <c r="M253" s="785">
        <v>2512</v>
      </c>
      <c r="N253" s="23" t="str">
        <f>D253&amp;FIXED(MOD(F253,10),0)</f>
        <v>hh71</v>
      </c>
      <c r="O253" s="78" t="str">
        <f>MID(A$5,((FIND(N253,A$4,1)-1)+1),4)</f>
        <v>7ebd</v>
      </c>
      <c r="P253" s="94" t="s">
        <v>0</v>
      </c>
      <c r="Q253" s="78" t="s">
        <v>0</v>
      </c>
      <c r="R253" s="103" t="s">
        <v>0</v>
      </c>
      <c r="S253" s="103" t="s">
        <v>0</v>
      </c>
      <c r="T253" s="42" t="s">
        <v>1</v>
      </c>
    </row>
    <row r="254" spans="1:20" ht="12.75">
      <c r="A254" s="44">
        <v>2711</v>
      </c>
      <c r="B254" s="886">
        <v>5422</v>
      </c>
      <c r="C254" s="886">
        <v>7349521</v>
      </c>
      <c r="D254" s="950" t="s">
        <v>2490</v>
      </c>
      <c r="E254" s="115">
        <f>B254-MOD(E$1-A254*3,B254)</f>
        <v>565</v>
      </c>
      <c r="F254" s="644">
        <f>IF(MOD(E254,5)=0,B254,0)+E254</f>
        <v>5987</v>
      </c>
      <c r="G254" s="814">
        <f>IF(MOD(F254+$B254,5)=0,$B254,0)+$B254+F254</f>
        <v>11409</v>
      </c>
      <c r="H254" s="785">
        <f>IF(MOD(G254+$B254,5)=0,$B254,0)+$B254+G254</f>
        <v>16831</v>
      </c>
      <c r="I254" s="785">
        <f>IF(MOD(H254+$B254,5)=0,$B254,0)+$B254+H254</f>
        <v>22253</v>
      </c>
      <c r="J254" s="911">
        <v>598</v>
      </c>
      <c r="K254" s="892">
        <v>1140</v>
      </c>
      <c r="L254" s="785">
        <v>1683</v>
      </c>
      <c r="M254" s="785">
        <v>2225</v>
      </c>
      <c r="N254" s="23" t="str">
        <f>D254&amp;FIXED(MOD(F254,10),0)</f>
        <v>hh17</v>
      </c>
      <c r="O254" s="78" t="str">
        <f>MID(A$5,((FIND(N254,A$4,1)-1)+1),4)</f>
        <v>de7b</v>
      </c>
      <c r="P254" s="94" t="s">
        <v>0</v>
      </c>
      <c r="Q254" s="78" t="s">
        <v>0</v>
      </c>
      <c r="R254" s="103" t="s">
        <v>0</v>
      </c>
      <c r="S254" s="103" t="s">
        <v>0</v>
      </c>
      <c r="T254" s="42" t="s">
        <v>1</v>
      </c>
    </row>
    <row r="255" spans="1:20" ht="12.75">
      <c r="A255" s="44">
        <v>2713</v>
      </c>
      <c r="B255" s="886">
        <v>5426</v>
      </c>
      <c r="C255" s="886">
        <v>7360369</v>
      </c>
      <c r="D255" s="950" t="s">
        <v>2496</v>
      </c>
      <c r="E255" s="115">
        <f>B255-MOD(E$1-A255*3,B255)</f>
        <v>4917</v>
      </c>
      <c r="F255" s="644">
        <f>IF(MOD(E255,5)=0,B255,0)+E255</f>
        <v>4917</v>
      </c>
      <c r="G255" s="814">
        <f>IF(MOD(F255+$B255,5)=0,$B255,0)+$B255+F255</f>
        <v>10343</v>
      </c>
      <c r="H255" s="785">
        <f>IF(MOD(G255+$B255,5)=0,$B255,0)+$B255+G255</f>
        <v>15769</v>
      </c>
      <c r="I255" s="785">
        <f>IF(MOD(H255+$B255,5)=0,$B255,0)+$B255+H255</f>
        <v>26621</v>
      </c>
      <c r="J255" s="911">
        <v>491</v>
      </c>
      <c r="K255" s="892">
        <v>1034</v>
      </c>
      <c r="L255" s="785">
        <v>1576</v>
      </c>
      <c r="M255" s="785">
        <v>2662</v>
      </c>
      <c r="N255" s="23" t="str">
        <f>D255&amp;FIXED(MOD(F255,10),0)</f>
        <v>hh37</v>
      </c>
      <c r="O255" s="78" t="str">
        <f>MID(A$5,((FIND(N255,A$4,1)-1)+1),4)</f>
        <v>dbe7</v>
      </c>
      <c r="P255" s="94" t="s">
        <v>0</v>
      </c>
      <c r="Q255" s="78" t="s">
        <v>0</v>
      </c>
      <c r="R255" s="103" t="s">
        <v>0</v>
      </c>
      <c r="S255" s="103" t="s">
        <v>0</v>
      </c>
      <c r="T255" s="42" t="s">
        <v>1</v>
      </c>
    </row>
    <row r="256" spans="1:20" ht="12.75">
      <c r="A256" s="44">
        <v>2719</v>
      </c>
      <c r="B256" s="886">
        <v>5438</v>
      </c>
      <c r="C256" s="886">
        <v>7392961</v>
      </c>
      <c r="D256" s="950" t="s">
        <v>2506</v>
      </c>
      <c r="E256" s="115">
        <f>B256-MOD(E$1-A256*3,B256)</f>
        <v>4237</v>
      </c>
      <c r="F256" s="644">
        <f>IF(MOD(E256,5)=0,B256,0)+E256</f>
        <v>4237</v>
      </c>
      <c r="G256" s="814">
        <f>IF(MOD(F256+$B256,5)=0,$B256,0)+$B256+F256</f>
        <v>15113</v>
      </c>
      <c r="H256" s="785">
        <f>IF(MOD(G256+$B256,5)=0,$B256,0)+$B256+G256</f>
        <v>20551</v>
      </c>
      <c r="I256" s="785">
        <f>IF(MOD(H256+$B256,5)=0,$B256,0)+$B256+H256</f>
        <v>25989</v>
      </c>
      <c r="J256" s="911">
        <v>423</v>
      </c>
      <c r="K256" s="892">
        <v>1511</v>
      </c>
      <c r="L256" s="785">
        <v>2055</v>
      </c>
      <c r="M256" s="785">
        <v>2598</v>
      </c>
      <c r="N256" s="23" t="str">
        <f>D256&amp;FIXED(MOD(F256,10),0)</f>
        <v>hh97</v>
      </c>
      <c r="O256" s="78" t="str">
        <f>MID(A$5,((FIND(N256,A$4,1)-1)+1),4)</f>
        <v>db7e</v>
      </c>
      <c r="P256" s="94" t="s">
        <v>0</v>
      </c>
      <c r="Q256" s="78" t="s">
        <v>0</v>
      </c>
      <c r="R256" s="103" t="s">
        <v>0</v>
      </c>
      <c r="S256" s="103" t="s">
        <v>0</v>
      </c>
      <c r="T256" s="42" t="s">
        <v>1</v>
      </c>
    </row>
    <row r="257" spans="1:20" ht="12.75">
      <c r="A257" s="44">
        <v>2729</v>
      </c>
      <c r="B257" s="886">
        <v>5458</v>
      </c>
      <c r="C257" s="886">
        <v>7447441</v>
      </c>
      <c r="D257" s="950" t="s">
        <v>2506</v>
      </c>
      <c r="E257" s="115">
        <f>B257-MOD(E$1-A257*3,B257)</f>
        <v>5031</v>
      </c>
      <c r="F257" s="644">
        <f>IF(MOD(E257,5)=0,B257,0)+E257</f>
        <v>5031</v>
      </c>
      <c r="G257" s="814">
        <f>IF(MOD(F257+$B257,5)=0,$B257,0)+$B257+F257</f>
        <v>10489</v>
      </c>
      <c r="H257" s="785">
        <f>IF(MOD(G257+$B257,5)=0,$B257,0)+$B257+G257</f>
        <v>15947</v>
      </c>
      <c r="I257" s="785">
        <f>IF(MOD(H257+$B257,5)=0,$B257,0)+$B257+H257</f>
        <v>26863</v>
      </c>
      <c r="J257" s="911">
        <v>503</v>
      </c>
      <c r="K257" s="892">
        <v>1048</v>
      </c>
      <c r="L257" s="785">
        <v>1594</v>
      </c>
      <c r="M257" s="785">
        <v>2686</v>
      </c>
      <c r="N257" s="23" t="str">
        <f>D257&amp;FIXED(MOD(F257,10),0)</f>
        <v>hh91</v>
      </c>
      <c r="O257" s="78" t="str">
        <f>MID(A$5,((FIND(N257,A$4,1)-1)+1),4)</f>
        <v>7edb</v>
      </c>
      <c r="P257" s="94" t="s">
        <v>0</v>
      </c>
      <c r="Q257" s="78" t="s">
        <v>0</v>
      </c>
      <c r="R257" s="103" t="s">
        <v>0</v>
      </c>
      <c r="S257" s="103" t="s">
        <v>0</v>
      </c>
      <c r="T257" s="42" t="s">
        <v>1</v>
      </c>
    </row>
    <row r="258" spans="1:20" ht="12.75">
      <c r="A258" s="44">
        <v>2731</v>
      </c>
      <c r="B258" s="886">
        <v>5462</v>
      </c>
      <c r="C258" s="886">
        <v>7458361</v>
      </c>
      <c r="D258" s="950" t="s">
        <v>2490</v>
      </c>
      <c r="E258" s="115">
        <f>B258-MOD(E$1-A258*3,B258)</f>
        <v>4401</v>
      </c>
      <c r="F258" s="644">
        <f>IF(MOD(E258,5)=0,B258,0)+E258</f>
        <v>4401</v>
      </c>
      <c r="G258" s="814">
        <f>IF(MOD(F258+$B258,5)=0,$B258,0)+$B258+F258</f>
        <v>9863</v>
      </c>
      <c r="H258" s="785">
        <f>IF(MOD(G258+$B258,5)=0,$B258,0)+$B258+G258</f>
        <v>20787</v>
      </c>
      <c r="I258" s="785">
        <f>IF(MOD(H258+$B258,5)=0,$B258,0)+$B258+H258</f>
        <v>26249</v>
      </c>
      <c r="J258" s="911">
        <v>440</v>
      </c>
      <c r="K258" s="892">
        <v>986</v>
      </c>
      <c r="L258" s="785">
        <v>2078</v>
      </c>
      <c r="M258" s="785">
        <v>2624</v>
      </c>
      <c r="N258" s="23" t="str">
        <f>D258&amp;FIXED(MOD(F258,10),0)</f>
        <v>hh11</v>
      </c>
      <c r="O258" s="78" t="str">
        <f>MID(A$5,((FIND(N258,A$4,1)-1)+1),4)</f>
        <v>7bde</v>
      </c>
      <c r="P258" s="94" t="s">
        <v>0</v>
      </c>
      <c r="Q258" s="78" t="s">
        <v>0</v>
      </c>
      <c r="R258" s="103" t="s">
        <v>0</v>
      </c>
      <c r="S258" s="103" t="s">
        <v>0</v>
      </c>
      <c r="T258" s="42" t="s">
        <v>1</v>
      </c>
    </row>
    <row r="259" spans="1:20" ht="12.75">
      <c r="A259" s="44">
        <v>2741</v>
      </c>
      <c r="B259" s="886">
        <v>5482</v>
      </c>
      <c r="C259" s="886">
        <v>7513081</v>
      </c>
      <c r="D259" s="950" t="s">
        <v>2490</v>
      </c>
      <c r="E259" s="115">
        <f>B259-MOD(E$1-A259*3,B259)</f>
        <v>4009</v>
      </c>
      <c r="F259" s="644">
        <f>IF(MOD(E259,5)=0,B259,0)+E259</f>
        <v>4009</v>
      </c>
      <c r="G259" s="814">
        <f>IF(MOD(F259+$B259,5)=0,$B259,0)+$B259+F259</f>
        <v>9491</v>
      </c>
      <c r="H259" s="785">
        <f>IF(MOD(G259+$B259,5)=0,$B259,0)+$B259+G259</f>
        <v>14973</v>
      </c>
      <c r="I259" s="785">
        <f>IF(MOD(H259+$B259,5)=0,$B259,0)+$B259+H259</f>
        <v>25937</v>
      </c>
      <c r="J259" s="911">
        <v>400</v>
      </c>
      <c r="K259" s="892">
        <v>949</v>
      </c>
      <c r="L259" s="785">
        <v>1497</v>
      </c>
      <c r="M259" s="785">
        <v>2593</v>
      </c>
      <c r="N259" s="23" t="str">
        <f>D259&amp;FIXED(MOD(F259,10),0)</f>
        <v>hh19</v>
      </c>
      <c r="O259" s="78" t="str">
        <f>MID(A$5,((FIND(N259,A$4,1)-1)+1),4)</f>
        <v>e7bd</v>
      </c>
      <c r="P259" s="94" t="s">
        <v>0</v>
      </c>
      <c r="Q259" s="78" t="s">
        <v>0</v>
      </c>
      <c r="R259" s="103" t="s">
        <v>0</v>
      </c>
      <c r="S259" s="103" t="s">
        <v>0</v>
      </c>
      <c r="T259" s="42" t="s">
        <v>1</v>
      </c>
    </row>
    <row r="260" spans="1:20" ht="12.75">
      <c r="A260" s="44">
        <v>2749</v>
      </c>
      <c r="B260" s="886">
        <v>5498</v>
      </c>
      <c r="C260" s="886">
        <v>7557001</v>
      </c>
      <c r="D260" s="950" t="s">
        <v>2506</v>
      </c>
      <c r="E260" s="115">
        <f>B260-MOD(E$1-A260*3,B260)</f>
        <v>3469</v>
      </c>
      <c r="F260" s="644">
        <f>IF(MOD(E260,5)=0,B260,0)+E260</f>
        <v>3469</v>
      </c>
      <c r="G260" s="814">
        <f>IF(MOD(F260+$B260,5)=0,$B260,0)+$B260+F260</f>
        <v>8967</v>
      </c>
      <c r="H260" s="785">
        <f>IF(MOD(G260+$B260,5)=0,$B260,0)+$B260+G260</f>
        <v>19963</v>
      </c>
      <c r="I260" s="785">
        <f>IF(MOD(H260+$B260,5)=0,$B260,0)+$B260+H260</f>
        <v>25461</v>
      </c>
      <c r="J260" s="911">
        <v>346</v>
      </c>
      <c r="K260" s="892">
        <v>896</v>
      </c>
      <c r="L260" s="785">
        <v>1996</v>
      </c>
      <c r="M260" s="785">
        <v>2546</v>
      </c>
      <c r="N260" s="23" t="str">
        <f>D260&amp;FIXED(MOD(F260,10),0)</f>
        <v>hh99</v>
      </c>
      <c r="O260" s="78" t="str">
        <f>MID(A$5,((FIND(N260,A$4,1)-1)+1),4)</f>
        <v>edb7</v>
      </c>
      <c r="P260" s="94" t="s">
        <v>0</v>
      </c>
      <c r="Q260" s="78" t="s">
        <v>0</v>
      </c>
      <c r="R260" s="103" t="s">
        <v>0</v>
      </c>
      <c r="S260" s="103" t="s">
        <v>0</v>
      </c>
      <c r="T260" s="42" t="s">
        <v>1</v>
      </c>
    </row>
    <row r="261" spans="1:20" ht="12.75">
      <c r="A261" s="44">
        <v>2753</v>
      </c>
      <c r="B261" s="886">
        <v>5506</v>
      </c>
      <c r="C261" s="886">
        <v>7579009</v>
      </c>
      <c r="D261" s="950" t="s">
        <v>2496</v>
      </c>
      <c r="E261" s="115">
        <f>B261-MOD(E$1-A261*3,B261)</f>
        <v>4849</v>
      </c>
      <c r="F261" s="644">
        <f>IF(MOD(E261,5)=0,B261,0)+E261</f>
        <v>4849</v>
      </c>
      <c r="G261" s="814">
        <f>IF(MOD(F261+$B261,5)=0,$B261,0)+$B261+F261</f>
        <v>15861</v>
      </c>
      <c r="H261" s="785">
        <f>IF(MOD(G261+$B261,5)=0,$B261,0)+$B261+G261</f>
        <v>21367</v>
      </c>
      <c r="I261" s="785">
        <f>IF(MOD(H261+$B261,5)=0,$B261,0)+$B261+H261</f>
        <v>26873</v>
      </c>
      <c r="J261" s="911">
        <v>484</v>
      </c>
      <c r="K261" s="892">
        <v>1586</v>
      </c>
      <c r="L261" s="785">
        <v>2136</v>
      </c>
      <c r="M261" s="785">
        <v>2687</v>
      </c>
      <c r="N261" s="23" t="str">
        <f>D261&amp;FIXED(MOD(F261,10),0)</f>
        <v>hh39</v>
      </c>
      <c r="O261" s="78" t="str">
        <f>MID(A$5,((FIND(N261,A$4,1)-1)+1),4)</f>
        <v>e7db</v>
      </c>
      <c r="P261" s="94" t="s">
        <v>0</v>
      </c>
      <c r="Q261" s="78" t="s">
        <v>0</v>
      </c>
      <c r="R261" s="103" t="s">
        <v>0</v>
      </c>
      <c r="S261" s="103" t="s">
        <v>0</v>
      </c>
      <c r="T261" s="42" t="s">
        <v>1</v>
      </c>
    </row>
    <row r="262" spans="1:20" ht="12.75">
      <c r="A262" s="44">
        <v>2767</v>
      </c>
      <c r="B262" s="886">
        <v>5534</v>
      </c>
      <c r="C262" s="886">
        <v>7656289</v>
      </c>
      <c r="D262" s="950" t="s">
        <v>2501</v>
      </c>
      <c r="E262" s="115">
        <f>B262-MOD(E$1-A262*3,B262)</f>
        <v>1389</v>
      </c>
      <c r="F262" s="644">
        <f>IF(MOD(E262,5)=0,B262,0)+E262</f>
        <v>1389</v>
      </c>
      <c r="G262" s="814">
        <f>IF(MOD(F262+$B262,5)=0,$B262,0)+$B262+F262</f>
        <v>6923</v>
      </c>
      <c r="H262" s="785">
        <f>IF(MOD(G262+$B262,5)=0,$B262,0)+$B262+G262</f>
        <v>12457</v>
      </c>
      <c r="I262" s="785">
        <f>IF(MOD(H262+$B262,5)=0,$B262,0)+$B262+H262</f>
        <v>17991</v>
      </c>
      <c r="J262" s="911">
        <v>138</v>
      </c>
      <c r="K262" s="892">
        <v>692</v>
      </c>
      <c r="L262" s="785">
        <v>1245</v>
      </c>
      <c r="M262" s="785">
        <v>1799</v>
      </c>
      <c r="N262" s="23" t="str">
        <f>D262&amp;FIXED(MOD(F262,10),0)</f>
        <v>hh79</v>
      </c>
      <c r="O262" s="78" t="str">
        <f>MID(A$5,((FIND(N262,A$4,1)-1)+1),4)</f>
        <v>ebd7</v>
      </c>
      <c r="P262" s="94" t="s">
        <v>0</v>
      </c>
      <c r="Q262" s="78" t="s">
        <v>0</v>
      </c>
      <c r="R262" s="103" t="s">
        <v>0</v>
      </c>
      <c r="S262" s="103" t="s">
        <v>0</v>
      </c>
      <c r="T262" s="42" t="s">
        <v>1</v>
      </c>
    </row>
    <row r="263" spans="1:20" ht="12.75">
      <c r="A263" s="44">
        <v>2777</v>
      </c>
      <c r="B263" s="886">
        <v>5554</v>
      </c>
      <c r="C263" s="886">
        <v>7711729</v>
      </c>
      <c r="D263" s="950" t="s">
        <v>2501</v>
      </c>
      <c r="E263" s="115">
        <f>B263-MOD(E$1-A263*3,B263)</f>
        <v>1645</v>
      </c>
      <c r="F263" s="644">
        <f>IF(MOD(E263,5)=0,B263,0)+E263</f>
        <v>7199</v>
      </c>
      <c r="G263" s="814">
        <f>IF(MOD(F263+$B263,5)=0,$B263,0)+$B263+F263</f>
        <v>12753</v>
      </c>
      <c r="H263" s="785">
        <f>IF(MOD(G263+$B263,5)=0,$B263,0)+$B263+G263</f>
        <v>18307</v>
      </c>
      <c r="I263" s="785">
        <f>IF(MOD(H263+$B263,5)=0,$B263,0)+$B263+H263</f>
        <v>23861</v>
      </c>
      <c r="J263" s="911">
        <v>719</v>
      </c>
      <c r="K263" s="892">
        <v>1275</v>
      </c>
      <c r="L263" s="785">
        <v>1830</v>
      </c>
      <c r="M263" s="785">
        <v>2386</v>
      </c>
      <c r="N263" s="23" t="str">
        <f>D263&amp;FIXED(MOD(F263,10),0)</f>
        <v>hh79</v>
      </c>
      <c r="O263" s="78" t="str">
        <f>MID(A$5,((FIND(N263,A$4,1)-1)+1),4)</f>
        <v>ebd7</v>
      </c>
      <c r="P263" s="94" t="s">
        <v>0</v>
      </c>
      <c r="Q263" s="78" t="s">
        <v>0</v>
      </c>
      <c r="R263" s="103" t="s">
        <v>0</v>
      </c>
      <c r="S263" s="103" t="s">
        <v>0</v>
      </c>
      <c r="T263" s="42" t="s">
        <v>1</v>
      </c>
    </row>
    <row r="264" spans="1:20" ht="12.75">
      <c r="A264" s="44">
        <v>2789</v>
      </c>
      <c r="B264" s="886">
        <v>5578</v>
      </c>
      <c r="C264" s="886">
        <v>7778521</v>
      </c>
      <c r="D264" s="950" t="s">
        <v>2506</v>
      </c>
      <c r="E264" s="115">
        <f>B264-MOD(E$1-A264*3,B264)</f>
        <v>4327</v>
      </c>
      <c r="F264" s="644">
        <f>IF(MOD(E264,5)=0,B264,0)+E264</f>
        <v>4327</v>
      </c>
      <c r="G264" s="814">
        <f>IF(MOD(F264+$B264,5)=0,$B264,0)+$B264+F264</f>
        <v>15483</v>
      </c>
      <c r="H264" s="785">
        <f>IF(MOD(G264+$B264,5)=0,$B264,0)+$B264+G264</f>
        <v>21061</v>
      </c>
      <c r="I264" s="785">
        <f>IF(MOD(H264+$B264,5)=0,$B264,0)+$B264+H264</f>
        <v>26639</v>
      </c>
      <c r="J264" s="911">
        <v>432</v>
      </c>
      <c r="K264" s="892">
        <v>1548</v>
      </c>
      <c r="L264" s="785">
        <v>2106</v>
      </c>
      <c r="M264" s="785">
        <v>2663</v>
      </c>
      <c r="N264" s="23" t="str">
        <f>D264&amp;FIXED(MOD(F264,10),0)</f>
        <v>hh97</v>
      </c>
      <c r="O264" s="78" t="str">
        <f>MID(A$5,((FIND(N264,A$4,1)-1)+1),4)</f>
        <v>db7e</v>
      </c>
      <c r="P264" s="94" t="s">
        <v>0</v>
      </c>
      <c r="Q264" s="78" t="s">
        <v>0</v>
      </c>
      <c r="R264" s="103" t="s">
        <v>0</v>
      </c>
      <c r="S264" s="103" t="s">
        <v>0</v>
      </c>
      <c r="T264" s="42" t="s">
        <v>1</v>
      </c>
    </row>
    <row r="265" spans="1:20" ht="12.75">
      <c r="A265" s="44">
        <v>2791</v>
      </c>
      <c r="B265" s="886">
        <v>5582</v>
      </c>
      <c r="C265" s="886">
        <v>7789681</v>
      </c>
      <c r="D265" s="950" t="s">
        <v>2490</v>
      </c>
      <c r="E265" s="115">
        <f>B265-MOD(E$1-A265*3,B265)</f>
        <v>3301</v>
      </c>
      <c r="F265" s="644">
        <f>IF(MOD(E265,5)=0,B265,0)+E265</f>
        <v>3301</v>
      </c>
      <c r="G265" s="814">
        <f>IF(MOD(F265+$B265,5)=0,$B265,0)+$B265+F265</f>
        <v>8883</v>
      </c>
      <c r="H265" s="785">
        <f>IF(MOD(G265+$B265,5)=0,$B265,0)+$B265+G265</f>
        <v>20047</v>
      </c>
      <c r="I265" s="785">
        <f>IF(MOD(H265+$B265,5)=0,$B265,0)+$B265+H265</f>
        <v>25629</v>
      </c>
      <c r="J265" s="911">
        <v>330</v>
      </c>
      <c r="K265" s="892">
        <v>888</v>
      </c>
      <c r="L265" s="785">
        <v>2004</v>
      </c>
      <c r="M265" s="785">
        <v>2562</v>
      </c>
      <c r="N265" s="23" t="str">
        <f>D265&amp;FIXED(MOD(F265,10),0)</f>
        <v>hh11</v>
      </c>
      <c r="O265" s="78" t="str">
        <f>MID(A$5,((FIND(N265,A$4,1)-1)+1),4)</f>
        <v>7bde</v>
      </c>
      <c r="P265" s="94" t="s">
        <v>0</v>
      </c>
      <c r="Q265" s="78" t="s">
        <v>0</v>
      </c>
      <c r="R265" s="103" t="s">
        <v>0</v>
      </c>
      <c r="S265" s="103" t="s">
        <v>0</v>
      </c>
      <c r="T265" s="42" t="s">
        <v>1</v>
      </c>
    </row>
    <row r="266" spans="1:20" ht="12.75">
      <c r="A266" s="44">
        <v>2797</v>
      </c>
      <c r="B266" s="886">
        <v>5594</v>
      </c>
      <c r="C266" s="886">
        <v>7823209</v>
      </c>
      <c r="D266" s="950" t="s">
        <v>2501</v>
      </c>
      <c r="E266" s="115">
        <f>B266-MOD(E$1-A266*3,B266)</f>
        <v>295</v>
      </c>
      <c r="F266" s="644">
        <f>IF(MOD(E266,5)=0,B266,0)+E266</f>
        <v>5889</v>
      </c>
      <c r="G266" s="814">
        <f>IF(MOD(F266+$B266,5)=0,$B266,0)+$B266+F266</f>
        <v>11483</v>
      </c>
      <c r="H266" s="785">
        <f>IF(MOD(G266+$B266,5)=0,$B266,0)+$B266+G266</f>
        <v>17077</v>
      </c>
      <c r="I266" s="785">
        <f>IF(MOD(H266+$B266,5)=0,$B266,0)+$B266+H266</f>
        <v>22671</v>
      </c>
      <c r="J266" s="911">
        <v>588</v>
      </c>
      <c r="K266" s="892">
        <v>1148</v>
      </c>
      <c r="L266" s="785">
        <v>1707</v>
      </c>
      <c r="M266" s="785">
        <v>2267</v>
      </c>
      <c r="N266" s="23" t="str">
        <f>D266&amp;FIXED(MOD(F266,10),0)</f>
        <v>hh79</v>
      </c>
      <c r="O266" s="78" t="str">
        <f>MID(A$5,((FIND(N266,A$4,1)-1)+1),4)</f>
        <v>ebd7</v>
      </c>
      <c r="P266" s="94" t="s">
        <v>0</v>
      </c>
      <c r="Q266" s="78" t="s">
        <v>0</v>
      </c>
      <c r="R266" s="103" t="s">
        <v>0</v>
      </c>
      <c r="S266" s="103" t="s">
        <v>0</v>
      </c>
      <c r="T266" s="42" t="s">
        <v>1</v>
      </c>
    </row>
    <row r="267" spans="1:20" ht="12.75">
      <c r="A267" s="44">
        <v>2801</v>
      </c>
      <c r="B267" s="886">
        <v>5602</v>
      </c>
      <c r="C267" s="886">
        <v>7845601</v>
      </c>
      <c r="D267" s="950" t="s">
        <v>2490</v>
      </c>
      <c r="E267" s="115">
        <f>B267-MOD(E$1-A267*3,B267)</f>
        <v>347</v>
      </c>
      <c r="F267" s="644">
        <f>IF(MOD(E267,5)=0,B267,0)+E267</f>
        <v>347</v>
      </c>
      <c r="G267" s="814">
        <f>IF(MOD(F267+$B267,5)=0,$B267,0)+$B267+F267</f>
        <v>5949</v>
      </c>
      <c r="H267" s="785">
        <f>IF(MOD(G267+$B267,5)=0,$B267,0)+$B267+G267</f>
        <v>11551</v>
      </c>
      <c r="I267" s="785">
        <f>IF(MOD(H267+$B267,5)=0,$B267,0)+$B267+H267</f>
        <v>17153</v>
      </c>
      <c r="J267" s="911">
        <v>34</v>
      </c>
      <c r="K267" s="892">
        <v>594</v>
      </c>
      <c r="L267" s="785">
        <v>1155</v>
      </c>
      <c r="M267" s="785">
        <v>1715</v>
      </c>
      <c r="N267" s="23" t="str">
        <f>D267&amp;FIXED(MOD(F267,10),0)</f>
        <v>hh17</v>
      </c>
      <c r="O267" s="78" t="str">
        <f>MID(A$5,((FIND(N267,A$4,1)-1)+1),4)</f>
        <v>de7b</v>
      </c>
      <c r="P267" s="94" t="s">
        <v>0</v>
      </c>
      <c r="Q267" s="78" t="s">
        <v>0</v>
      </c>
      <c r="R267" s="103" t="s">
        <v>0</v>
      </c>
      <c r="S267" s="103" t="s">
        <v>0</v>
      </c>
      <c r="T267" s="42" t="s">
        <v>1</v>
      </c>
    </row>
    <row r="268" spans="1:20" ht="12.75">
      <c r="A268" s="44">
        <v>2803</v>
      </c>
      <c r="B268" s="886">
        <v>5606</v>
      </c>
      <c r="C268" s="886">
        <v>7856809</v>
      </c>
      <c r="D268" s="950" t="s">
        <v>2496</v>
      </c>
      <c r="E268" s="115">
        <f>B268-MOD(E$1-A268*3,B268)</f>
        <v>2693</v>
      </c>
      <c r="F268" s="644">
        <f>IF(MOD(E268,5)=0,B268,0)+E268</f>
        <v>2693</v>
      </c>
      <c r="G268" s="814">
        <f>IF(MOD(F268+$B268,5)=0,$B268,0)+$B268+F268</f>
        <v>8299</v>
      </c>
      <c r="H268" s="785">
        <f>IF(MOD(G268+$B268,5)=0,$B268,0)+$B268+G268</f>
        <v>19511</v>
      </c>
      <c r="I268" s="785">
        <f>IF(MOD(H268+$B268,5)=0,$B268,0)+$B268+H268</f>
        <v>25117</v>
      </c>
      <c r="J268" s="911">
        <v>269</v>
      </c>
      <c r="K268" s="892">
        <v>829</v>
      </c>
      <c r="L268" s="785">
        <v>1951</v>
      </c>
      <c r="M268" s="785">
        <v>2511</v>
      </c>
      <c r="N268" s="23" t="str">
        <f>D268&amp;FIXED(MOD(F268,10),0)</f>
        <v>hh33</v>
      </c>
      <c r="O268" s="78" t="str">
        <f>MID(A$5,((FIND(N268,A$4,1)-1)+1),4)</f>
        <v>be7d</v>
      </c>
      <c r="P268" s="94" t="s">
        <v>0</v>
      </c>
      <c r="Q268" s="78" t="s">
        <v>0</v>
      </c>
      <c r="R268" s="103" t="s">
        <v>0</v>
      </c>
      <c r="S268" s="103" t="s">
        <v>0</v>
      </c>
      <c r="T268" s="42" t="s">
        <v>1</v>
      </c>
    </row>
    <row r="269" spans="1:20" ht="12.75">
      <c r="A269" s="44">
        <v>2819</v>
      </c>
      <c r="B269" s="886">
        <v>5638</v>
      </c>
      <c r="C269" s="886">
        <v>7946761</v>
      </c>
      <c r="D269" s="950" t="s">
        <v>2506</v>
      </c>
      <c r="E269" s="115">
        <f>B269-MOD(E$1-A269*3,B269)</f>
        <v>2253</v>
      </c>
      <c r="F269" s="644">
        <f>IF(MOD(E269,5)=0,B269,0)+E269</f>
        <v>2253</v>
      </c>
      <c r="G269" s="814">
        <f>IF(MOD(F269+$B269,5)=0,$B269,0)+$B269+F269</f>
        <v>7891</v>
      </c>
      <c r="H269" s="785">
        <f>IF(MOD(G269+$B269,5)=0,$B269,0)+$B269+G269</f>
        <v>13529</v>
      </c>
      <c r="I269" s="785">
        <f>IF(MOD(H269+$B269,5)=0,$B269,0)+$B269+H269</f>
        <v>19167</v>
      </c>
      <c r="J269" s="911">
        <v>225</v>
      </c>
      <c r="K269" s="892">
        <v>789</v>
      </c>
      <c r="L269" s="785">
        <v>1352</v>
      </c>
      <c r="M269" s="785">
        <v>1916</v>
      </c>
      <c r="N269" s="23" t="str">
        <f>D269&amp;FIXED(MOD(F269,10),0)</f>
        <v>hh93</v>
      </c>
      <c r="O269" s="78" t="str">
        <f>MID(A$5,((FIND(N269,A$4,1)-1)+1),4)</f>
        <v>b7ed</v>
      </c>
      <c r="P269" s="94" t="s">
        <v>0</v>
      </c>
      <c r="Q269" s="78" t="s">
        <v>0</v>
      </c>
      <c r="R269" s="103" t="s">
        <v>0</v>
      </c>
      <c r="S269" s="103" t="s">
        <v>0</v>
      </c>
      <c r="T269" s="42" t="s">
        <v>1</v>
      </c>
    </row>
    <row r="270" spans="1:20" ht="12.75">
      <c r="A270" s="44">
        <v>2833</v>
      </c>
      <c r="B270" s="886">
        <v>5666</v>
      </c>
      <c r="C270" s="886">
        <v>8025889</v>
      </c>
      <c r="D270" s="950" t="s">
        <v>2496</v>
      </c>
      <c r="E270" s="115">
        <f>B270-MOD(E$1-A270*3,B270)</f>
        <v>927</v>
      </c>
      <c r="F270" s="644">
        <f>IF(MOD(E270,5)=0,B270,0)+E270</f>
        <v>927</v>
      </c>
      <c r="G270" s="814">
        <f>IF(MOD(F270+$B270,5)=0,$B270,0)+$B270+F270</f>
        <v>6593</v>
      </c>
      <c r="H270" s="785">
        <f>IF(MOD(G270+$B270,5)=0,$B270,0)+$B270+G270</f>
        <v>12259</v>
      </c>
      <c r="I270" s="785">
        <f>IF(MOD(H270+$B270,5)=0,$B270,0)+$B270+H270</f>
        <v>23591</v>
      </c>
      <c r="J270" s="911">
        <v>92</v>
      </c>
      <c r="K270" s="892">
        <v>659</v>
      </c>
      <c r="L270" s="785">
        <v>1225</v>
      </c>
      <c r="M270" s="785">
        <v>2359</v>
      </c>
      <c r="N270" s="23" t="str">
        <f>D270&amp;FIXED(MOD(F270,10),0)</f>
        <v>hh37</v>
      </c>
      <c r="O270" s="78" t="str">
        <f>MID(A$5,((FIND(N270,A$4,1)-1)+1),4)</f>
        <v>dbe7</v>
      </c>
      <c r="P270" s="94" t="s">
        <v>0</v>
      </c>
      <c r="Q270" s="78" t="s">
        <v>0</v>
      </c>
      <c r="R270" s="103" t="s">
        <v>0</v>
      </c>
      <c r="S270" s="103" t="s">
        <v>0</v>
      </c>
      <c r="T270" s="42" t="s">
        <v>1</v>
      </c>
    </row>
    <row r="271" spans="1:20" ht="12.75">
      <c r="A271" s="44">
        <v>2837</v>
      </c>
      <c r="B271" s="886">
        <v>5674</v>
      </c>
      <c r="C271" s="886">
        <v>8048569</v>
      </c>
      <c r="D271" s="950" t="s">
        <v>2501</v>
      </c>
      <c r="E271" s="115">
        <f>B271-MOD(E$1-A271*3,B271)</f>
        <v>365</v>
      </c>
      <c r="F271" s="644">
        <f>IF(MOD(E271,5)=0,B271,0)+E271</f>
        <v>6039</v>
      </c>
      <c r="G271" s="814">
        <f>IF(MOD(F271+$B271,5)=0,$B271,0)+$B271+F271</f>
        <v>11713</v>
      </c>
      <c r="H271" s="785">
        <f>IF(MOD(G271+$B271,5)=0,$B271,0)+$B271+G271</f>
        <v>17387</v>
      </c>
      <c r="I271" s="785">
        <f>IF(MOD(H271+$B271,5)=0,$B271,0)+$B271+H271</f>
        <v>23061</v>
      </c>
      <c r="J271" s="911">
        <v>603</v>
      </c>
      <c r="K271" s="892">
        <v>1171</v>
      </c>
      <c r="L271" s="785">
        <v>1738</v>
      </c>
      <c r="M271" s="785">
        <v>2306</v>
      </c>
      <c r="N271" s="23" t="str">
        <f>D271&amp;FIXED(MOD(F271,10),0)</f>
        <v>hh79</v>
      </c>
      <c r="O271" s="78" t="str">
        <f>MID(A$5,((FIND(N271,A$4,1)-1)+1),4)</f>
        <v>ebd7</v>
      </c>
      <c r="P271" s="94" t="s">
        <v>0</v>
      </c>
      <c r="Q271" s="78" t="s">
        <v>0</v>
      </c>
      <c r="R271" s="103" t="s">
        <v>0</v>
      </c>
      <c r="S271" s="103" t="s">
        <v>0</v>
      </c>
      <c r="T271" s="42" t="s">
        <v>1</v>
      </c>
    </row>
    <row r="272" spans="1:20" ht="12.75">
      <c r="A272" s="44">
        <v>2843</v>
      </c>
      <c r="B272" s="886">
        <v>5686</v>
      </c>
      <c r="C272" s="886">
        <v>8082649</v>
      </c>
      <c r="D272" s="950" t="s">
        <v>2496</v>
      </c>
      <c r="E272" s="115">
        <f>B272-MOD(E$1-A272*3,B272)</f>
        <v>1951</v>
      </c>
      <c r="F272" s="644">
        <f>IF(MOD(E272,5)=0,B272,0)+E272</f>
        <v>1951</v>
      </c>
      <c r="G272" s="814">
        <f>IF(MOD(F272+$B272,5)=0,$B272,0)+$B272+F272</f>
        <v>7637</v>
      </c>
      <c r="H272" s="785">
        <f>IF(MOD(G272+$B272,5)=0,$B272,0)+$B272+G272</f>
        <v>13323</v>
      </c>
      <c r="I272" s="785">
        <f>IF(MOD(H272+$B272,5)=0,$B272,0)+$B272+H272</f>
        <v>19009</v>
      </c>
      <c r="J272" s="911">
        <v>195</v>
      </c>
      <c r="K272" s="892">
        <v>763</v>
      </c>
      <c r="L272" s="785">
        <v>1332</v>
      </c>
      <c r="M272" s="785">
        <v>1900</v>
      </c>
      <c r="N272" s="23" t="str">
        <f>D272&amp;FIXED(MOD(F272,10),0)</f>
        <v>hh31</v>
      </c>
      <c r="O272" s="78" t="str">
        <f>MID(A$5,((FIND(N272,A$4,1)-1)+1),4)</f>
        <v>7dbe</v>
      </c>
      <c r="P272" s="94" t="s">
        <v>0</v>
      </c>
      <c r="Q272" s="78" t="s">
        <v>0</v>
      </c>
      <c r="R272" s="103" t="s">
        <v>0</v>
      </c>
      <c r="S272" s="103" t="s">
        <v>0</v>
      </c>
      <c r="T272" s="42" t="s">
        <v>1</v>
      </c>
    </row>
    <row r="273" spans="1:20" ht="12.75">
      <c r="A273" s="44">
        <v>2851</v>
      </c>
      <c r="B273" s="886">
        <v>5702</v>
      </c>
      <c r="C273" s="886">
        <v>8128201</v>
      </c>
      <c r="D273" s="950" t="s">
        <v>2490</v>
      </c>
      <c r="E273" s="115">
        <f>B273-MOD(E$1-A273*3,B273)</f>
        <v>5573</v>
      </c>
      <c r="F273" s="644">
        <f>IF(MOD(E273,5)=0,B273,0)+E273</f>
        <v>5573</v>
      </c>
      <c r="G273" s="814">
        <f>IF(MOD(F273+$B273,5)=0,$B273,0)+$B273+F273</f>
        <v>16977</v>
      </c>
      <c r="H273" s="785">
        <f>IF(MOD(G273+$B273,5)=0,$B273,0)+$B273+G273</f>
        <v>22679</v>
      </c>
      <c r="I273" s="785">
        <f>IF(MOD(H273+$B273,5)=0,$B273,0)+$B273+H273</f>
        <v>28381</v>
      </c>
      <c r="J273" s="911">
        <v>557</v>
      </c>
      <c r="K273" s="892">
        <v>1697</v>
      </c>
      <c r="L273" s="785">
        <v>2267</v>
      </c>
      <c r="M273" s="785">
        <v>2838</v>
      </c>
      <c r="N273" s="23" t="str">
        <f>D273&amp;FIXED(MOD(F273,10),0)</f>
        <v>hh13</v>
      </c>
      <c r="O273" s="78" t="str">
        <f>MID(A$5,((FIND(N273,A$4,1)-1)+1),4)</f>
        <v>bde7</v>
      </c>
      <c r="P273" s="94" t="s">
        <v>0</v>
      </c>
      <c r="Q273" s="78" t="s">
        <v>0</v>
      </c>
      <c r="R273" s="103" t="s">
        <v>0</v>
      </c>
      <c r="S273" s="103" t="s">
        <v>0</v>
      </c>
      <c r="T273" s="42" t="s">
        <v>1</v>
      </c>
    </row>
    <row r="274" spans="1:20" ht="12.75">
      <c r="A274" s="44">
        <v>2857</v>
      </c>
      <c r="B274" s="886">
        <v>5714</v>
      </c>
      <c r="C274" s="886">
        <v>8162449</v>
      </c>
      <c r="D274" s="950" t="s">
        <v>2501</v>
      </c>
      <c r="E274" s="115">
        <f>B274-MOD(E$1-A274*3,B274)</f>
        <v>4601</v>
      </c>
      <c r="F274" s="644">
        <f>IF(MOD(E274,5)=0,B274,0)+E274</f>
        <v>4601</v>
      </c>
      <c r="G274" s="814">
        <f>IF(MOD(F274+$B274,5)=0,$B274,0)+$B274+F274</f>
        <v>16029</v>
      </c>
      <c r="H274" s="785">
        <f>IF(MOD(G274+$B274,5)=0,$B274,0)+$B274+G274</f>
        <v>21743</v>
      </c>
      <c r="I274" s="785">
        <f>IF(MOD(H274+$B274,5)=0,$B274,0)+$B274+H274</f>
        <v>27457</v>
      </c>
      <c r="J274" s="911">
        <v>460</v>
      </c>
      <c r="K274" s="892">
        <v>1602</v>
      </c>
      <c r="L274" s="785">
        <v>2174</v>
      </c>
      <c r="M274" s="785">
        <v>2745</v>
      </c>
      <c r="N274" s="23" t="str">
        <f>D274&amp;FIXED(MOD(F274,10),0)</f>
        <v>hh71</v>
      </c>
      <c r="O274" s="78" t="str">
        <f>MID(A$5,((FIND(N274,A$4,1)-1)+1),4)</f>
        <v>7ebd</v>
      </c>
      <c r="P274" s="94" t="s">
        <v>0</v>
      </c>
      <c r="Q274" s="78" t="s">
        <v>0</v>
      </c>
      <c r="R274" s="103" t="s">
        <v>0</v>
      </c>
      <c r="S274" s="103" t="s">
        <v>0</v>
      </c>
      <c r="T274" s="42" t="s">
        <v>1</v>
      </c>
    </row>
    <row r="275" spans="1:20" ht="12.75">
      <c r="A275" s="44">
        <v>2861</v>
      </c>
      <c r="B275" s="886">
        <v>5722</v>
      </c>
      <c r="C275" s="886">
        <v>8185321</v>
      </c>
      <c r="D275" s="950" t="s">
        <v>2490</v>
      </c>
      <c r="E275" s="115">
        <f>B275-MOD(E$1-A275*3,B275)</f>
        <v>4861</v>
      </c>
      <c r="F275" s="644">
        <f>IF(MOD(E275,5)=0,B275,0)+E275</f>
        <v>4861</v>
      </c>
      <c r="G275" s="814">
        <f>IF(MOD(F275+$B275,5)=0,$B275,0)+$B275+F275</f>
        <v>10583</v>
      </c>
      <c r="H275" s="785">
        <f>IF(MOD(G275+$B275,5)=0,$B275,0)+$B275+G275</f>
        <v>22027</v>
      </c>
      <c r="I275" s="785">
        <f>IF(MOD(H275+$B275,5)=0,$B275,0)+$B275+H275</f>
        <v>27749</v>
      </c>
      <c r="J275" s="911">
        <v>486</v>
      </c>
      <c r="K275" s="892">
        <v>1058</v>
      </c>
      <c r="L275" s="785">
        <v>2202</v>
      </c>
      <c r="M275" s="785">
        <v>2774</v>
      </c>
      <c r="N275" s="23" t="str">
        <f>D275&amp;FIXED(MOD(F275,10),0)</f>
        <v>hh11</v>
      </c>
      <c r="O275" s="78" t="str">
        <f>MID(A$5,((FIND(N275,A$4,1)-1)+1),4)</f>
        <v>7bde</v>
      </c>
      <c r="P275" s="94" t="s">
        <v>0</v>
      </c>
      <c r="Q275" s="78" t="s">
        <v>0</v>
      </c>
      <c r="R275" s="103" t="s">
        <v>0</v>
      </c>
      <c r="S275" s="103" t="s">
        <v>0</v>
      </c>
      <c r="T275" s="42" t="s">
        <v>1</v>
      </c>
    </row>
    <row r="276" spans="1:20" ht="12.75">
      <c r="A276" s="44">
        <v>2879</v>
      </c>
      <c r="B276" s="886">
        <v>5758</v>
      </c>
      <c r="C276" s="886">
        <v>8288641</v>
      </c>
      <c r="D276" s="950" t="s">
        <v>2506</v>
      </c>
      <c r="E276" s="115">
        <f>B276-MOD(E$1-A276*3,B276)</f>
        <v>2869</v>
      </c>
      <c r="F276" s="644">
        <f>IF(MOD(E276,5)=0,B276,0)+E276</f>
        <v>2869</v>
      </c>
      <c r="G276" s="814">
        <f>IF(MOD(F276+$B276,5)=0,$B276,0)+$B276+F276</f>
        <v>8627</v>
      </c>
      <c r="H276" s="785">
        <f>IF(MOD(G276+$B276,5)=0,$B276,0)+$B276+G276</f>
        <v>20143</v>
      </c>
      <c r="I276" s="785">
        <f>IF(MOD(H276+$B276,5)=0,$B276,0)+$B276+H276</f>
        <v>25901</v>
      </c>
      <c r="J276" s="911">
        <v>286</v>
      </c>
      <c r="K276" s="892">
        <v>862</v>
      </c>
      <c r="L276" s="785">
        <v>2014</v>
      </c>
      <c r="M276" s="785">
        <v>2590</v>
      </c>
      <c r="N276" s="23" t="str">
        <f>D276&amp;FIXED(MOD(F276,10),0)</f>
        <v>hh99</v>
      </c>
      <c r="O276" s="78" t="str">
        <f>MID(A$5,((FIND(N276,A$4,1)-1)+1),4)</f>
        <v>edb7</v>
      </c>
      <c r="P276" s="94" t="s">
        <v>0</v>
      </c>
      <c r="Q276" s="78" t="s">
        <v>0</v>
      </c>
      <c r="R276" s="103" t="s">
        <v>0</v>
      </c>
      <c r="S276" s="103" t="s">
        <v>0</v>
      </c>
      <c r="T276" s="42" t="s">
        <v>1</v>
      </c>
    </row>
    <row r="277" spans="1:20" ht="12.75">
      <c r="A277" s="44">
        <v>2887</v>
      </c>
      <c r="B277" s="886">
        <v>5774</v>
      </c>
      <c r="C277" s="886">
        <v>8334769</v>
      </c>
      <c r="D277" s="950" t="s">
        <v>2501</v>
      </c>
      <c r="E277" s="115">
        <f>B277-MOD(E$1-A277*3,B277)</f>
        <v>1067</v>
      </c>
      <c r="F277" s="644">
        <f>IF(MOD(E277,5)=0,B277,0)+E277</f>
        <v>1067</v>
      </c>
      <c r="G277" s="814">
        <f>IF(MOD(F277+$B277,5)=0,$B277,0)+$B277+F277</f>
        <v>6841</v>
      </c>
      <c r="H277" s="785">
        <f>IF(MOD(G277+$B277,5)=0,$B277,0)+$B277+G277</f>
        <v>18389</v>
      </c>
      <c r="I277" s="785">
        <f>IF(MOD(H277+$B277,5)=0,$B277,0)+$B277+H277</f>
        <v>24163</v>
      </c>
      <c r="J277" s="911">
        <v>106</v>
      </c>
      <c r="K277" s="892">
        <v>684</v>
      </c>
      <c r="L277" s="785">
        <v>1838</v>
      </c>
      <c r="M277" s="785">
        <v>2416</v>
      </c>
      <c r="N277" s="23" t="str">
        <f>D277&amp;FIXED(MOD(F277,10),0)</f>
        <v>hh77</v>
      </c>
      <c r="O277" s="78" t="str">
        <f>MID(A$5,((FIND(N277,A$4,1)-1)+1),4)</f>
        <v>d7eb</v>
      </c>
      <c r="P277" s="94" t="s">
        <v>0</v>
      </c>
      <c r="Q277" s="78" t="s">
        <v>0</v>
      </c>
      <c r="R277" s="103" t="s">
        <v>0</v>
      </c>
      <c r="S277" s="103" t="s">
        <v>0</v>
      </c>
      <c r="T277" s="42" t="s">
        <v>1</v>
      </c>
    </row>
    <row r="278" spans="1:20" ht="12.75">
      <c r="A278" s="44">
        <v>2897</v>
      </c>
      <c r="B278" s="886">
        <v>5794</v>
      </c>
      <c r="C278" s="886">
        <v>8392609</v>
      </c>
      <c r="D278" s="950" t="s">
        <v>2501</v>
      </c>
      <c r="E278" s="115">
        <f>B278-MOD(E$1-A278*3,B278)</f>
        <v>4057</v>
      </c>
      <c r="F278" s="644">
        <f>IF(MOD(E278,5)=0,B278,0)+E278</f>
        <v>4057</v>
      </c>
      <c r="G278" s="814">
        <f>IF(MOD(F278+$B278,5)=0,$B278,0)+$B278+F278</f>
        <v>9851</v>
      </c>
      <c r="H278" s="785">
        <f>IF(MOD(G278+$B278,5)=0,$B278,0)+$B278+G278</f>
        <v>21439</v>
      </c>
      <c r="I278" s="785">
        <f>IF(MOD(H278+$B278,5)=0,$B278,0)+$B278+H278</f>
        <v>27233</v>
      </c>
      <c r="J278" s="911">
        <v>405</v>
      </c>
      <c r="K278" s="892">
        <v>985</v>
      </c>
      <c r="L278" s="785">
        <v>2143</v>
      </c>
      <c r="M278" s="785">
        <v>2723</v>
      </c>
      <c r="N278" s="23" t="str">
        <f>D278&amp;FIXED(MOD(F278,10),0)</f>
        <v>hh77</v>
      </c>
      <c r="O278" s="78" t="str">
        <f>MID(A$5,((FIND(N278,A$4,1)-1)+1),4)</f>
        <v>d7eb</v>
      </c>
      <c r="P278" s="94" t="s">
        <v>0</v>
      </c>
      <c r="Q278" s="78" t="s">
        <v>0</v>
      </c>
      <c r="R278" s="103" t="s">
        <v>0</v>
      </c>
      <c r="S278" s="103" t="s">
        <v>0</v>
      </c>
      <c r="T278" s="42" t="s">
        <v>1</v>
      </c>
    </row>
    <row r="279" spans="1:20" ht="12.75">
      <c r="A279" s="44">
        <v>2903</v>
      </c>
      <c r="B279" s="886">
        <v>5806</v>
      </c>
      <c r="C279" s="886">
        <v>8427409</v>
      </c>
      <c r="D279" s="950" t="s">
        <v>2496</v>
      </c>
      <c r="E279" s="115">
        <f>B279-MOD(E$1-A279*3,B279)</f>
        <v>2093</v>
      </c>
      <c r="F279" s="644">
        <f>IF(MOD(E279,5)=0,B279,0)+E279</f>
        <v>2093</v>
      </c>
      <c r="G279" s="814">
        <f>IF(MOD(F279+$B279,5)=0,$B279,0)+$B279+F279</f>
        <v>7899</v>
      </c>
      <c r="H279" s="785">
        <f>IF(MOD(G279+$B279,5)=0,$B279,0)+$B279+G279</f>
        <v>19511</v>
      </c>
      <c r="I279" s="785">
        <f>IF(MOD(H279+$B279,5)=0,$B279,0)+$B279+H279</f>
        <v>25317</v>
      </c>
      <c r="J279" s="911">
        <v>209</v>
      </c>
      <c r="K279" s="892">
        <v>789</v>
      </c>
      <c r="L279" s="785">
        <v>1951</v>
      </c>
      <c r="M279" s="785">
        <v>2531</v>
      </c>
      <c r="N279" s="23" t="str">
        <f>D279&amp;FIXED(MOD(F279,10),0)</f>
        <v>hh33</v>
      </c>
      <c r="O279" s="78" t="str">
        <f>MID(A$5,((FIND(N279,A$4,1)-1)+1),4)</f>
        <v>be7d</v>
      </c>
      <c r="P279" s="94" t="s">
        <v>0</v>
      </c>
      <c r="Q279" s="78" t="s">
        <v>0</v>
      </c>
      <c r="R279" s="103" t="s">
        <v>0</v>
      </c>
      <c r="S279" s="103" t="s">
        <v>0</v>
      </c>
      <c r="T279" s="42" t="s">
        <v>1</v>
      </c>
    </row>
    <row r="280" spans="1:20" ht="12.75">
      <c r="A280" s="44">
        <v>2909</v>
      </c>
      <c r="B280" s="886">
        <v>5818</v>
      </c>
      <c r="C280" s="886">
        <v>8462281</v>
      </c>
      <c r="D280" s="950" t="s">
        <v>2506</v>
      </c>
      <c r="E280" s="115">
        <f>B280-MOD(E$1-A280*3,B280)</f>
        <v>5805</v>
      </c>
      <c r="F280" s="644">
        <f>IF(MOD(E280,5)=0,B280,0)+E280</f>
        <v>11623</v>
      </c>
      <c r="G280" s="814">
        <f>IF(MOD(F280+$B280,5)=0,$B280,0)+$B280+F280</f>
        <v>17441</v>
      </c>
      <c r="H280" s="785">
        <f>IF(MOD(G280+$B280,5)=0,$B280,0)+$B280+G280</f>
        <v>23259</v>
      </c>
      <c r="I280" s="785">
        <f>IF(MOD(H280+$B280,5)=0,$B280,0)+$B280+H280</f>
        <v>29077</v>
      </c>
      <c r="J280" s="911">
        <v>1162</v>
      </c>
      <c r="K280" s="892">
        <v>1744</v>
      </c>
      <c r="L280" s="785">
        <v>2325</v>
      </c>
      <c r="M280" s="785">
        <v>2907</v>
      </c>
      <c r="N280" s="23" t="str">
        <f>D280&amp;FIXED(MOD(F280,10),0)</f>
        <v>hh93</v>
      </c>
      <c r="O280" s="78" t="str">
        <f>MID(A$5,((FIND(N280,A$4,1)-1)+1),4)</f>
        <v>b7ed</v>
      </c>
      <c r="P280" s="94" t="s">
        <v>0</v>
      </c>
      <c r="Q280" s="78" t="s">
        <v>0</v>
      </c>
      <c r="R280" s="103" t="s">
        <v>0</v>
      </c>
      <c r="S280" s="103" t="s">
        <v>0</v>
      </c>
      <c r="T280" s="42" t="s">
        <v>1</v>
      </c>
    </row>
    <row r="281" spans="1:20" ht="12.75">
      <c r="A281" s="44">
        <v>2917</v>
      </c>
      <c r="B281" s="886">
        <v>5834</v>
      </c>
      <c r="C281" s="886">
        <v>8508889</v>
      </c>
      <c r="D281" s="950" t="s">
        <v>2501</v>
      </c>
      <c r="E281" s="115">
        <f>B281-MOD(E$1-A281*3,B281)</f>
        <v>2511</v>
      </c>
      <c r="F281" s="644">
        <f>IF(MOD(E281,5)=0,B281,0)+E281</f>
        <v>2511</v>
      </c>
      <c r="G281" s="814">
        <f>IF(MOD(F281+$B281,5)=0,$B281,0)+$B281+F281</f>
        <v>14179</v>
      </c>
      <c r="H281" s="785">
        <f>IF(MOD(G281+$B281,5)=0,$B281,0)+$B281+G281</f>
        <v>20013</v>
      </c>
      <c r="I281" s="785">
        <f>IF(MOD(H281+$B281,5)=0,$B281,0)+$B281+H281</f>
        <v>25847</v>
      </c>
      <c r="J281" s="911">
        <v>251</v>
      </c>
      <c r="K281" s="892">
        <v>1417</v>
      </c>
      <c r="L281" s="785">
        <v>2001</v>
      </c>
      <c r="M281" s="785">
        <v>2584</v>
      </c>
      <c r="N281" s="23" t="str">
        <f>D281&amp;FIXED(MOD(F281,10),0)</f>
        <v>hh71</v>
      </c>
      <c r="O281" s="78" t="str">
        <f>MID(A$5,((FIND(N281,A$4,1)-1)+1),4)</f>
        <v>7ebd</v>
      </c>
      <c r="P281" s="94" t="s">
        <v>0</v>
      </c>
      <c r="Q281" s="78" t="s">
        <v>0</v>
      </c>
      <c r="R281" s="103" t="s">
        <v>0</v>
      </c>
      <c r="S281" s="103" t="s">
        <v>0</v>
      </c>
      <c r="T281" s="42" t="s">
        <v>1</v>
      </c>
    </row>
    <row r="282" spans="1:20" ht="12.75">
      <c r="A282" s="44">
        <v>2927</v>
      </c>
      <c r="B282" s="886">
        <v>5854</v>
      </c>
      <c r="C282" s="886">
        <v>8567329</v>
      </c>
      <c r="D282" s="950" t="s">
        <v>2501</v>
      </c>
      <c r="E282" s="115">
        <f>B282-MOD(E$1-A282*3,B282)</f>
        <v>5569</v>
      </c>
      <c r="F282" s="644">
        <f>IF(MOD(E282,5)=0,B282,0)+E282</f>
        <v>5569</v>
      </c>
      <c r="G282" s="814">
        <f>IF(MOD(F282+$B282,5)=0,$B282,0)+$B282+F282</f>
        <v>11423</v>
      </c>
      <c r="H282" s="785">
        <f>IF(MOD(G282+$B282,5)=0,$B282,0)+$B282+G282</f>
        <v>17277</v>
      </c>
      <c r="I282" s="785">
        <f>IF(MOD(H282+$B282,5)=0,$B282,0)+$B282+H282</f>
        <v>23131</v>
      </c>
      <c r="J282" s="911">
        <v>556</v>
      </c>
      <c r="K282" s="892">
        <v>1142</v>
      </c>
      <c r="L282" s="785">
        <v>1727</v>
      </c>
      <c r="M282" s="785">
        <v>2313</v>
      </c>
      <c r="N282" s="23" t="str">
        <f>D282&amp;FIXED(MOD(F282,10),0)</f>
        <v>hh79</v>
      </c>
      <c r="O282" s="78" t="str">
        <f>MID(A$5,((FIND(N282,A$4,1)-1)+1),4)</f>
        <v>ebd7</v>
      </c>
      <c r="P282" s="94" t="s">
        <v>0</v>
      </c>
      <c r="Q282" s="78" t="s">
        <v>0</v>
      </c>
      <c r="R282" s="103" t="s">
        <v>0</v>
      </c>
      <c r="S282" s="103" t="s">
        <v>0</v>
      </c>
      <c r="T282" s="42" t="s">
        <v>1</v>
      </c>
    </row>
    <row r="283" spans="1:20" ht="12.75">
      <c r="A283" s="44">
        <v>2939</v>
      </c>
      <c r="B283" s="886">
        <v>5878</v>
      </c>
      <c r="C283" s="886">
        <v>8637721</v>
      </c>
      <c r="D283" s="950" t="s">
        <v>2506</v>
      </c>
      <c r="E283" s="115">
        <f>B283-MOD(E$1-A283*3,B283)</f>
        <v>4079</v>
      </c>
      <c r="F283" s="644">
        <f>IF(MOD(E283,5)=0,B283,0)+E283</f>
        <v>4079</v>
      </c>
      <c r="G283" s="814">
        <f>IF(MOD(F283+$B283,5)=0,$B283,0)+$B283+F283</f>
        <v>9957</v>
      </c>
      <c r="H283" s="785">
        <f>IF(MOD(G283+$B283,5)=0,$B283,0)+$B283+G283</f>
        <v>21713</v>
      </c>
      <c r="I283" s="785">
        <f>IF(MOD(H283+$B283,5)=0,$B283,0)+$B283+H283</f>
        <v>27591</v>
      </c>
      <c r="J283" s="911">
        <v>407</v>
      </c>
      <c r="K283" s="892">
        <v>995</v>
      </c>
      <c r="L283" s="785">
        <v>2171</v>
      </c>
      <c r="M283" s="785">
        <v>2759</v>
      </c>
      <c r="N283" s="23" t="str">
        <f>D283&amp;FIXED(MOD(F283,10),0)</f>
        <v>hh99</v>
      </c>
      <c r="O283" s="78" t="str">
        <f>MID(A$5,((FIND(N283,A$4,1)-1)+1),4)</f>
        <v>edb7</v>
      </c>
      <c r="P283" s="94" t="s">
        <v>0</v>
      </c>
      <c r="Q283" s="78" t="s">
        <v>0</v>
      </c>
      <c r="R283" s="103" t="s">
        <v>0</v>
      </c>
      <c r="S283" s="103" t="s">
        <v>0</v>
      </c>
      <c r="T283" s="42" t="s">
        <v>1</v>
      </c>
    </row>
    <row r="284" spans="1:20" ht="12.75">
      <c r="A284" s="44">
        <v>2953</v>
      </c>
      <c r="B284" s="886">
        <v>5906</v>
      </c>
      <c r="C284" s="886">
        <v>8720209</v>
      </c>
      <c r="D284" s="950" t="s">
        <v>2496</v>
      </c>
      <c r="E284" s="115">
        <f>B284-MOD(E$1-A284*3,B284)</f>
        <v>4121</v>
      </c>
      <c r="F284" s="644">
        <f>IF(MOD(E284,5)=0,B284,0)+E284</f>
        <v>4121</v>
      </c>
      <c r="G284" s="814">
        <f>IF(MOD(F284+$B284,5)=0,$B284,0)+$B284+F284</f>
        <v>10027</v>
      </c>
      <c r="H284" s="785">
        <f>IF(MOD(G284+$B284,5)=0,$B284,0)+$B284+G284</f>
        <v>15933</v>
      </c>
      <c r="I284" s="785">
        <f>IF(MOD(H284+$B284,5)=0,$B284,0)+$B284+H284</f>
        <v>21839</v>
      </c>
      <c r="J284" s="911">
        <v>412</v>
      </c>
      <c r="K284" s="892">
        <v>1002</v>
      </c>
      <c r="L284" s="785">
        <v>1593</v>
      </c>
      <c r="M284" s="785">
        <v>2183</v>
      </c>
      <c r="N284" s="23" t="str">
        <f>D284&amp;FIXED(MOD(F284,10),0)</f>
        <v>hh31</v>
      </c>
      <c r="O284" s="78" t="str">
        <f>MID(A$5,((FIND(N284,A$4,1)-1)+1),4)</f>
        <v>7dbe</v>
      </c>
      <c r="P284" s="94" t="s">
        <v>0</v>
      </c>
      <c r="Q284" s="78" t="s">
        <v>0</v>
      </c>
      <c r="R284" s="103" t="s">
        <v>0</v>
      </c>
      <c r="S284" s="103" t="s">
        <v>0</v>
      </c>
      <c r="T284" s="42" t="s">
        <v>1</v>
      </c>
    </row>
    <row r="285" spans="1:20" ht="12.75">
      <c r="A285" s="44">
        <v>2957</v>
      </c>
      <c r="B285" s="886">
        <v>5914</v>
      </c>
      <c r="C285" s="886">
        <v>8743849</v>
      </c>
      <c r="D285" s="950" t="s">
        <v>2501</v>
      </c>
      <c r="E285" s="115">
        <f>B285-MOD(E$1-A285*3,B285)</f>
        <v>4901</v>
      </c>
      <c r="F285" s="644">
        <f>IF(MOD(E285,5)=0,B285,0)+E285</f>
        <v>4901</v>
      </c>
      <c r="G285" s="814">
        <f>IF(MOD(F285+$B285,5)=0,$B285,0)+$B285+F285</f>
        <v>16729</v>
      </c>
      <c r="H285" s="785">
        <f>IF(MOD(G285+$B285,5)=0,$B285,0)+$B285+G285</f>
        <v>22643</v>
      </c>
      <c r="I285" s="785">
        <f>IF(MOD(H285+$B285,5)=0,$B285,0)+$B285+H285</f>
        <v>28557</v>
      </c>
      <c r="J285" s="911">
        <v>490</v>
      </c>
      <c r="K285" s="892">
        <v>1672</v>
      </c>
      <c r="L285" s="785">
        <v>2264</v>
      </c>
      <c r="M285" s="785">
        <v>2855</v>
      </c>
      <c r="N285" s="23" t="str">
        <f>D285&amp;FIXED(MOD(F285,10),0)</f>
        <v>hh71</v>
      </c>
      <c r="O285" s="78" t="str">
        <f>MID(A$5,((FIND(N285,A$4,1)-1)+1),4)</f>
        <v>7ebd</v>
      </c>
      <c r="P285" s="94" t="s">
        <v>0</v>
      </c>
      <c r="Q285" s="78" t="s">
        <v>0</v>
      </c>
      <c r="R285" s="103" t="s">
        <v>0</v>
      </c>
      <c r="S285" s="103" t="s">
        <v>0</v>
      </c>
      <c r="T285" s="42" t="s">
        <v>1</v>
      </c>
    </row>
    <row r="286" spans="1:20" ht="12.75">
      <c r="A286" s="44">
        <v>2963</v>
      </c>
      <c r="B286" s="886">
        <v>5926</v>
      </c>
      <c r="C286" s="886">
        <v>8779369</v>
      </c>
      <c r="D286" s="950" t="s">
        <v>2496</v>
      </c>
      <c r="E286" s="115">
        <f>B286-MOD(E$1-A286*3,B286)</f>
        <v>4755</v>
      </c>
      <c r="F286" s="644">
        <f>IF(MOD(E286,5)=0,B286,0)+E286</f>
        <v>10681</v>
      </c>
      <c r="G286" s="814">
        <f>IF(MOD(F286+$B286,5)=0,$B286,0)+$B286+F286</f>
        <v>16607</v>
      </c>
      <c r="H286" s="785">
        <f>IF(MOD(G286+$B286,5)=0,$B286,0)+$B286+G286</f>
        <v>22533</v>
      </c>
      <c r="I286" s="785">
        <f>IF(MOD(H286+$B286,5)=0,$B286,0)+$B286+H286</f>
        <v>28459</v>
      </c>
      <c r="J286" s="911">
        <v>1068</v>
      </c>
      <c r="K286" s="892">
        <v>1660</v>
      </c>
      <c r="L286" s="785">
        <v>2253</v>
      </c>
      <c r="M286" s="785">
        <v>2845</v>
      </c>
      <c r="N286" s="23" t="str">
        <f>D286&amp;FIXED(MOD(F286,10),0)</f>
        <v>hh31</v>
      </c>
      <c r="O286" s="78" t="str">
        <f>MID(A$5,((FIND(N286,A$4,1)-1)+1),4)</f>
        <v>7dbe</v>
      </c>
      <c r="P286" s="94" t="s">
        <v>0</v>
      </c>
      <c r="Q286" s="78" t="s">
        <v>0</v>
      </c>
      <c r="R286" s="103" t="s">
        <v>0</v>
      </c>
      <c r="S286" s="103" t="s">
        <v>0</v>
      </c>
      <c r="T286" s="42" t="s">
        <v>1</v>
      </c>
    </row>
    <row r="287" spans="1:20" ht="12.75">
      <c r="A287" s="44">
        <v>2969</v>
      </c>
      <c r="B287" s="886">
        <v>5938</v>
      </c>
      <c r="C287" s="886">
        <v>8814961</v>
      </c>
      <c r="D287" s="950" t="s">
        <v>2506</v>
      </c>
      <c r="E287" s="115">
        <f>B287-MOD(E$1-A287*3,B287)</f>
        <v>1177</v>
      </c>
      <c r="F287" s="644">
        <f>IF(MOD(E287,5)=0,B287,0)+E287</f>
        <v>1177</v>
      </c>
      <c r="G287" s="814">
        <f>IF(MOD(F287+$B287,5)=0,$B287,0)+$B287+F287</f>
        <v>13053</v>
      </c>
      <c r="H287" s="785">
        <f>IF(MOD(G287+$B287,5)=0,$B287,0)+$B287+G287</f>
        <v>18991</v>
      </c>
      <c r="I287" s="785">
        <f>IF(MOD(H287+$B287,5)=0,$B287,0)+$B287+H287</f>
        <v>24929</v>
      </c>
      <c r="J287" s="911">
        <v>117</v>
      </c>
      <c r="K287" s="892">
        <v>1305</v>
      </c>
      <c r="L287" s="785">
        <v>1899</v>
      </c>
      <c r="M287" s="785">
        <v>2492</v>
      </c>
      <c r="N287" s="23" t="str">
        <f>D287&amp;FIXED(MOD(F287,10),0)</f>
        <v>hh97</v>
      </c>
      <c r="O287" s="78" t="str">
        <f>MID(A$5,((FIND(N287,A$4,1)-1)+1),4)</f>
        <v>db7e</v>
      </c>
      <c r="P287" s="94" t="s">
        <v>0</v>
      </c>
      <c r="Q287" s="78" t="s">
        <v>0</v>
      </c>
      <c r="R287" s="103" t="s">
        <v>0</v>
      </c>
      <c r="S287" s="103" t="s">
        <v>0</v>
      </c>
      <c r="T287" s="42" t="s">
        <v>1</v>
      </c>
    </row>
    <row r="288" spans="1:20" ht="12.75">
      <c r="A288" s="44">
        <v>2971</v>
      </c>
      <c r="B288" s="886">
        <v>5942</v>
      </c>
      <c r="C288" s="886">
        <v>8826841</v>
      </c>
      <c r="D288" s="950" t="s">
        <v>2490</v>
      </c>
      <c r="E288" s="115">
        <f>B288-MOD(E$1-A288*3,B288)</f>
        <v>2393</v>
      </c>
      <c r="F288" s="644">
        <f>IF(MOD(E288,5)=0,B288,0)+E288</f>
        <v>2393</v>
      </c>
      <c r="G288" s="814">
        <f>IF(MOD(F288+$B288,5)=0,$B288,0)+$B288+F288</f>
        <v>14277</v>
      </c>
      <c r="H288" s="785">
        <f>IF(MOD(G288+$B288,5)=0,$B288,0)+$B288+G288</f>
        <v>20219</v>
      </c>
      <c r="I288" s="785">
        <f>IF(MOD(H288+$B288,5)=0,$B288,0)+$B288+H288</f>
        <v>26161</v>
      </c>
      <c r="J288" s="911">
        <v>239</v>
      </c>
      <c r="K288" s="892">
        <v>1427</v>
      </c>
      <c r="L288" s="785">
        <v>2021</v>
      </c>
      <c r="M288" s="785">
        <v>2616</v>
      </c>
      <c r="N288" s="23" t="str">
        <f>D288&amp;FIXED(MOD(F288,10),0)</f>
        <v>hh13</v>
      </c>
      <c r="O288" s="78" t="str">
        <f>MID(A$5,((FIND(N288,A$4,1)-1)+1),4)</f>
        <v>bde7</v>
      </c>
      <c r="P288" s="94" t="s">
        <v>0</v>
      </c>
      <c r="Q288" s="78" t="s">
        <v>0</v>
      </c>
      <c r="R288" s="103" t="s">
        <v>0</v>
      </c>
      <c r="S288" s="103" t="s">
        <v>0</v>
      </c>
      <c r="T288" s="42" t="s">
        <v>1</v>
      </c>
    </row>
    <row r="289" spans="1:20" ht="12.75">
      <c r="A289" s="44">
        <v>2999</v>
      </c>
      <c r="B289" s="886">
        <v>5998</v>
      </c>
      <c r="C289" s="886">
        <v>8994001</v>
      </c>
      <c r="D289" s="950" t="s">
        <v>2506</v>
      </c>
      <c r="E289" s="115">
        <f>B289-MOD(E$1-A289*3,B289)</f>
        <v>3411</v>
      </c>
      <c r="F289" s="644">
        <f>IF(MOD(E289,5)=0,B289,0)+E289</f>
        <v>3411</v>
      </c>
      <c r="G289" s="814">
        <f>IF(MOD(F289+$B289,5)=0,$B289,0)+$B289+F289</f>
        <v>9409</v>
      </c>
      <c r="H289" s="785">
        <f>IF(MOD(G289+$B289,5)=0,$B289,0)+$B289+G289</f>
        <v>15407</v>
      </c>
      <c r="I289" s="785">
        <f>IF(MOD(H289+$B289,5)=0,$B289,0)+$B289+H289</f>
        <v>27403</v>
      </c>
      <c r="J289" s="911">
        <v>341</v>
      </c>
      <c r="K289" s="892">
        <v>940</v>
      </c>
      <c r="L289" s="785">
        <v>1540</v>
      </c>
      <c r="M289" s="785">
        <v>2740</v>
      </c>
      <c r="N289" s="23" t="str">
        <f>D289&amp;FIXED(MOD(F289,10),0)</f>
        <v>hh91</v>
      </c>
      <c r="O289" s="78" t="str">
        <f>MID(A$5,((FIND(N289,A$4,1)-1)+1),4)</f>
        <v>7edb</v>
      </c>
      <c r="P289" s="94" t="s">
        <v>0</v>
      </c>
      <c r="Q289" s="78" t="s">
        <v>0</v>
      </c>
      <c r="R289" s="103" t="s">
        <v>0</v>
      </c>
      <c r="S289" s="103" t="s">
        <v>0</v>
      </c>
      <c r="T289" s="42" t="s">
        <v>1</v>
      </c>
    </row>
    <row r="290" spans="1:20" ht="12.75">
      <c r="A290" s="44">
        <v>3001</v>
      </c>
      <c r="B290" s="886">
        <v>6002</v>
      </c>
      <c r="C290" s="886">
        <v>9006001</v>
      </c>
      <c r="D290" s="950" t="s">
        <v>2490</v>
      </c>
      <c r="E290" s="115">
        <f>B290-MOD(E$1-A290*3,B290)</f>
        <v>339</v>
      </c>
      <c r="F290" s="644">
        <f>IF(MOD(E290,5)=0,B290,0)+E290</f>
        <v>339</v>
      </c>
      <c r="G290" s="814">
        <f>IF(MOD(F290+$B290,5)=0,$B290,0)+$B290+F290</f>
        <v>6341</v>
      </c>
      <c r="H290" s="785">
        <f>IF(MOD(G290+$B290,5)=0,$B290,0)+$B290+G290</f>
        <v>12343</v>
      </c>
      <c r="I290" s="785">
        <f>IF(MOD(H290+$B290,5)=0,$B290,0)+$B290+H290</f>
        <v>24347</v>
      </c>
      <c r="J290" s="911">
        <v>33</v>
      </c>
      <c r="K290" s="892">
        <v>634</v>
      </c>
      <c r="L290" s="785">
        <v>1234</v>
      </c>
      <c r="M290" s="785">
        <v>2434</v>
      </c>
      <c r="N290" s="23" t="str">
        <f>D290&amp;FIXED(MOD(F290,10),0)</f>
        <v>hh19</v>
      </c>
      <c r="O290" s="78" t="str">
        <f>MID(A$5,((FIND(N290,A$4,1)-1)+1),4)</f>
        <v>e7bd</v>
      </c>
      <c r="P290" s="94" t="s">
        <v>0</v>
      </c>
      <c r="Q290" s="78" t="s">
        <v>0</v>
      </c>
      <c r="R290" s="103" t="s">
        <v>0</v>
      </c>
      <c r="S290" s="103" t="s">
        <v>0</v>
      </c>
      <c r="T290" s="42" t="s">
        <v>1</v>
      </c>
    </row>
    <row r="291" spans="1:20" ht="12.75">
      <c r="A291" s="44">
        <v>3011</v>
      </c>
      <c r="B291" s="886">
        <v>6022</v>
      </c>
      <c r="C291" s="886">
        <v>9066121</v>
      </c>
      <c r="D291" s="950" t="s">
        <v>2490</v>
      </c>
      <c r="E291" s="115">
        <f>B291-MOD(E$1-A291*3,B291)</f>
        <v>5217</v>
      </c>
      <c r="F291" s="644">
        <f>IF(MOD(E291,5)=0,B291,0)+E291</f>
        <v>5217</v>
      </c>
      <c r="G291" s="814">
        <f>IF(MOD(F291+$B291,5)=0,$B291,0)+$B291+F291</f>
        <v>11239</v>
      </c>
      <c r="H291" s="785">
        <f>IF(MOD(G291+$B291,5)=0,$B291,0)+$B291+G291</f>
        <v>17261</v>
      </c>
      <c r="I291" s="785">
        <f>IF(MOD(H291+$B291,5)=0,$B291,0)+$B291+H291</f>
        <v>23283</v>
      </c>
      <c r="J291" s="911">
        <v>521</v>
      </c>
      <c r="K291" s="892">
        <v>1123</v>
      </c>
      <c r="L291" s="785">
        <v>1726</v>
      </c>
      <c r="M291" s="785">
        <v>2328</v>
      </c>
      <c r="N291" s="23" t="str">
        <f>D291&amp;FIXED(MOD(F291,10),0)</f>
        <v>hh17</v>
      </c>
      <c r="O291" s="78" t="str">
        <f>MID(A$5,((FIND(N291,A$4,1)-1)+1),4)</f>
        <v>de7b</v>
      </c>
      <c r="P291" s="94" t="s">
        <v>0</v>
      </c>
      <c r="Q291" s="78" t="s">
        <v>0</v>
      </c>
      <c r="R291" s="103" t="s">
        <v>0</v>
      </c>
      <c r="S291" s="103" t="s">
        <v>0</v>
      </c>
      <c r="T291" s="42" t="s">
        <v>1</v>
      </c>
    </row>
    <row r="292" spans="1:20" ht="12.75">
      <c r="A292" s="44">
        <v>3019</v>
      </c>
      <c r="B292" s="886">
        <v>6038</v>
      </c>
      <c r="C292" s="886">
        <v>9114361</v>
      </c>
      <c r="D292" s="950" t="s">
        <v>2506</v>
      </c>
      <c r="E292" s="115">
        <f>B292-MOD(E$1-A292*3,B292)</f>
        <v>589</v>
      </c>
      <c r="F292" s="644">
        <f>IF(MOD(E292,5)=0,B292,0)+E292</f>
        <v>589</v>
      </c>
      <c r="G292" s="814">
        <f>IF(MOD(F292+$B292,5)=0,$B292,0)+$B292+F292</f>
        <v>6627</v>
      </c>
      <c r="H292" s="785">
        <f>IF(MOD(G292+$B292,5)=0,$B292,0)+$B292+G292</f>
        <v>18703</v>
      </c>
      <c r="I292" s="785">
        <f>IF(MOD(H292+$B292,5)=0,$B292,0)+$B292+H292</f>
        <v>24741</v>
      </c>
      <c r="J292" s="911">
        <v>58</v>
      </c>
      <c r="K292" s="892">
        <v>662</v>
      </c>
      <c r="L292" s="785">
        <v>1870</v>
      </c>
      <c r="M292" s="785">
        <v>2474</v>
      </c>
      <c r="N292" s="23" t="str">
        <f>D292&amp;FIXED(MOD(F292,10),0)</f>
        <v>hh99</v>
      </c>
      <c r="O292" s="78" t="str">
        <f>MID(A$5,((FIND(N292,A$4,1)-1)+1),4)</f>
        <v>edb7</v>
      </c>
      <c r="P292" s="94" t="s">
        <v>0</v>
      </c>
      <c r="Q292" s="78" t="s">
        <v>0</v>
      </c>
      <c r="R292" s="103" t="s">
        <v>0</v>
      </c>
      <c r="S292" s="103" t="s">
        <v>0</v>
      </c>
      <c r="T292" s="42" t="s">
        <v>1</v>
      </c>
    </row>
    <row r="293" spans="1:20" ht="12.75">
      <c r="A293" s="44">
        <v>3023</v>
      </c>
      <c r="B293" s="886">
        <v>6046</v>
      </c>
      <c r="C293" s="886">
        <v>9138529</v>
      </c>
      <c r="D293" s="950" t="s">
        <v>2496</v>
      </c>
      <c r="E293" s="115">
        <f>B293-MOD(E$1-A293*3,B293)</f>
        <v>4883</v>
      </c>
      <c r="F293" s="644">
        <f>IF(MOD(E293,5)=0,B293,0)+E293</f>
        <v>4883</v>
      </c>
      <c r="G293" s="814">
        <f>IF(MOD(F293+$B293,5)=0,$B293,0)+$B293+F293</f>
        <v>10929</v>
      </c>
      <c r="H293" s="785">
        <f>IF(MOD(G293+$B293,5)=0,$B293,0)+$B293+G293</f>
        <v>23021</v>
      </c>
      <c r="I293" s="785">
        <f>IF(MOD(H293+$B293,5)=0,$B293,0)+$B293+H293</f>
        <v>29067</v>
      </c>
      <c r="J293" s="911">
        <v>488</v>
      </c>
      <c r="K293" s="892">
        <v>1092</v>
      </c>
      <c r="L293" s="785">
        <v>2302</v>
      </c>
      <c r="M293" s="785">
        <v>2906</v>
      </c>
      <c r="N293" s="23" t="str">
        <f>D293&amp;FIXED(MOD(F293,10),0)</f>
        <v>hh33</v>
      </c>
      <c r="O293" s="78" t="str">
        <f>MID(A$5,((FIND(N293,A$4,1)-1)+1),4)</f>
        <v>be7d</v>
      </c>
      <c r="P293" s="94" t="s">
        <v>0</v>
      </c>
      <c r="Q293" s="78" t="s">
        <v>0</v>
      </c>
      <c r="R293" s="103" t="s">
        <v>0</v>
      </c>
      <c r="S293" s="103" t="s">
        <v>0</v>
      </c>
      <c r="T293" s="42" t="s">
        <v>1</v>
      </c>
    </row>
    <row r="294" spans="1:20" ht="12.75">
      <c r="A294" s="44">
        <v>3037</v>
      </c>
      <c r="B294" s="886">
        <v>6074</v>
      </c>
      <c r="C294" s="886">
        <v>9223369</v>
      </c>
      <c r="D294" s="950" t="s">
        <v>2501</v>
      </c>
      <c r="E294" s="115">
        <f>B294-MOD(E$1-A294*3,B294)</f>
        <v>251</v>
      </c>
      <c r="F294" s="644">
        <f>IF(MOD(E294,5)=0,B294,0)+E294</f>
        <v>251</v>
      </c>
      <c r="G294" s="814">
        <f>IF(MOD(F294+$B294,5)=0,$B294,0)+$B294+F294</f>
        <v>12399</v>
      </c>
      <c r="H294" s="785">
        <f>IF(MOD(G294+$B294,5)=0,$B294,0)+$B294+G294</f>
        <v>18473</v>
      </c>
      <c r="I294" s="785">
        <f>IF(MOD(H294+$B294,5)=0,$B294,0)+$B294+H294</f>
        <v>24547</v>
      </c>
      <c r="J294" s="911">
        <v>25</v>
      </c>
      <c r="K294" s="892">
        <v>1239</v>
      </c>
      <c r="L294" s="785">
        <v>1847</v>
      </c>
      <c r="M294" s="785">
        <v>2454</v>
      </c>
      <c r="N294" s="23" t="str">
        <f>D294&amp;FIXED(MOD(F294,10),0)</f>
        <v>hh71</v>
      </c>
      <c r="O294" s="78" t="str">
        <f>MID(A$5,((FIND(N294,A$4,1)-1)+1),4)</f>
        <v>7ebd</v>
      </c>
      <c r="P294" s="94" t="s">
        <v>0</v>
      </c>
      <c r="Q294" s="78" t="s">
        <v>0</v>
      </c>
      <c r="R294" s="103" t="s">
        <v>0</v>
      </c>
      <c r="S294" s="103" t="s">
        <v>0</v>
      </c>
      <c r="T294" s="42" t="s">
        <v>1</v>
      </c>
    </row>
    <row r="295" spans="1:20" ht="12.75">
      <c r="A295" s="44">
        <v>3041</v>
      </c>
      <c r="B295" s="886">
        <v>6082</v>
      </c>
      <c r="C295" s="886">
        <v>9247681</v>
      </c>
      <c r="D295" s="950" t="s">
        <v>2490</v>
      </c>
      <c r="E295" s="115">
        <f>B295-MOD(E$1-A295*3,B295)</f>
        <v>551</v>
      </c>
      <c r="F295" s="644">
        <f>IF(MOD(E295,5)=0,B295,0)+E295</f>
        <v>551</v>
      </c>
      <c r="G295" s="814">
        <f>IF(MOD(F295+$B295,5)=0,$B295,0)+$B295+F295</f>
        <v>6633</v>
      </c>
      <c r="H295" s="785">
        <f>IF(MOD(G295+$B295,5)=0,$B295,0)+$B295+G295</f>
        <v>18797</v>
      </c>
      <c r="I295" s="785">
        <f>IF(MOD(H295+$B295,5)=0,$B295,0)+$B295+H295</f>
        <v>24879</v>
      </c>
      <c r="J295" s="911">
        <v>55</v>
      </c>
      <c r="K295" s="892">
        <v>663</v>
      </c>
      <c r="L295" s="785">
        <v>1879</v>
      </c>
      <c r="M295" s="785">
        <v>2487</v>
      </c>
      <c r="N295" s="23" t="str">
        <f>D295&amp;FIXED(MOD(F295,10),0)</f>
        <v>hh11</v>
      </c>
      <c r="O295" s="78" t="str">
        <f>MID(A$5,((FIND(N295,A$4,1)-1)+1),4)</f>
        <v>7bde</v>
      </c>
      <c r="P295" s="94" t="s">
        <v>0</v>
      </c>
      <c r="Q295" s="78" t="s">
        <v>0</v>
      </c>
      <c r="R295" s="103" t="s">
        <v>0</v>
      </c>
      <c r="S295" s="103" t="s">
        <v>0</v>
      </c>
      <c r="T295" s="42" t="s">
        <v>1</v>
      </c>
    </row>
    <row r="296" spans="1:20" ht="12.75">
      <c r="A296" s="44">
        <v>3049</v>
      </c>
      <c r="B296" s="886">
        <v>6098</v>
      </c>
      <c r="C296" s="886">
        <v>9296401</v>
      </c>
      <c r="D296" s="950" t="s">
        <v>2506</v>
      </c>
      <c r="E296" s="115">
        <f>B296-MOD(E$1-A296*3,B296)</f>
        <v>3721</v>
      </c>
      <c r="F296" s="644">
        <f>IF(MOD(E296,5)=0,B296,0)+E296</f>
        <v>3721</v>
      </c>
      <c r="G296" s="814">
        <f>IF(MOD(F296+$B296,5)=0,$B296,0)+$B296+F296</f>
        <v>9819</v>
      </c>
      <c r="H296" s="785">
        <f>IF(MOD(G296+$B296,5)=0,$B296,0)+$B296+G296</f>
        <v>15917</v>
      </c>
      <c r="I296" s="785">
        <f>IF(MOD(H296+$B296,5)=0,$B296,0)+$B296+H296</f>
        <v>28113</v>
      </c>
      <c r="J296" s="911">
        <v>372</v>
      </c>
      <c r="K296" s="892">
        <v>981</v>
      </c>
      <c r="L296" s="785">
        <v>1591</v>
      </c>
      <c r="M296" s="785">
        <v>2811</v>
      </c>
      <c r="N296" s="23" t="str">
        <f>D296&amp;FIXED(MOD(F296,10),0)</f>
        <v>hh91</v>
      </c>
      <c r="O296" s="78" t="str">
        <f>MID(A$5,((FIND(N296,A$4,1)-1)+1),4)</f>
        <v>7edb</v>
      </c>
      <c r="P296" s="94" t="s">
        <v>0</v>
      </c>
      <c r="Q296" s="78" t="s">
        <v>0</v>
      </c>
      <c r="R296" s="103" t="s">
        <v>0</v>
      </c>
      <c r="S296" s="103" t="s">
        <v>0</v>
      </c>
      <c r="T296" s="42" t="s">
        <v>1</v>
      </c>
    </row>
    <row r="297" spans="1:20" ht="12.75">
      <c r="A297" s="44">
        <v>3061</v>
      </c>
      <c r="B297" s="886">
        <v>6122</v>
      </c>
      <c r="C297" s="886">
        <v>9369721</v>
      </c>
      <c r="D297" s="950" t="s">
        <v>2490</v>
      </c>
      <c r="E297" s="115">
        <f>B297-MOD(E$1-A297*3,B297)</f>
        <v>2737</v>
      </c>
      <c r="F297" s="644">
        <f>IF(MOD(E297,5)=0,B297,0)+E297</f>
        <v>2737</v>
      </c>
      <c r="G297" s="814">
        <f>IF(MOD(F297+$B297,5)=0,$B297,0)+$B297+F297</f>
        <v>8859</v>
      </c>
      <c r="H297" s="785">
        <f>IF(MOD(G297+$B297,5)=0,$B297,0)+$B297+G297</f>
        <v>14981</v>
      </c>
      <c r="I297" s="785">
        <f>IF(MOD(H297+$B297,5)=0,$B297,0)+$B297+H297</f>
        <v>21103</v>
      </c>
      <c r="J297" s="911">
        <v>273</v>
      </c>
      <c r="K297" s="892">
        <v>885</v>
      </c>
      <c r="L297" s="785">
        <v>1498</v>
      </c>
      <c r="M297" s="785">
        <v>2110</v>
      </c>
      <c r="N297" s="23" t="str">
        <f>D297&amp;FIXED(MOD(F297,10),0)</f>
        <v>hh17</v>
      </c>
      <c r="O297" s="78" t="str">
        <f>MID(A$5,((FIND(N297,A$4,1)-1)+1),4)</f>
        <v>de7b</v>
      </c>
      <c r="P297" s="94" t="s">
        <v>0</v>
      </c>
      <c r="Q297" s="78" t="s">
        <v>0</v>
      </c>
      <c r="R297" s="103" t="s">
        <v>0</v>
      </c>
      <c r="S297" s="103" t="s">
        <v>0</v>
      </c>
      <c r="T297" s="42" t="s">
        <v>1</v>
      </c>
    </row>
    <row r="298" spans="1:20" ht="12.75">
      <c r="A298" s="44">
        <v>3067</v>
      </c>
      <c r="B298" s="886">
        <v>6134</v>
      </c>
      <c r="C298" s="886">
        <v>9406489</v>
      </c>
      <c r="D298" s="950" t="s">
        <v>2501</v>
      </c>
      <c r="E298" s="115">
        <f>B298-MOD(E$1-A298*3,B298)</f>
        <v>5357</v>
      </c>
      <c r="F298" s="644">
        <f>IF(MOD(E298,5)=0,B298,0)+E298</f>
        <v>5357</v>
      </c>
      <c r="G298" s="814">
        <f>IF(MOD(F298+$B298,5)=0,$B298,0)+$B298+F298</f>
        <v>11491</v>
      </c>
      <c r="H298" s="785">
        <f>IF(MOD(G298+$B298,5)=0,$B298,0)+$B298+G298</f>
        <v>23759</v>
      </c>
      <c r="I298" s="785">
        <f>IF(MOD(H298+$B298,5)=0,$B298,0)+$B298+H298</f>
        <v>29893</v>
      </c>
      <c r="J298" s="911">
        <v>535</v>
      </c>
      <c r="K298" s="892">
        <v>1149</v>
      </c>
      <c r="L298" s="785">
        <v>2375</v>
      </c>
      <c r="M298" s="785">
        <v>2989</v>
      </c>
      <c r="N298" s="23" t="str">
        <f>D298&amp;FIXED(MOD(F298,10),0)</f>
        <v>hh77</v>
      </c>
      <c r="O298" s="78" t="str">
        <f>MID(A$5,((FIND(N298,A$4,1)-1)+1),4)</f>
        <v>d7eb</v>
      </c>
      <c r="P298" s="94" t="s">
        <v>0</v>
      </c>
      <c r="Q298" s="78" t="s">
        <v>0</v>
      </c>
      <c r="R298" s="103" t="s">
        <v>0</v>
      </c>
      <c r="S298" s="103" t="s">
        <v>0</v>
      </c>
      <c r="T298" s="42" t="s">
        <v>1</v>
      </c>
    </row>
    <row r="299" spans="1:20" ht="12.75">
      <c r="A299" s="44">
        <v>3079</v>
      </c>
      <c r="B299" s="886">
        <v>6158</v>
      </c>
      <c r="C299" s="886">
        <v>9480241</v>
      </c>
      <c r="D299" s="950" t="s">
        <v>2506</v>
      </c>
      <c r="E299" s="115">
        <f>B299-MOD(E$1-A299*3,B299)</f>
        <v>4629</v>
      </c>
      <c r="F299" s="644">
        <f>IF(MOD(E299,5)=0,B299,0)+E299</f>
        <v>4629</v>
      </c>
      <c r="G299" s="814">
        <f>IF(MOD(F299+$B299,5)=0,$B299,0)+$B299+F299</f>
        <v>10787</v>
      </c>
      <c r="H299" s="785">
        <f>IF(MOD(G299+$B299,5)=0,$B299,0)+$B299+G299</f>
        <v>23103</v>
      </c>
      <c r="I299" s="785">
        <f>IF(MOD(H299+$B299,5)=0,$B299,0)+$B299+H299</f>
        <v>29261</v>
      </c>
      <c r="J299" s="911">
        <v>462</v>
      </c>
      <c r="K299" s="892">
        <v>1078</v>
      </c>
      <c r="L299" s="785">
        <v>2310</v>
      </c>
      <c r="M299" s="785">
        <v>2926</v>
      </c>
      <c r="N299" s="23" t="str">
        <f>D299&amp;FIXED(MOD(F299,10),0)</f>
        <v>hh99</v>
      </c>
      <c r="O299" s="78" t="str">
        <f>MID(A$5,((FIND(N299,A$4,1)-1)+1),4)</f>
        <v>edb7</v>
      </c>
      <c r="P299" s="94" t="s">
        <v>0</v>
      </c>
      <c r="Q299" s="78" t="s">
        <v>0</v>
      </c>
      <c r="R299" s="103" t="s">
        <v>0</v>
      </c>
      <c r="S299" s="103" t="s">
        <v>0</v>
      </c>
      <c r="T299" s="42" t="s">
        <v>1</v>
      </c>
    </row>
    <row r="300" spans="1:20" ht="12.75">
      <c r="A300" s="44">
        <v>3083</v>
      </c>
      <c r="B300" s="886">
        <v>6166</v>
      </c>
      <c r="C300" s="886">
        <v>9504889</v>
      </c>
      <c r="D300" s="950" t="s">
        <v>2496</v>
      </c>
      <c r="E300" s="115">
        <f>B300-MOD(E$1-A300*3,B300)</f>
        <v>5963</v>
      </c>
      <c r="F300" s="644">
        <f>IF(MOD(E300,5)=0,B300,0)+E300</f>
        <v>5963</v>
      </c>
      <c r="G300" s="814">
        <f>IF(MOD(F300+$B300,5)=0,$B300,0)+$B300+F300</f>
        <v>12129</v>
      </c>
      <c r="H300" s="785">
        <f>IF(MOD(G300+$B300,5)=0,$B300,0)+$B300+G300</f>
        <v>24461</v>
      </c>
      <c r="I300" s="785">
        <f>IF(MOD(H300+$B300,5)=0,$B300,0)+$B300+H300</f>
        <v>30627</v>
      </c>
      <c r="J300" s="911">
        <v>596</v>
      </c>
      <c r="K300" s="892">
        <v>1212</v>
      </c>
      <c r="L300" s="785">
        <v>2446</v>
      </c>
      <c r="M300" s="785">
        <v>3062</v>
      </c>
      <c r="N300" s="23" t="str">
        <f>D300&amp;FIXED(MOD(F300,10),0)</f>
        <v>hh33</v>
      </c>
      <c r="O300" s="78" t="str">
        <f>MID(A$5,((FIND(N300,A$4,1)-1)+1),4)</f>
        <v>be7d</v>
      </c>
      <c r="P300" s="94" t="s">
        <v>0</v>
      </c>
      <c r="Q300" s="78" t="s">
        <v>0</v>
      </c>
      <c r="R300" s="103" t="s">
        <v>0</v>
      </c>
      <c r="S300" s="103" t="s">
        <v>0</v>
      </c>
      <c r="T300" s="42" t="s">
        <v>1</v>
      </c>
    </row>
    <row r="301" spans="1:20" ht="12.75">
      <c r="A301" s="44">
        <v>3089</v>
      </c>
      <c r="B301" s="886">
        <v>6178</v>
      </c>
      <c r="C301" s="886">
        <v>9541921</v>
      </c>
      <c r="D301" s="950" t="s">
        <v>2506</v>
      </c>
      <c r="E301" s="115">
        <f>B301-MOD(E$1-A301*3,B301)</f>
        <v>1461</v>
      </c>
      <c r="F301" s="644">
        <f>IF(MOD(E301,5)=0,B301,0)+E301</f>
        <v>1461</v>
      </c>
      <c r="G301" s="814">
        <f>IF(MOD(F301+$B301,5)=0,$B301,0)+$B301+F301</f>
        <v>7639</v>
      </c>
      <c r="H301" s="785">
        <f>IF(MOD(G301+$B301,5)=0,$B301,0)+$B301+G301</f>
        <v>13817</v>
      </c>
      <c r="I301" s="785">
        <f>IF(MOD(H301+$B301,5)=0,$B301,0)+$B301+H301</f>
        <v>26173</v>
      </c>
      <c r="J301" s="911">
        <v>146</v>
      </c>
      <c r="K301" s="892">
        <v>763</v>
      </c>
      <c r="L301" s="785">
        <v>1381</v>
      </c>
      <c r="M301" s="785">
        <v>2617</v>
      </c>
      <c r="N301" s="23" t="str">
        <f>D301&amp;FIXED(MOD(F301,10),0)</f>
        <v>hh91</v>
      </c>
      <c r="O301" s="78" t="str">
        <f>MID(A$5,((FIND(N301,A$4,1)-1)+1),4)</f>
        <v>7edb</v>
      </c>
      <c r="P301" s="94" t="s">
        <v>0</v>
      </c>
      <c r="Q301" s="78" t="s">
        <v>0</v>
      </c>
      <c r="R301" s="103" t="s">
        <v>0</v>
      </c>
      <c r="S301" s="103" t="s">
        <v>0</v>
      </c>
      <c r="T301" s="42" t="s">
        <v>1</v>
      </c>
    </row>
    <row r="302" spans="1:20" ht="12.75">
      <c r="A302" s="44">
        <v>3109</v>
      </c>
      <c r="B302" s="886">
        <v>6218</v>
      </c>
      <c r="C302" s="886">
        <v>9665881</v>
      </c>
      <c r="D302" s="950" t="s">
        <v>2506</v>
      </c>
      <c r="E302" s="115">
        <f>B302-MOD(E$1-A302*3,B302)</f>
        <v>5573</v>
      </c>
      <c r="F302" s="644">
        <f>IF(MOD(E302,5)=0,B302,0)+E302</f>
        <v>5573</v>
      </c>
      <c r="G302" s="814">
        <f>IF(MOD(F302+$B302,5)=0,$B302,0)+$B302+F302</f>
        <v>11791</v>
      </c>
      <c r="H302" s="785">
        <f>IF(MOD(G302+$B302,5)=0,$B302,0)+$B302+G302</f>
        <v>18009</v>
      </c>
      <c r="I302" s="785">
        <f>IF(MOD(H302+$B302,5)=0,$B302,0)+$B302+H302</f>
        <v>24227</v>
      </c>
      <c r="J302" s="911">
        <v>557</v>
      </c>
      <c r="K302" s="892">
        <v>1179</v>
      </c>
      <c r="L302" s="785">
        <v>1800</v>
      </c>
      <c r="M302" s="785">
        <v>2422</v>
      </c>
      <c r="N302" s="23" t="str">
        <f>D302&amp;FIXED(MOD(F302,10),0)</f>
        <v>hh93</v>
      </c>
      <c r="O302" s="78" t="str">
        <f>MID(A$5,((FIND(N302,A$4,1)-1)+1),4)</f>
        <v>b7ed</v>
      </c>
      <c r="P302" s="94" t="s">
        <v>0</v>
      </c>
      <c r="Q302" s="78" t="s">
        <v>0</v>
      </c>
      <c r="R302" s="103" t="s">
        <v>0</v>
      </c>
      <c r="S302" s="103" t="s">
        <v>0</v>
      </c>
      <c r="T302" s="42" t="s">
        <v>1</v>
      </c>
    </row>
    <row r="303" spans="1:20" ht="12.75">
      <c r="A303" s="44">
        <v>3119</v>
      </c>
      <c r="B303" s="886">
        <v>6238</v>
      </c>
      <c r="C303" s="886">
        <v>9728161</v>
      </c>
      <c r="D303" s="950" t="s">
        <v>2506</v>
      </c>
      <c r="E303" s="115">
        <f>B303-MOD(E$1-A303*3,B303)</f>
        <v>135</v>
      </c>
      <c r="F303" s="644">
        <f>IF(MOD(E303,5)=0,B303,0)+E303</f>
        <v>6373</v>
      </c>
      <c r="G303" s="814">
        <f>IF(MOD(F303+$B303,5)=0,$B303,0)+$B303+F303</f>
        <v>12611</v>
      </c>
      <c r="H303" s="785">
        <f>IF(MOD(G303+$B303,5)=0,$B303,0)+$B303+G303</f>
        <v>18849</v>
      </c>
      <c r="I303" s="785">
        <f>IF(MOD(H303+$B303,5)=0,$B303,0)+$B303+H303</f>
        <v>25087</v>
      </c>
      <c r="J303" s="911">
        <v>637</v>
      </c>
      <c r="K303" s="892">
        <v>1261</v>
      </c>
      <c r="L303" s="785">
        <v>1884</v>
      </c>
      <c r="M303" s="785">
        <v>2508</v>
      </c>
      <c r="N303" s="23" t="str">
        <f>D303&amp;FIXED(MOD(F303,10),0)</f>
        <v>hh93</v>
      </c>
      <c r="O303" s="78" t="str">
        <f>MID(A$5,((FIND(N303,A$4,1)-1)+1),4)</f>
        <v>b7ed</v>
      </c>
      <c r="P303" s="94" t="s">
        <v>0</v>
      </c>
      <c r="Q303" s="78" t="s">
        <v>0</v>
      </c>
      <c r="R303" s="103" t="s">
        <v>0</v>
      </c>
      <c r="S303" s="103" t="s">
        <v>0</v>
      </c>
      <c r="T303" s="42" t="s">
        <v>1</v>
      </c>
    </row>
    <row r="304" spans="1:20" ht="12.75">
      <c r="A304" s="44">
        <v>3121</v>
      </c>
      <c r="B304" s="886">
        <v>6242</v>
      </c>
      <c r="C304" s="886">
        <v>9740641</v>
      </c>
      <c r="D304" s="950" t="s">
        <v>2490</v>
      </c>
      <c r="E304" s="115">
        <f>B304-MOD(E$1-A304*3,B304)</f>
        <v>4055</v>
      </c>
      <c r="F304" s="644">
        <f>IF(MOD(E304,5)=0,B304,0)+E304</f>
        <v>10297</v>
      </c>
      <c r="G304" s="814">
        <f>IF(MOD(F304+$B304,5)=0,$B304,0)+$B304+F304</f>
        <v>16539</v>
      </c>
      <c r="H304" s="785">
        <f>IF(MOD(G304+$B304,5)=0,$B304,0)+$B304+G304</f>
        <v>22781</v>
      </c>
      <c r="I304" s="785">
        <f>IF(MOD(H304+$B304,5)=0,$B304,0)+$B304+H304</f>
        <v>29023</v>
      </c>
      <c r="J304" s="911">
        <v>1029</v>
      </c>
      <c r="K304" s="892">
        <v>1653</v>
      </c>
      <c r="L304" s="785">
        <v>2278</v>
      </c>
      <c r="M304" s="785">
        <v>2902</v>
      </c>
      <c r="N304" s="23" t="str">
        <f>D304&amp;FIXED(MOD(F304,10),0)</f>
        <v>hh17</v>
      </c>
      <c r="O304" s="78" t="str">
        <f>MID(A$5,((FIND(N304,A$4,1)-1)+1),4)</f>
        <v>de7b</v>
      </c>
      <c r="P304" s="94" t="s">
        <v>0</v>
      </c>
      <c r="Q304" s="78" t="s">
        <v>0</v>
      </c>
      <c r="R304" s="103" t="s">
        <v>0</v>
      </c>
      <c r="S304" s="103" t="s">
        <v>0</v>
      </c>
      <c r="T304" s="42" t="s">
        <v>1</v>
      </c>
    </row>
    <row r="305" spans="1:20" ht="12.75">
      <c r="A305" s="44">
        <v>3137</v>
      </c>
      <c r="B305" s="886">
        <v>6274</v>
      </c>
      <c r="C305" s="886">
        <v>9840769</v>
      </c>
      <c r="D305" s="950" t="s">
        <v>2501</v>
      </c>
      <c r="E305" s="115">
        <f>B305-MOD(E$1-A305*3,B305)</f>
        <v>2107</v>
      </c>
      <c r="F305" s="644">
        <f>IF(MOD(E305,5)=0,B305,0)+E305</f>
        <v>2107</v>
      </c>
      <c r="G305" s="814">
        <f>IF(MOD(F305+$B305,5)=0,$B305,0)+$B305+F305</f>
        <v>8381</v>
      </c>
      <c r="H305" s="785">
        <f>IF(MOD(G305+$B305,5)=0,$B305,0)+$B305+G305</f>
        <v>20929</v>
      </c>
      <c r="I305" s="785">
        <f>IF(MOD(H305+$B305,5)=0,$B305,0)+$B305+H305</f>
        <v>27203</v>
      </c>
      <c r="J305" s="911">
        <v>210</v>
      </c>
      <c r="K305" s="892">
        <v>838</v>
      </c>
      <c r="L305" s="785">
        <v>2092</v>
      </c>
      <c r="M305" s="785">
        <v>2720</v>
      </c>
      <c r="N305" s="23" t="str">
        <f>D305&amp;FIXED(MOD(F305,10),0)</f>
        <v>hh77</v>
      </c>
      <c r="O305" s="78" t="str">
        <f>MID(A$5,((FIND(N305,A$4,1)-1)+1),4)</f>
        <v>d7eb</v>
      </c>
      <c r="P305" s="94" t="s">
        <v>0</v>
      </c>
      <c r="Q305" s="78" t="s">
        <v>0</v>
      </c>
      <c r="R305" s="103" t="s">
        <v>0</v>
      </c>
      <c r="S305" s="103" t="s">
        <v>0</v>
      </c>
      <c r="T305" s="42" t="s">
        <v>1</v>
      </c>
    </row>
    <row r="306" spans="1:20" ht="12.75">
      <c r="A306" s="44">
        <v>3163</v>
      </c>
      <c r="B306" s="886">
        <v>6326</v>
      </c>
      <c r="C306" s="886">
        <v>10004569</v>
      </c>
      <c r="D306" s="950" t="s">
        <v>2496</v>
      </c>
      <c r="E306" s="115">
        <f>B306-MOD(E$1-A306*3,B306)</f>
        <v>2139</v>
      </c>
      <c r="F306" s="644">
        <f>IF(MOD(E306,5)=0,B306,0)+E306</f>
        <v>2139</v>
      </c>
      <c r="G306" s="814">
        <f>IF(MOD(F306+$B306,5)=0,$B306,0)+$B306+F306</f>
        <v>14791</v>
      </c>
      <c r="H306" s="785">
        <f>IF(MOD(G306+$B306,5)=0,$B306,0)+$B306+G306</f>
        <v>21117</v>
      </c>
      <c r="I306" s="785">
        <f>IF(MOD(H306+$B306,5)=0,$B306,0)+$B306+H306</f>
        <v>27443</v>
      </c>
      <c r="J306" s="911">
        <v>213</v>
      </c>
      <c r="K306" s="892">
        <v>1479</v>
      </c>
      <c r="L306" s="785">
        <v>2111</v>
      </c>
      <c r="M306" s="785">
        <v>2744</v>
      </c>
      <c r="N306" s="23" t="str">
        <f>D306&amp;FIXED(MOD(F306,10),0)</f>
        <v>hh39</v>
      </c>
      <c r="O306" s="78" t="str">
        <f>MID(A$5,((FIND(N306,A$4,1)-1)+1),4)</f>
        <v>e7db</v>
      </c>
      <c r="P306" s="94" t="s">
        <v>0</v>
      </c>
      <c r="Q306" s="78" t="s">
        <v>0</v>
      </c>
      <c r="R306" s="103" t="s">
        <v>0</v>
      </c>
      <c r="S306" s="103" t="s">
        <v>0</v>
      </c>
      <c r="T306" s="42" t="s">
        <v>1</v>
      </c>
    </row>
    <row r="307" spans="1:20" ht="12.75">
      <c r="A307" s="44">
        <v>3167</v>
      </c>
      <c r="B307" s="886">
        <v>6334</v>
      </c>
      <c r="C307" s="886">
        <v>10029889</v>
      </c>
      <c r="D307" s="950" t="s">
        <v>2501</v>
      </c>
      <c r="E307" s="115">
        <f>B307-MOD(E$1-A307*3,B307)</f>
        <v>3459</v>
      </c>
      <c r="F307" s="644">
        <f>IF(MOD(E307,5)=0,B307,0)+E307</f>
        <v>3459</v>
      </c>
      <c r="G307" s="814">
        <f>IF(MOD(F307+$B307,5)=0,$B307,0)+$B307+F307</f>
        <v>9793</v>
      </c>
      <c r="H307" s="785">
        <f>IF(MOD(G307+$B307,5)=0,$B307,0)+$B307+G307</f>
        <v>16127</v>
      </c>
      <c r="I307" s="785">
        <f>IF(MOD(H307+$B307,5)=0,$B307,0)+$B307+H307</f>
        <v>22461</v>
      </c>
      <c r="J307" s="911">
        <v>345</v>
      </c>
      <c r="K307" s="892">
        <v>979</v>
      </c>
      <c r="L307" s="785">
        <v>1612</v>
      </c>
      <c r="M307" s="785">
        <v>2246</v>
      </c>
      <c r="N307" s="23" t="str">
        <f>D307&amp;FIXED(MOD(F307,10),0)</f>
        <v>hh79</v>
      </c>
      <c r="O307" s="78" t="str">
        <f>MID(A$5,((FIND(N307,A$4,1)-1)+1),4)</f>
        <v>ebd7</v>
      </c>
      <c r="P307" s="94" t="s">
        <v>0</v>
      </c>
      <c r="Q307" s="78" t="s">
        <v>0</v>
      </c>
      <c r="R307" s="103" t="s">
        <v>0</v>
      </c>
      <c r="S307" s="103" t="s">
        <v>0</v>
      </c>
      <c r="T307" s="42" t="s">
        <v>1</v>
      </c>
    </row>
    <row r="308" spans="1:20" ht="12.75">
      <c r="A308" s="44">
        <v>3169</v>
      </c>
      <c r="B308" s="886">
        <v>6338</v>
      </c>
      <c r="C308" s="886">
        <v>10042561</v>
      </c>
      <c r="D308" s="950" t="s">
        <v>2506</v>
      </c>
      <c r="E308" s="115">
        <f>B308-MOD(E$1-A308*3,B308)</f>
        <v>3085</v>
      </c>
      <c r="F308" s="644">
        <f>IF(MOD(E308,5)=0,B308,0)+E308</f>
        <v>9423</v>
      </c>
      <c r="G308" s="814">
        <f>IF(MOD(F308+$B308,5)=0,$B308,0)+$B308+F308</f>
        <v>15761</v>
      </c>
      <c r="H308" s="785">
        <f>IF(MOD(G308+$B308,5)=0,$B308,0)+$B308+G308</f>
        <v>22099</v>
      </c>
      <c r="I308" s="785">
        <f>IF(MOD(H308+$B308,5)=0,$B308,0)+$B308+H308</f>
        <v>28437</v>
      </c>
      <c r="J308" s="911">
        <v>942</v>
      </c>
      <c r="K308" s="892">
        <v>1576</v>
      </c>
      <c r="L308" s="785">
        <v>2209</v>
      </c>
      <c r="M308" s="785">
        <v>2843</v>
      </c>
      <c r="N308" s="23" t="str">
        <f>D308&amp;FIXED(MOD(F308,10),0)</f>
        <v>hh93</v>
      </c>
      <c r="O308" s="78" t="str">
        <f>MID(A$5,((FIND(N308,A$4,1)-1)+1),4)</f>
        <v>b7ed</v>
      </c>
      <c r="P308" s="94" t="s">
        <v>0</v>
      </c>
      <c r="Q308" s="78" t="s">
        <v>0</v>
      </c>
      <c r="R308" s="103" t="s">
        <v>0</v>
      </c>
      <c r="S308" s="103" t="s">
        <v>0</v>
      </c>
      <c r="T308" s="42" t="s">
        <v>1</v>
      </c>
    </row>
    <row r="309" spans="1:20" ht="12.75">
      <c r="A309" s="44">
        <v>3181</v>
      </c>
      <c r="B309" s="886">
        <v>6362</v>
      </c>
      <c r="C309" s="886">
        <v>10118761</v>
      </c>
      <c r="D309" s="950" t="s">
        <v>2490</v>
      </c>
      <c r="E309" s="115">
        <f>B309-MOD(E$1-A309*3,B309)</f>
        <v>5145</v>
      </c>
      <c r="F309" s="644">
        <f>IF(MOD(E309,5)=0,B309,0)+E309</f>
        <v>11507</v>
      </c>
      <c r="G309" s="814">
        <f>IF(MOD(F309+$B309,5)=0,$B309,0)+$B309+F309</f>
        <v>17869</v>
      </c>
      <c r="H309" s="785">
        <f>IF(MOD(G309+$B309,5)=0,$B309,0)+$B309+G309</f>
        <v>24231</v>
      </c>
      <c r="I309" s="785">
        <f>IF(MOD(H309+$B309,5)=0,$B309,0)+$B309+H309</f>
        <v>30593</v>
      </c>
      <c r="J309" s="911">
        <v>1150</v>
      </c>
      <c r="K309" s="892">
        <v>1786</v>
      </c>
      <c r="L309" s="785">
        <v>2423</v>
      </c>
      <c r="M309" s="785">
        <v>3059</v>
      </c>
      <c r="N309" s="23" t="str">
        <f>D309&amp;FIXED(MOD(F309,10),0)</f>
        <v>hh17</v>
      </c>
      <c r="O309" s="78" t="str">
        <f>MID(A$5,((FIND(N309,A$4,1)-1)+1),4)</f>
        <v>de7b</v>
      </c>
      <c r="P309" s="94" t="s">
        <v>0</v>
      </c>
      <c r="Q309" s="78" t="s">
        <v>0</v>
      </c>
      <c r="R309" s="103" t="s">
        <v>0</v>
      </c>
      <c r="S309" s="103" t="s">
        <v>0</v>
      </c>
      <c r="T309" s="42" t="s">
        <v>1</v>
      </c>
    </row>
    <row r="310" spans="1:20" ht="12.75">
      <c r="A310" s="44">
        <v>3187</v>
      </c>
      <c r="B310" s="886">
        <v>6374</v>
      </c>
      <c r="C310" s="886">
        <v>10156969</v>
      </c>
      <c r="D310" s="950" t="s">
        <v>2501</v>
      </c>
      <c r="E310" s="115">
        <f>B310-MOD(E$1-A310*3,B310)</f>
        <v>3939</v>
      </c>
      <c r="F310" s="644">
        <f>IF(MOD(E310,5)=0,B310,0)+E310</f>
        <v>3939</v>
      </c>
      <c r="G310" s="814">
        <f>IF(MOD(F310+$B310,5)=0,$B310,0)+$B310+F310</f>
        <v>10313</v>
      </c>
      <c r="H310" s="785">
        <f>IF(MOD(G310+$B310,5)=0,$B310,0)+$B310+G310</f>
        <v>16687</v>
      </c>
      <c r="I310" s="785">
        <f>IF(MOD(H310+$B310,5)=0,$B310,0)+$B310+H310</f>
        <v>23061</v>
      </c>
      <c r="J310" s="911">
        <v>393</v>
      </c>
      <c r="K310" s="892">
        <v>1031</v>
      </c>
      <c r="L310" s="785">
        <v>1668</v>
      </c>
      <c r="M310" s="785">
        <v>2306</v>
      </c>
      <c r="N310" s="23" t="str">
        <f>D310&amp;FIXED(MOD(F310,10),0)</f>
        <v>hh79</v>
      </c>
      <c r="O310" s="78" t="str">
        <f>MID(A$5,((FIND(N310,A$4,1)-1)+1),4)</f>
        <v>ebd7</v>
      </c>
      <c r="P310" s="94" t="s">
        <v>0</v>
      </c>
      <c r="Q310" s="78" t="s">
        <v>0</v>
      </c>
      <c r="R310" s="103" t="s">
        <v>0</v>
      </c>
      <c r="S310" s="103" t="s">
        <v>0</v>
      </c>
      <c r="T310" s="42" t="s">
        <v>1</v>
      </c>
    </row>
    <row r="311" spans="1:20" ht="12.75">
      <c r="A311" s="44">
        <v>3191</v>
      </c>
      <c r="B311" s="886">
        <v>6382</v>
      </c>
      <c r="C311" s="886">
        <v>10182481</v>
      </c>
      <c r="D311" s="950" t="s">
        <v>2490</v>
      </c>
      <c r="E311" s="115">
        <f>B311-MOD(E$1-A311*3,B311)</f>
        <v>2155</v>
      </c>
      <c r="F311" s="644">
        <f>IF(MOD(E311,5)=0,B311,0)+E311</f>
        <v>8537</v>
      </c>
      <c r="G311" s="814">
        <f>IF(MOD(F311+$B311,5)=0,$B311,0)+$B311+F311</f>
        <v>14919</v>
      </c>
      <c r="H311" s="785">
        <f>IF(MOD(G311+$B311,5)=0,$B311,0)+$B311+G311</f>
        <v>21301</v>
      </c>
      <c r="I311" s="785">
        <f>IF(MOD(H311+$B311,5)=0,$B311,0)+$B311+H311</f>
        <v>27683</v>
      </c>
      <c r="J311" s="911">
        <v>853</v>
      </c>
      <c r="K311" s="892">
        <v>1491</v>
      </c>
      <c r="L311" s="785">
        <v>2130</v>
      </c>
      <c r="M311" s="785">
        <v>2768</v>
      </c>
      <c r="N311" s="23" t="str">
        <f>D311&amp;FIXED(MOD(F311,10),0)</f>
        <v>hh17</v>
      </c>
      <c r="O311" s="78" t="str">
        <f>MID(A$5,((FIND(N311,A$4,1)-1)+1),4)</f>
        <v>de7b</v>
      </c>
      <c r="P311" s="94" t="s">
        <v>0</v>
      </c>
      <c r="Q311" s="78" t="s">
        <v>0</v>
      </c>
      <c r="R311" s="103" t="s">
        <v>0</v>
      </c>
      <c r="S311" s="103" t="s">
        <v>0</v>
      </c>
      <c r="T311" s="42" t="s">
        <v>1</v>
      </c>
    </row>
    <row r="312" spans="1:20" ht="12.75">
      <c r="A312" s="44">
        <v>3203</v>
      </c>
      <c r="B312" s="886">
        <v>6406</v>
      </c>
      <c r="C312" s="886">
        <v>10259209</v>
      </c>
      <c r="D312" s="950" t="s">
        <v>2496</v>
      </c>
      <c r="E312" s="115">
        <f>B312-MOD(E$1-A312*3,B312)</f>
        <v>6183</v>
      </c>
      <c r="F312" s="644">
        <f>IF(MOD(E312,5)=0,B312,0)+E312</f>
        <v>6183</v>
      </c>
      <c r="G312" s="814">
        <f>IF(MOD(F312+$B312,5)=0,$B312,0)+$B312+F312</f>
        <v>12589</v>
      </c>
      <c r="H312" s="785">
        <f>IF(MOD(G312+$B312,5)=0,$B312,0)+$B312+G312</f>
        <v>25401</v>
      </c>
      <c r="I312" s="785">
        <f>IF(MOD(H312+$B312,5)=0,$B312,0)+$B312+H312</f>
        <v>31807</v>
      </c>
      <c r="J312" s="911">
        <v>618</v>
      </c>
      <c r="K312" s="892">
        <v>1258</v>
      </c>
      <c r="L312" s="785">
        <v>2540</v>
      </c>
      <c r="M312" s="785">
        <v>3180</v>
      </c>
      <c r="N312" s="23" t="str">
        <f>D312&amp;FIXED(MOD(F312,10),0)</f>
        <v>hh33</v>
      </c>
      <c r="O312" s="78" t="str">
        <f>MID(A$5,((FIND(N312,A$4,1)-1)+1),4)</f>
        <v>be7d</v>
      </c>
      <c r="P312" s="94" t="s">
        <v>0</v>
      </c>
      <c r="Q312" s="78" t="s">
        <v>0</v>
      </c>
      <c r="R312" s="103" t="s">
        <v>0</v>
      </c>
      <c r="S312" s="103" t="s">
        <v>0</v>
      </c>
      <c r="T312" s="42" t="s">
        <v>1</v>
      </c>
    </row>
    <row r="313" spans="1:20" ht="12.75">
      <c r="A313" s="44">
        <v>3209</v>
      </c>
      <c r="B313" s="886">
        <v>6418</v>
      </c>
      <c r="C313" s="886">
        <v>10297681</v>
      </c>
      <c r="D313" s="950" t="s">
        <v>2506</v>
      </c>
      <c r="E313" s="115">
        <f>B313-MOD(E$1-A313*3,B313)</f>
        <v>3431</v>
      </c>
      <c r="F313" s="644">
        <f>IF(MOD(E313,5)=0,B313,0)+E313</f>
        <v>3431</v>
      </c>
      <c r="G313" s="814">
        <f>IF(MOD(F313+$B313,5)=0,$B313,0)+$B313+F313</f>
        <v>9849</v>
      </c>
      <c r="H313" s="785">
        <f>IF(MOD(G313+$B313,5)=0,$B313,0)+$B313+G313</f>
        <v>16267</v>
      </c>
      <c r="I313" s="785">
        <f>IF(MOD(H313+$B313,5)=0,$B313,0)+$B313+H313</f>
        <v>29103</v>
      </c>
      <c r="J313" s="911">
        <v>343</v>
      </c>
      <c r="K313" s="892">
        <v>984</v>
      </c>
      <c r="L313" s="785">
        <v>1626</v>
      </c>
      <c r="M313" s="785">
        <v>2910</v>
      </c>
      <c r="N313" s="23" t="str">
        <f>D313&amp;FIXED(MOD(F313,10),0)</f>
        <v>hh91</v>
      </c>
      <c r="O313" s="78" t="str">
        <f>MID(A$5,((FIND(N313,A$4,1)-1)+1),4)</f>
        <v>7edb</v>
      </c>
      <c r="P313" s="94" t="s">
        <v>0</v>
      </c>
      <c r="Q313" s="78" t="s">
        <v>0</v>
      </c>
      <c r="R313" s="103" t="s">
        <v>0</v>
      </c>
      <c r="S313" s="103" t="s">
        <v>0</v>
      </c>
      <c r="T313" s="42" t="s">
        <v>1</v>
      </c>
    </row>
    <row r="314" spans="1:20" ht="12.75">
      <c r="A314" s="44">
        <v>3217</v>
      </c>
      <c r="B314" s="886">
        <v>6434</v>
      </c>
      <c r="C314" s="886">
        <v>10349089</v>
      </c>
      <c r="D314" s="950" t="s">
        <v>2501</v>
      </c>
      <c r="E314" s="115">
        <f>B314-MOD(E$1-A314*3,B314)</f>
        <v>1945</v>
      </c>
      <c r="F314" s="644">
        <f>IF(MOD(E314,5)=0,B314,0)+E314</f>
        <v>8379</v>
      </c>
      <c r="G314" s="814">
        <f>IF(MOD(F314+$B314,5)=0,$B314,0)+$B314+F314</f>
        <v>14813</v>
      </c>
      <c r="H314" s="785">
        <f>IF(MOD(G314+$B314,5)=0,$B314,0)+$B314+G314</f>
        <v>21247</v>
      </c>
      <c r="I314" s="785">
        <f>IF(MOD(H314+$B314,5)=0,$B314,0)+$B314+H314</f>
        <v>27681</v>
      </c>
      <c r="J314" s="911">
        <v>837</v>
      </c>
      <c r="K314" s="892">
        <v>1481</v>
      </c>
      <c r="L314" s="785">
        <v>2124</v>
      </c>
      <c r="M314" s="785">
        <v>2768</v>
      </c>
      <c r="N314" s="23" t="str">
        <f>D314&amp;FIXED(MOD(F314,10),0)</f>
        <v>hh79</v>
      </c>
      <c r="O314" s="78" t="str">
        <f>MID(A$5,((FIND(N314,A$4,1)-1)+1),4)</f>
        <v>ebd7</v>
      </c>
      <c r="P314" s="94" t="s">
        <v>0</v>
      </c>
      <c r="Q314" s="78" t="s">
        <v>0</v>
      </c>
      <c r="R314" s="103" t="s">
        <v>0</v>
      </c>
      <c r="S314" s="103" t="s">
        <v>0</v>
      </c>
      <c r="T314" s="42" t="s">
        <v>1</v>
      </c>
    </row>
    <row r="315" spans="1:20" ht="12.75">
      <c r="A315" s="44">
        <v>3221</v>
      </c>
      <c r="B315" s="886">
        <v>6442</v>
      </c>
      <c r="C315" s="886">
        <v>10374841</v>
      </c>
      <c r="D315" s="950" t="s">
        <v>2490</v>
      </c>
      <c r="E315" s="115">
        <f>B315-MOD(E$1-A315*3,B315)</f>
        <v>3523</v>
      </c>
      <c r="F315" s="644">
        <f>IF(MOD(E315,5)=0,B315,0)+E315</f>
        <v>3523</v>
      </c>
      <c r="G315" s="814">
        <f>IF(MOD(F315+$B315,5)=0,$B315,0)+$B315+F315</f>
        <v>16407</v>
      </c>
      <c r="H315" s="785">
        <f>IF(MOD(G315+$B315,5)=0,$B315,0)+$B315+G315</f>
        <v>22849</v>
      </c>
      <c r="I315" s="785">
        <f>IF(MOD(H315+$B315,5)=0,$B315,0)+$B315+H315</f>
        <v>29291</v>
      </c>
      <c r="J315" s="911">
        <v>352</v>
      </c>
      <c r="K315" s="892">
        <v>1640</v>
      </c>
      <c r="L315" s="785">
        <v>2284</v>
      </c>
      <c r="M315" s="785">
        <v>2929</v>
      </c>
      <c r="N315" s="23" t="str">
        <f>D315&amp;FIXED(MOD(F315,10),0)</f>
        <v>hh13</v>
      </c>
      <c r="O315" s="78" t="str">
        <f>MID(A$5,((FIND(N315,A$4,1)-1)+1),4)</f>
        <v>bde7</v>
      </c>
      <c r="P315" s="94" t="s">
        <v>0</v>
      </c>
      <c r="Q315" s="78" t="s">
        <v>0</v>
      </c>
      <c r="R315" s="103" t="s">
        <v>0</v>
      </c>
      <c r="S315" s="103" t="s">
        <v>0</v>
      </c>
      <c r="T315" s="42" t="s">
        <v>1</v>
      </c>
    </row>
    <row r="316" spans="1:20" ht="12.75">
      <c r="A316" s="44">
        <v>3229</v>
      </c>
      <c r="B316" s="886">
        <v>6458</v>
      </c>
      <c r="C316" s="886">
        <v>10426441</v>
      </c>
      <c r="D316" s="950" t="s">
        <v>2506</v>
      </c>
      <c r="E316" s="115">
        <f>B316-MOD(E$1-A316*3,B316)</f>
        <v>715</v>
      </c>
      <c r="F316" s="644">
        <f>IF(MOD(E316,5)=0,B316,0)+E316</f>
        <v>7173</v>
      </c>
      <c r="G316" s="814">
        <f>IF(MOD(F316+$B316,5)=0,$B316,0)+$B316+F316</f>
        <v>13631</v>
      </c>
      <c r="H316" s="785">
        <f>IF(MOD(G316+$B316,5)=0,$B316,0)+$B316+G316</f>
        <v>20089</v>
      </c>
      <c r="I316" s="785">
        <f>IF(MOD(H316+$B316,5)=0,$B316,0)+$B316+H316</f>
        <v>26547</v>
      </c>
      <c r="J316" s="911">
        <v>717</v>
      </c>
      <c r="K316" s="892">
        <v>1363</v>
      </c>
      <c r="L316" s="785">
        <v>2008</v>
      </c>
      <c r="M316" s="785">
        <v>2654</v>
      </c>
      <c r="N316" s="23" t="str">
        <f>D316&amp;FIXED(MOD(F316,10),0)</f>
        <v>hh93</v>
      </c>
      <c r="O316" s="78" t="str">
        <f>MID(A$5,((FIND(N316,A$4,1)-1)+1),4)</f>
        <v>b7ed</v>
      </c>
      <c r="P316" s="94" t="s">
        <v>0</v>
      </c>
      <c r="Q316" s="78" t="s">
        <v>0</v>
      </c>
      <c r="R316" s="103" t="s">
        <v>0</v>
      </c>
      <c r="S316" s="103" t="s">
        <v>0</v>
      </c>
      <c r="T316" s="42" t="s">
        <v>1</v>
      </c>
    </row>
    <row r="317" spans="1:20" ht="12.75">
      <c r="A317" s="44">
        <v>3251</v>
      </c>
      <c r="B317" s="886">
        <v>6502</v>
      </c>
      <c r="C317" s="886">
        <v>10569001</v>
      </c>
      <c r="D317" s="950" t="s">
        <v>2490</v>
      </c>
      <c r="E317" s="115">
        <f>B317-MOD(E$1-A317*3,B317)</f>
        <v>3623</v>
      </c>
      <c r="F317" s="644">
        <f>IF(MOD(E317,5)=0,B317,0)+E317</f>
        <v>3623</v>
      </c>
      <c r="G317" s="814">
        <f>IF(MOD(F317+$B317,5)=0,$B317,0)+$B317+F317</f>
        <v>16627</v>
      </c>
      <c r="H317" s="785">
        <f>IF(MOD(G317+$B317,5)=0,$B317,0)+$B317+G317</f>
        <v>23129</v>
      </c>
      <c r="I317" s="785">
        <f>IF(MOD(H317+$B317,5)=0,$B317,0)+$B317+H317</f>
        <v>29631</v>
      </c>
      <c r="J317" s="911">
        <v>362</v>
      </c>
      <c r="K317" s="892">
        <v>1662</v>
      </c>
      <c r="L317" s="785">
        <v>2312</v>
      </c>
      <c r="M317" s="785">
        <v>2963</v>
      </c>
      <c r="N317" s="23" t="str">
        <f>D317&amp;FIXED(MOD(F317,10),0)</f>
        <v>hh13</v>
      </c>
      <c r="O317" s="78" t="str">
        <f>MID(A$5,((FIND(N317,A$4,1)-1)+1),4)</f>
        <v>bde7</v>
      </c>
      <c r="P317" s="94" t="s">
        <v>0</v>
      </c>
      <c r="Q317" s="78" t="s">
        <v>0</v>
      </c>
      <c r="R317" s="103" t="s">
        <v>0</v>
      </c>
      <c r="S317" s="103" t="s">
        <v>0</v>
      </c>
      <c r="T317" s="42" t="s">
        <v>1</v>
      </c>
    </row>
    <row r="318" spans="1:20" ht="12.75">
      <c r="A318" s="44">
        <v>3253</v>
      </c>
      <c r="B318" s="886">
        <v>6506</v>
      </c>
      <c r="C318" s="886">
        <v>10582009</v>
      </c>
      <c r="D318" s="950" t="s">
        <v>2496</v>
      </c>
      <c r="E318" s="115">
        <f>B318-MOD(E$1-A318*3,B318)</f>
        <v>2885</v>
      </c>
      <c r="F318" s="644">
        <f>IF(MOD(E318,5)=0,B318,0)+E318</f>
        <v>9391</v>
      </c>
      <c r="G318" s="814">
        <f>IF(MOD(F318+$B318,5)=0,$B318,0)+$B318+F318</f>
        <v>15897</v>
      </c>
      <c r="H318" s="785">
        <f>IF(MOD(G318+$B318,5)=0,$B318,0)+$B318+G318</f>
        <v>22403</v>
      </c>
      <c r="I318" s="785">
        <f>IF(MOD(H318+$B318,5)=0,$B318,0)+$B318+H318</f>
        <v>28909</v>
      </c>
      <c r="J318" s="911">
        <v>939</v>
      </c>
      <c r="K318" s="892">
        <v>1589</v>
      </c>
      <c r="L318" s="785">
        <v>2240</v>
      </c>
      <c r="M318" s="785">
        <v>2890</v>
      </c>
      <c r="N318" s="23" t="str">
        <f>D318&amp;FIXED(MOD(F318,10),0)</f>
        <v>hh31</v>
      </c>
      <c r="O318" s="78" t="str">
        <f>MID(A$5,((FIND(N318,A$4,1)-1)+1),4)</f>
        <v>7dbe</v>
      </c>
      <c r="P318" s="94" t="s">
        <v>0</v>
      </c>
      <c r="Q318" s="78" t="s">
        <v>0</v>
      </c>
      <c r="R318" s="103" t="s">
        <v>0</v>
      </c>
      <c r="S318" s="103" t="s">
        <v>0</v>
      </c>
      <c r="T318" s="42" t="s">
        <v>1</v>
      </c>
    </row>
    <row r="319" spans="1:20" ht="12.75">
      <c r="A319" s="44">
        <v>3257</v>
      </c>
      <c r="B319" s="886">
        <v>6514</v>
      </c>
      <c r="C319" s="886">
        <v>10608049</v>
      </c>
      <c r="D319" s="950" t="s">
        <v>2501</v>
      </c>
      <c r="E319" s="115">
        <f>B319-MOD(E$1-A319*3,B319)</f>
        <v>4099</v>
      </c>
      <c r="F319" s="644">
        <f>IF(MOD(E319,5)=0,B319,0)+E319</f>
        <v>4099</v>
      </c>
      <c r="G319" s="814">
        <f>IF(MOD(F319+$B319,5)=0,$B319,0)+$B319+F319</f>
        <v>10613</v>
      </c>
      <c r="H319" s="785">
        <f>IF(MOD(G319+$B319,5)=0,$B319,0)+$B319+G319</f>
        <v>17127</v>
      </c>
      <c r="I319" s="785">
        <f>IF(MOD(H319+$B319,5)=0,$B319,0)+$B319+H319</f>
        <v>23641</v>
      </c>
      <c r="J319" s="911">
        <v>409</v>
      </c>
      <c r="K319" s="892">
        <v>1061</v>
      </c>
      <c r="L319" s="785">
        <v>1712</v>
      </c>
      <c r="M319" s="785">
        <v>2364</v>
      </c>
      <c r="N319" s="23" t="str">
        <f>D319&amp;FIXED(MOD(F319,10),0)</f>
        <v>hh79</v>
      </c>
      <c r="O319" s="78" t="str">
        <f>MID(A$5,((FIND(N319,A$4,1)-1)+1),4)</f>
        <v>ebd7</v>
      </c>
      <c r="P319" s="94" t="s">
        <v>0</v>
      </c>
      <c r="Q319" s="78" t="s">
        <v>0</v>
      </c>
      <c r="R319" s="103" t="s">
        <v>0</v>
      </c>
      <c r="S319" s="103" t="s">
        <v>0</v>
      </c>
      <c r="T319" s="42" t="s">
        <v>1</v>
      </c>
    </row>
    <row r="320" spans="1:20" ht="12.75">
      <c r="A320" s="44">
        <v>3259</v>
      </c>
      <c r="B320" s="886">
        <v>6518</v>
      </c>
      <c r="C320" s="886">
        <v>10621081</v>
      </c>
      <c r="D320" s="950" t="s">
        <v>2506</v>
      </c>
      <c r="E320" s="115">
        <f>B320-MOD(E$1-A320*3,B320)</f>
        <v>1205</v>
      </c>
      <c r="F320" s="644">
        <f>IF(MOD(E320,5)=0,B320,0)+E320</f>
        <v>7723</v>
      </c>
      <c r="G320" s="814">
        <f>IF(MOD(F320+$B320,5)=0,$B320,0)+$B320+F320</f>
        <v>14241</v>
      </c>
      <c r="H320" s="785">
        <f>IF(MOD(G320+$B320,5)=0,$B320,0)+$B320+G320</f>
        <v>20759</v>
      </c>
      <c r="I320" s="785">
        <f>IF(MOD(H320+$B320,5)=0,$B320,0)+$B320+H320</f>
        <v>27277</v>
      </c>
      <c r="J320" s="911">
        <v>772</v>
      </c>
      <c r="K320" s="892">
        <v>1424</v>
      </c>
      <c r="L320" s="785">
        <v>2075</v>
      </c>
      <c r="M320" s="785">
        <v>2727</v>
      </c>
      <c r="N320" s="23" t="str">
        <f>D320&amp;FIXED(MOD(F320,10),0)</f>
        <v>hh93</v>
      </c>
      <c r="O320" s="78" t="str">
        <f>MID(A$5,((FIND(N320,A$4,1)-1)+1),4)</f>
        <v>b7ed</v>
      </c>
      <c r="P320" s="94" t="s">
        <v>0</v>
      </c>
      <c r="Q320" s="78" t="s">
        <v>0</v>
      </c>
      <c r="R320" s="103" t="s">
        <v>0</v>
      </c>
      <c r="S320" s="103" t="s">
        <v>0</v>
      </c>
      <c r="T320" s="42" t="s">
        <v>1</v>
      </c>
    </row>
    <row r="321" spans="1:20" ht="12.75">
      <c r="A321" s="44">
        <v>3271</v>
      </c>
      <c r="B321" s="886">
        <v>6542</v>
      </c>
      <c r="C321" s="886">
        <v>10699441</v>
      </c>
      <c r="D321" s="950" t="s">
        <v>2490</v>
      </c>
      <c r="E321" s="115">
        <f>B321-MOD(E$1-A321*3,B321)</f>
        <v>75</v>
      </c>
      <c r="F321" s="644">
        <f>IF(MOD(E321,5)=0,B321,0)+E321</f>
        <v>6617</v>
      </c>
      <c r="G321" s="814">
        <f>IF(MOD(F321+$B321,5)=0,$B321,0)+$B321+F321</f>
        <v>13159</v>
      </c>
      <c r="H321" s="785">
        <f>IF(MOD(G321+$B321,5)=0,$B321,0)+$B321+G321</f>
        <v>19701</v>
      </c>
      <c r="I321" s="785">
        <f>IF(MOD(H321+$B321,5)=0,$B321,0)+$B321+H321</f>
        <v>26243</v>
      </c>
      <c r="J321" s="911">
        <v>661</v>
      </c>
      <c r="K321" s="892">
        <v>1315</v>
      </c>
      <c r="L321" s="785">
        <v>1970</v>
      </c>
      <c r="M321" s="785">
        <v>2624</v>
      </c>
      <c r="N321" s="23" t="str">
        <f>D321&amp;FIXED(MOD(F321,10),0)</f>
        <v>hh17</v>
      </c>
      <c r="O321" s="78" t="str">
        <f>MID(A$5,((FIND(N321,A$4,1)-1)+1),4)</f>
        <v>de7b</v>
      </c>
      <c r="P321" s="94" t="s">
        <v>0</v>
      </c>
      <c r="Q321" s="78" t="s">
        <v>0</v>
      </c>
      <c r="R321" s="103" t="s">
        <v>0</v>
      </c>
      <c r="S321" s="103" t="s">
        <v>0</v>
      </c>
      <c r="T321" s="42" t="s">
        <v>1</v>
      </c>
    </row>
    <row r="322" spans="1:20" ht="12.75">
      <c r="A322" s="44">
        <v>3299</v>
      </c>
      <c r="B322" s="886">
        <v>6598</v>
      </c>
      <c r="C322" s="886">
        <v>10883401</v>
      </c>
      <c r="D322" s="950" t="s">
        <v>2506</v>
      </c>
      <c r="E322" s="115">
        <f>B322-MOD(E$1-A322*3,B322)</f>
        <v>1103</v>
      </c>
      <c r="F322" s="644">
        <f>IF(MOD(E322,5)=0,B322,0)+E322</f>
        <v>1103</v>
      </c>
      <c r="G322" s="814">
        <f>IF(MOD(F322+$B322,5)=0,$B322,0)+$B322+F322</f>
        <v>7701</v>
      </c>
      <c r="H322" s="785">
        <f>IF(MOD(G322+$B322,5)=0,$B322,0)+$B322+G322</f>
        <v>14299</v>
      </c>
      <c r="I322" s="785">
        <f>IF(MOD(H322+$B322,5)=0,$B322,0)+$B322+H322</f>
        <v>20897</v>
      </c>
      <c r="J322" s="911">
        <v>110</v>
      </c>
      <c r="K322" s="892">
        <v>770</v>
      </c>
      <c r="L322" s="785">
        <v>1429</v>
      </c>
      <c r="M322" s="785">
        <v>2089</v>
      </c>
      <c r="N322" s="23" t="str">
        <f>D322&amp;FIXED(MOD(F322,10),0)</f>
        <v>hh93</v>
      </c>
      <c r="O322" s="78" t="str">
        <f>MID(A$5,((FIND(N322,A$4,1)-1)+1),4)</f>
        <v>b7ed</v>
      </c>
      <c r="P322" s="94" t="s">
        <v>0</v>
      </c>
      <c r="Q322" s="78" t="s">
        <v>0</v>
      </c>
      <c r="R322" s="103" t="s">
        <v>0</v>
      </c>
      <c r="S322" s="103" t="s">
        <v>0</v>
      </c>
      <c r="T322" s="42" t="s">
        <v>1</v>
      </c>
    </row>
    <row r="323" spans="1:20" ht="12.75">
      <c r="A323" s="44">
        <v>3301</v>
      </c>
      <c r="B323" s="886">
        <v>6602</v>
      </c>
      <c r="C323" s="886">
        <v>10896601</v>
      </c>
      <c r="D323" s="950" t="s">
        <v>2490</v>
      </c>
      <c r="E323" s="115">
        <f>B323-MOD(E$1-A323*3,B323)</f>
        <v>539</v>
      </c>
      <c r="F323" s="644">
        <f>IF(MOD(E323,5)=0,B323,0)+E323</f>
        <v>539</v>
      </c>
      <c r="G323" s="814">
        <f>IF(MOD(F323+$B323,5)=0,$B323,0)+$B323+F323</f>
        <v>7141</v>
      </c>
      <c r="H323" s="785">
        <f>IF(MOD(G323+$B323,5)=0,$B323,0)+$B323+G323</f>
        <v>13743</v>
      </c>
      <c r="I323" s="785">
        <f>IF(MOD(H323+$B323,5)=0,$B323,0)+$B323+H323</f>
        <v>26947</v>
      </c>
      <c r="J323" s="911">
        <v>53</v>
      </c>
      <c r="K323" s="892">
        <v>714</v>
      </c>
      <c r="L323" s="785">
        <v>1374</v>
      </c>
      <c r="M323" s="785">
        <v>2694</v>
      </c>
      <c r="N323" s="23" t="str">
        <f>D323&amp;FIXED(MOD(F323,10),0)</f>
        <v>hh19</v>
      </c>
      <c r="O323" s="78" t="str">
        <f>MID(A$5,((FIND(N323,A$4,1)-1)+1),4)</f>
        <v>e7bd</v>
      </c>
      <c r="P323" s="94" t="s">
        <v>0</v>
      </c>
      <c r="Q323" s="78" t="s">
        <v>0</v>
      </c>
      <c r="R323" s="103" t="s">
        <v>0</v>
      </c>
      <c r="S323" s="103" t="s">
        <v>0</v>
      </c>
      <c r="T323" s="42" t="s">
        <v>1</v>
      </c>
    </row>
    <row r="324" spans="1:20" ht="12.75">
      <c r="A324" s="44">
        <v>3307</v>
      </c>
      <c r="B324" s="886">
        <v>6614</v>
      </c>
      <c r="C324" s="886">
        <v>10936249</v>
      </c>
      <c r="D324" s="950" t="s">
        <v>2501</v>
      </c>
      <c r="E324" s="115">
        <f>B324-MOD(E$1-A324*3,B324)</f>
        <v>5455</v>
      </c>
      <c r="F324" s="644">
        <f>IF(MOD(E324,5)=0,B324,0)+E324</f>
        <v>12069</v>
      </c>
      <c r="G324" s="814">
        <f>IF(MOD(F324+$B324,5)=0,$B324,0)+$B324+F324</f>
        <v>18683</v>
      </c>
      <c r="H324" s="785">
        <f>IF(MOD(G324+$B324,5)=0,$B324,0)+$B324+G324</f>
        <v>25297</v>
      </c>
      <c r="I324" s="785">
        <f>IF(MOD(H324+$B324,5)=0,$B324,0)+$B324+H324</f>
        <v>31911</v>
      </c>
      <c r="J324" s="911">
        <v>1206</v>
      </c>
      <c r="K324" s="892">
        <v>1868</v>
      </c>
      <c r="L324" s="785">
        <v>2529</v>
      </c>
      <c r="M324" s="785">
        <v>3191</v>
      </c>
      <c r="N324" s="23" t="str">
        <f>D324&amp;FIXED(MOD(F324,10),0)</f>
        <v>hh79</v>
      </c>
      <c r="O324" s="78" t="str">
        <f>MID(A$5,((FIND(N324,A$4,1)-1)+1),4)</f>
        <v>ebd7</v>
      </c>
      <c r="P324" s="94" t="s">
        <v>0</v>
      </c>
      <c r="Q324" s="78" t="s">
        <v>0</v>
      </c>
      <c r="R324" s="103" t="s">
        <v>0</v>
      </c>
      <c r="S324" s="103" t="s">
        <v>0</v>
      </c>
      <c r="T324" s="42" t="s">
        <v>1</v>
      </c>
    </row>
    <row r="325" spans="1:20" ht="12.75">
      <c r="A325" s="44">
        <v>3313</v>
      </c>
      <c r="B325" s="886">
        <v>6626</v>
      </c>
      <c r="C325" s="886">
        <v>10975969</v>
      </c>
      <c r="D325" s="950" t="s">
        <v>2496</v>
      </c>
      <c r="E325" s="115">
        <f>B325-MOD(E$1-A325*3,B325)</f>
        <v>3953</v>
      </c>
      <c r="F325" s="644">
        <f>IF(MOD(E325,5)=0,B325,0)+E325</f>
        <v>3953</v>
      </c>
      <c r="G325" s="814">
        <f>IF(MOD(F325+$B325,5)=0,$B325,0)+$B325+F325</f>
        <v>10579</v>
      </c>
      <c r="H325" s="785">
        <f>IF(MOD(G325+$B325,5)=0,$B325,0)+$B325+G325</f>
        <v>23831</v>
      </c>
      <c r="I325" s="785">
        <f>IF(MOD(H325+$B325,5)=0,$B325,0)+$B325+H325</f>
        <v>30457</v>
      </c>
      <c r="J325" s="911">
        <v>395</v>
      </c>
      <c r="K325" s="892">
        <v>1057</v>
      </c>
      <c r="L325" s="785">
        <v>2383</v>
      </c>
      <c r="M325" s="785">
        <v>3045</v>
      </c>
      <c r="N325" s="23" t="str">
        <f>D325&amp;FIXED(MOD(F325,10),0)</f>
        <v>hh33</v>
      </c>
      <c r="O325" s="78" t="str">
        <f>MID(A$5,((FIND(N325,A$4,1)-1)+1),4)</f>
        <v>be7d</v>
      </c>
      <c r="P325" s="94" t="s">
        <v>0</v>
      </c>
      <c r="Q325" s="78" t="s">
        <v>0</v>
      </c>
      <c r="R325" s="103" t="s">
        <v>0</v>
      </c>
      <c r="S325" s="103" t="s">
        <v>0</v>
      </c>
      <c r="T325" s="42" t="s">
        <v>1</v>
      </c>
    </row>
    <row r="326" spans="1:20" ht="12.75">
      <c r="A326" s="44">
        <v>3319</v>
      </c>
      <c r="B326" s="886">
        <v>6638</v>
      </c>
      <c r="C326" s="886">
        <v>11015761</v>
      </c>
      <c r="D326" s="950" t="s">
        <v>2506</v>
      </c>
      <c r="E326" s="115">
        <f>B326-MOD(E$1-A326*3,B326)</f>
        <v>4177</v>
      </c>
      <c r="F326" s="644">
        <f>IF(MOD(E326,5)=0,B326,0)+E326</f>
        <v>4177</v>
      </c>
      <c r="G326" s="814">
        <f>IF(MOD(F326+$B326,5)=0,$B326,0)+$B326+F326</f>
        <v>17453</v>
      </c>
      <c r="H326" s="785">
        <f>IF(MOD(G326+$B326,5)=0,$B326,0)+$B326+G326</f>
        <v>24091</v>
      </c>
      <c r="I326" s="785">
        <f>IF(MOD(H326+$B326,5)=0,$B326,0)+$B326+H326</f>
        <v>30729</v>
      </c>
      <c r="J326" s="911">
        <v>417</v>
      </c>
      <c r="K326" s="892">
        <v>1745</v>
      </c>
      <c r="L326" s="785">
        <v>2409</v>
      </c>
      <c r="M326" s="785">
        <v>3072</v>
      </c>
      <c r="N326" s="23" t="str">
        <f>D326&amp;FIXED(MOD(F326,10),0)</f>
        <v>hh97</v>
      </c>
      <c r="O326" s="78" t="str">
        <f>MID(A$5,((FIND(N326,A$4,1)-1)+1),4)</f>
        <v>db7e</v>
      </c>
      <c r="P326" s="94" t="s">
        <v>0</v>
      </c>
      <c r="Q326" s="78" t="s">
        <v>0</v>
      </c>
      <c r="R326" s="103" t="s">
        <v>0</v>
      </c>
      <c r="S326" s="103" t="s">
        <v>0</v>
      </c>
      <c r="T326" s="42" t="s">
        <v>1</v>
      </c>
    </row>
    <row r="327" spans="1:20" ht="12.75">
      <c r="A327" s="44">
        <v>3323</v>
      </c>
      <c r="B327" s="886">
        <v>6646</v>
      </c>
      <c r="C327" s="886">
        <v>11042329</v>
      </c>
      <c r="D327" s="950" t="s">
        <v>2496</v>
      </c>
      <c r="E327" s="115">
        <f>B327-MOD(E$1-A327*3,B327)</f>
        <v>1797</v>
      </c>
      <c r="F327" s="644">
        <f>IF(MOD(E327,5)=0,B327,0)+E327</f>
        <v>1797</v>
      </c>
      <c r="G327" s="814">
        <f>IF(MOD(F327+$B327,5)=0,$B327,0)+$B327+F327</f>
        <v>8443</v>
      </c>
      <c r="H327" s="785">
        <f>IF(MOD(G327+$B327,5)=0,$B327,0)+$B327+G327</f>
        <v>15089</v>
      </c>
      <c r="I327" s="785">
        <f>IF(MOD(H327+$B327,5)=0,$B327,0)+$B327+H327</f>
        <v>28381</v>
      </c>
      <c r="J327" s="911">
        <v>179</v>
      </c>
      <c r="K327" s="892">
        <v>844</v>
      </c>
      <c r="L327" s="785">
        <v>1508</v>
      </c>
      <c r="M327" s="785">
        <v>2838</v>
      </c>
      <c r="N327" s="23" t="str">
        <f>D327&amp;FIXED(MOD(F327,10),0)</f>
        <v>hh37</v>
      </c>
      <c r="O327" s="78" t="str">
        <f>MID(A$5,((FIND(N327,A$4,1)-1)+1),4)</f>
        <v>dbe7</v>
      </c>
      <c r="P327" s="94" t="s">
        <v>0</v>
      </c>
      <c r="Q327" s="78" t="s">
        <v>0</v>
      </c>
      <c r="R327" s="103" t="s">
        <v>0</v>
      </c>
      <c r="S327" s="103" t="s">
        <v>0</v>
      </c>
      <c r="T327" s="42" t="s">
        <v>1</v>
      </c>
    </row>
    <row r="328" spans="1:20" ht="12.75">
      <c r="A328" s="44">
        <v>3329</v>
      </c>
      <c r="B328" s="886">
        <v>6658</v>
      </c>
      <c r="C328" s="886">
        <v>11082241</v>
      </c>
      <c r="D328" s="950" t="s">
        <v>2506</v>
      </c>
      <c r="E328" s="115">
        <f>B328-MOD(E$1-A328*3,B328)</f>
        <v>3487</v>
      </c>
      <c r="F328" s="644">
        <f>IF(MOD(E328,5)=0,B328,0)+E328</f>
        <v>3487</v>
      </c>
      <c r="G328" s="814">
        <f>IF(MOD(F328+$B328,5)=0,$B328,0)+$B328+F328</f>
        <v>16803</v>
      </c>
      <c r="H328" s="785">
        <f>IF(MOD(G328+$B328,5)=0,$B328,0)+$B328+G328</f>
        <v>23461</v>
      </c>
      <c r="I328" s="785">
        <f>IF(MOD(H328+$B328,5)=0,$B328,0)+$B328+H328</f>
        <v>30119</v>
      </c>
      <c r="J328" s="911">
        <v>348</v>
      </c>
      <c r="K328" s="892">
        <v>1680</v>
      </c>
      <c r="L328" s="785">
        <v>2346</v>
      </c>
      <c r="M328" s="785">
        <v>3011</v>
      </c>
      <c r="N328" s="23" t="str">
        <f>D328&amp;FIXED(MOD(F328,10),0)</f>
        <v>hh97</v>
      </c>
      <c r="O328" s="78" t="str">
        <f>MID(A$5,((FIND(N328,A$4,1)-1)+1),4)</f>
        <v>db7e</v>
      </c>
      <c r="P328" s="94" t="s">
        <v>0</v>
      </c>
      <c r="Q328" s="78" t="s">
        <v>0</v>
      </c>
      <c r="R328" s="103" t="s">
        <v>0</v>
      </c>
      <c r="S328" s="103" t="s">
        <v>0</v>
      </c>
      <c r="T328" s="42" t="s">
        <v>1</v>
      </c>
    </row>
    <row r="329" spans="1:20" ht="12.75">
      <c r="A329" s="44">
        <v>3331</v>
      </c>
      <c r="B329" s="886">
        <v>6662</v>
      </c>
      <c r="C329" s="886">
        <v>11095561</v>
      </c>
      <c r="D329" s="950" t="s">
        <v>2490</v>
      </c>
      <c r="E329" s="115">
        <f>B329-MOD(E$1-A329*3,B329)</f>
        <v>1927</v>
      </c>
      <c r="F329" s="644">
        <f>IF(MOD(E329,5)=0,B329,0)+E329</f>
        <v>1927</v>
      </c>
      <c r="G329" s="814">
        <f>IF(MOD(F329+$B329,5)=0,$B329,0)+$B329+F329</f>
        <v>8589</v>
      </c>
      <c r="H329" s="785">
        <f>IF(MOD(G329+$B329,5)=0,$B329,0)+$B329+G329</f>
        <v>15251</v>
      </c>
      <c r="I329" s="785">
        <f>IF(MOD(H329+$B329,5)=0,$B329,0)+$B329+H329</f>
        <v>21913</v>
      </c>
      <c r="J329" s="911">
        <v>192</v>
      </c>
      <c r="K329" s="892">
        <v>858</v>
      </c>
      <c r="L329" s="785">
        <v>1525</v>
      </c>
      <c r="M329" s="785">
        <v>2191</v>
      </c>
      <c r="N329" s="23" t="str">
        <f>D329&amp;FIXED(MOD(F329,10),0)</f>
        <v>hh17</v>
      </c>
      <c r="O329" s="78" t="str">
        <f>MID(A$5,((FIND(N329,A$4,1)-1)+1),4)</f>
        <v>de7b</v>
      </c>
      <c r="P329" s="94" t="s">
        <v>0</v>
      </c>
      <c r="Q329" s="78" t="s">
        <v>0</v>
      </c>
      <c r="R329" s="103" t="s">
        <v>0</v>
      </c>
      <c r="S329" s="103" t="s">
        <v>0</v>
      </c>
      <c r="T329" s="42" t="s">
        <v>1</v>
      </c>
    </row>
    <row r="330" spans="1:20" ht="12.75">
      <c r="A330" s="44">
        <v>3343</v>
      </c>
      <c r="B330" s="886">
        <v>6686</v>
      </c>
      <c r="C330" s="886">
        <v>11175649</v>
      </c>
      <c r="D330" s="950" t="s">
        <v>2496</v>
      </c>
      <c r="E330" s="115">
        <f>B330-MOD(E$1-A330*3,B330)</f>
        <v>1331</v>
      </c>
      <c r="F330" s="644">
        <f>IF(MOD(E330,5)=0,B330,0)+E330</f>
        <v>1331</v>
      </c>
      <c r="G330" s="814">
        <f>IF(MOD(F330+$B330,5)=0,$B330,0)+$B330+F330</f>
        <v>8017</v>
      </c>
      <c r="H330" s="785">
        <f>IF(MOD(G330+$B330,5)=0,$B330,0)+$B330+G330</f>
        <v>14703</v>
      </c>
      <c r="I330" s="785">
        <f>IF(MOD(H330+$B330,5)=0,$B330,0)+$B330+H330</f>
        <v>21389</v>
      </c>
      <c r="J330" s="911">
        <v>133</v>
      </c>
      <c r="K330" s="892">
        <v>801</v>
      </c>
      <c r="L330" s="785">
        <v>1470</v>
      </c>
      <c r="M330" s="785">
        <v>2138</v>
      </c>
      <c r="N330" s="23" t="str">
        <f>D330&amp;FIXED(MOD(F330,10),0)</f>
        <v>hh31</v>
      </c>
      <c r="O330" s="78" t="str">
        <f>MID(A$5,((FIND(N330,A$4,1)-1)+1),4)</f>
        <v>7dbe</v>
      </c>
      <c r="P330" s="94" t="s">
        <v>0</v>
      </c>
      <c r="Q330" s="78" t="s">
        <v>0</v>
      </c>
      <c r="R330" s="103" t="s">
        <v>0</v>
      </c>
      <c r="S330" s="103" t="s">
        <v>0</v>
      </c>
      <c r="T330" s="42" t="s">
        <v>1</v>
      </c>
    </row>
    <row r="331" spans="1:20" ht="12.75">
      <c r="A331" s="44">
        <v>3347</v>
      </c>
      <c r="B331" s="886">
        <v>6694</v>
      </c>
      <c r="C331" s="886">
        <v>11202409</v>
      </c>
      <c r="D331" s="950" t="s">
        <v>2501</v>
      </c>
      <c r="E331" s="115">
        <f>B331-MOD(E$1-A331*3,B331)</f>
        <v>3013</v>
      </c>
      <c r="F331" s="644">
        <f>IF(MOD(E331,5)=0,B331,0)+E331</f>
        <v>3013</v>
      </c>
      <c r="G331" s="814">
        <f>IF(MOD(F331+$B331,5)=0,$B331,0)+$B331+F331</f>
        <v>9707</v>
      </c>
      <c r="H331" s="785">
        <f>IF(MOD(G331+$B331,5)=0,$B331,0)+$B331+G331</f>
        <v>16401</v>
      </c>
      <c r="I331" s="785">
        <f>IF(MOD(H331+$B331,5)=0,$B331,0)+$B331+H331</f>
        <v>29789</v>
      </c>
      <c r="J331" s="911">
        <v>301</v>
      </c>
      <c r="K331" s="892">
        <v>970</v>
      </c>
      <c r="L331" s="785">
        <v>1640</v>
      </c>
      <c r="M331" s="785">
        <v>2978</v>
      </c>
      <c r="N331" s="23" t="str">
        <f>D331&amp;FIXED(MOD(F331,10),0)</f>
        <v>hh73</v>
      </c>
      <c r="O331" s="78" t="str">
        <f>MID(A$5,((FIND(N331,A$4,1)-1)+1),4)</f>
        <v>bd7e</v>
      </c>
      <c r="P331" s="94" t="s">
        <v>0</v>
      </c>
      <c r="Q331" s="78" t="s">
        <v>0</v>
      </c>
      <c r="R331" s="103" t="s">
        <v>0</v>
      </c>
      <c r="S331" s="103" t="s">
        <v>0</v>
      </c>
      <c r="T331" s="42" t="s">
        <v>1</v>
      </c>
    </row>
    <row r="332" spans="1:20" ht="12.75">
      <c r="A332" s="44">
        <v>3359</v>
      </c>
      <c r="B332" s="886">
        <v>6718</v>
      </c>
      <c r="C332" s="886">
        <v>11282881</v>
      </c>
      <c r="D332" s="950" t="s">
        <v>2506</v>
      </c>
      <c r="E332" s="115">
        <f>B332-MOD(E$1-A332*3,B332)</f>
        <v>6057</v>
      </c>
      <c r="F332" s="644">
        <f>IF(MOD(E332,5)=0,B332,0)+E332</f>
        <v>6057</v>
      </c>
      <c r="G332" s="814">
        <f>IF(MOD(F332+$B332,5)=0,$B332,0)+$B332+F332</f>
        <v>19493</v>
      </c>
      <c r="H332" s="785">
        <f>IF(MOD(G332+$B332,5)=0,$B332,0)+$B332+G332</f>
        <v>26211</v>
      </c>
      <c r="I332" s="785">
        <f>IF(MOD(H332+$B332,5)=0,$B332,0)+$B332+H332</f>
        <v>32929</v>
      </c>
      <c r="J332" s="911">
        <v>605</v>
      </c>
      <c r="K332" s="892">
        <v>1949</v>
      </c>
      <c r="L332" s="785">
        <v>2621</v>
      </c>
      <c r="M332" s="785">
        <v>3292</v>
      </c>
      <c r="N332" s="23" t="str">
        <f>D332&amp;FIXED(MOD(F332,10),0)</f>
        <v>hh97</v>
      </c>
      <c r="O332" s="78" t="str">
        <f>MID(A$5,((FIND(N332,A$4,1)-1)+1),4)</f>
        <v>db7e</v>
      </c>
      <c r="P332" s="94" t="s">
        <v>0</v>
      </c>
      <c r="Q332" s="78" t="s">
        <v>0</v>
      </c>
      <c r="R332" s="103" t="s">
        <v>0</v>
      </c>
      <c r="S332" s="103" t="s">
        <v>0</v>
      </c>
      <c r="T332" s="42" t="s">
        <v>1</v>
      </c>
    </row>
    <row r="333" spans="1:20" ht="12.75">
      <c r="A333" s="44">
        <v>3361</v>
      </c>
      <c r="B333" s="886">
        <v>6722</v>
      </c>
      <c r="C333" s="886">
        <v>11296321</v>
      </c>
      <c r="D333" s="950" t="s">
        <v>2490</v>
      </c>
      <c r="E333" s="115">
        <f>B333-MOD(E$1-A333*3,B333)</f>
        <v>5477</v>
      </c>
      <c r="F333" s="644">
        <f>IF(MOD(E333,5)=0,B333,0)+E333</f>
        <v>5477</v>
      </c>
      <c r="G333" s="814">
        <f>IF(MOD(F333+$B333,5)=0,$B333,0)+$B333+F333</f>
        <v>12199</v>
      </c>
      <c r="H333" s="785">
        <f>IF(MOD(G333+$B333,5)=0,$B333,0)+$B333+G333</f>
        <v>18921</v>
      </c>
      <c r="I333" s="785">
        <f>IF(MOD(H333+$B333,5)=0,$B333,0)+$B333+H333</f>
        <v>25643</v>
      </c>
      <c r="J333" s="911">
        <v>547</v>
      </c>
      <c r="K333" s="892">
        <v>1219</v>
      </c>
      <c r="L333" s="785">
        <v>1892</v>
      </c>
      <c r="M333" s="785">
        <v>2564</v>
      </c>
      <c r="N333" s="23" t="str">
        <f>D333&amp;FIXED(MOD(F333,10),0)</f>
        <v>hh17</v>
      </c>
      <c r="O333" s="78" t="str">
        <f>MID(A$5,((FIND(N333,A$4,1)-1)+1),4)</f>
        <v>de7b</v>
      </c>
      <c r="P333" s="94" t="s">
        <v>0</v>
      </c>
      <c r="Q333" s="78" t="s">
        <v>0</v>
      </c>
      <c r="R333" s="103" t="s">
        <v>0</v>
      </c>
      <c r="S333" s="103" t="s">
        <v>0</v>
      </c>
      <c r="T333" s="42" t="s">
        <v>1</v>
      </c>
    </row>
    <row r="334" spans="1:20" ht="12.75">
      <c r="A334" s="44">
        <v>3371</v>
      </c>
      <c r="B334" s="886">
        <v>6742</v>
      </c>
      <c r="C334" s="886">
        <v>11363641</v>
      </c>
      <c r="D334" s="950" t="s">
        <v>2490</v>
      </c>
      <c r="E334" s="115">
        <f>B334-MOD(E$1-A334*3,B334)</f>
        <v>3065</v>
      </c>
      <c r="F334" s="644">
        <f>IF(MOD(E334,5)=0,B334,0)+E334</f>
        <v>9807</v>
      </c>
      <c r="G334" s="814">
        <f>IF(MOD(F334+$B334,5)=0,$B334,0)+$B334+F334</f>
        <v>16549</v>
      </c>
      <c r="H334" s="785">
        <f>IF(MOD(G334+$B334,5)=0,$B334,0)+$B334+G334</f>
        <v>23291</v>
      </c>
      <c r="I334" s="785">
        <f>IF(MOD(H334+$B334,5)=0,$B334,0)+$B334+H334</f>
        <v>30033</v>
      </c>
      <c r="J334" s="911">
        <v>980</v>
      </c>
      <c r="K334" s="892">
        <v>1654</v>
      </c>
      <c r="L334" s="785">
        <v>2329</v>
      </c>
      <c r="M334" s="785">
        <v>3003</v>
      </c>
      <c r="N334" s="23" t="str">
        <f>D334&amp;FIXED(MOD(F334,10),0)</f>
        <v>hh17</v>
      </c>
      <c r="O334" s="78" t="str">
        <f>MID(A$5,((FIND(N334,A$4,1)-1)+1),4)</f>
        <v>de7b</v>
      </c>
      <c r="P334" s="94" t="s">
        <v>0</v>
      </c>
      <c r="Q334" s="78" t="s">
        <v>0</v>
      </c>
      <c r="R334" s="103" t="s">
        <v>0</v>
      </c>
      <c r="S334" s="103" t="s">
        <v>0</v>
      </c>
      <c r="T334" s="42" t="s">
        <v>1</v>
      </c>
    </row>
    <row r="335" spans="1:20" ht="12.75">
      <c r="A335" s="44">
        <v>3373</v>
      </c>
      <c r="B335" s="886">
        <v>6746</v>
      </c>
      <c r="C335" s="886">
        <v>11377129</v>
      </c>
      <c r="D335" s="950" t="s">
        <v>2496</v>
      </c>
      <c r="E335" s="115">
        <f>B335-MOD(E$1-A335*3,B335)</f>
        <v>3919</v>
      </c>
      <c r="F335" s="644">
        <f>IF(MOD(E335,5)=0,B335,0)+E335</f>
        <v>3919</v>
      </c>
      <c r="G335" s="814">
        <f>IF(MOD(F335+$B335,5)=0,$B335,0)+$B335+F335</f>
        <v>17411</v>
      </c>
      <c r="H335" s="785">
        <f>IF(MOD(G335+$B335,5)=0,$B335,0)+$B335+G335</f>
        <v>24157</v>
      </c>
      <c r="I335" s="785">
        <f>IF(MOD(H335+$B335,5)=0,$B335,0)+$B335+H335</f>
        <v>30903</v>
      </c>
      <c r="J335" s="911">
        <v>391</v>
      </c>
      <c r="K335" s="892">
        <v>1741</v>
      </c>
      <c r="L335" s="785">
        <v>2415</v>
      </c>
      <c r="M335" s="785">
        <v>3090</v>
      </c>
      <c r="N335" s="23" t="str">
        <f>D335&amp;FIXED(MOD(F335,10),0)</f>
        <v>hh39</v>
      </c>
      <c r="O335" s="78" t="str">
        <f>MID(A$5,((FIND(N335,A$4,1)-1)+1),4)</f>
        <v>e7db</v>
      </c>
      <c r="P335" s="94" t="s">
        <v>0</v>
      </c>
      <c r="Q335" s="78" t="s">
        <v>0</v>
      </c>
      <c r="R335" s="103" t="s">
        <v>0</v>
      </c>
      <c r="S335" s="103" t="s">
        <v>0</v>
      </c>
      <c r="T335" s="42" t="s">
        <v>1</v>
      </c>
    </row>
    <row r="336" spans="1:20" ht="12.75">
      <c r="A336" s="44">
        <v>3389</v>
      </c>
      <c r="B336" s="886">
        <v>6778</v>
      </c>
      <c r="C336" s="886">
        <v>11485321</v>
      </c>
      <c r="D336" s="950" t="s">
        <v>2506</v>
      </c>
      <c r="E336" s="115">
        <f>B336-MOD(E$1-A336*3,B336)</f>
        <v>1431</v>
      </c>
      <c r="F336" s="644">
        <f>IF(MOD(E336,5)=0,B336,0)+E336</f>
        <v>1431</v>
      </c>
      <c r="G336" s="814">
        <f>IF(MOD(F336+$B336,5)=0,$B336,0)+$B336+F336</f>
        <v>8209</v>
      </c>
      <c r="H336" s="785">
        <f>IF(MOD(G336+$B336,5)=0,$B336,0)+$B336+G336</f>
        <v>14987</v>
      </c>
      <c r="I336" s="785">
        <f>IF(MOD(H336+$B336,5)=0,$B336,0)+$B336+H336</f>
        <v>28543</v>
      </c>
      <c r="J336" s="911">
        <v>143</v>
      </c>
      <c r="K336" s="892">
        <v>820</v>
      </c>
      <c r="L336" s="785">
        <v>1498</v>
      </c>
      <c r="M336" s="785">
        <v>2854</v>
      </c>
      <c r="N336" s="23" t="str">
        <f>D336&amp;FIXED(MOD(F336,10),0)</f>
        <v>hh91</v>
      </c>
      <c r="O336" s="78" t="str">
        <f>MID(A$5,((FIND(N336,A$4,1)-1)+1),4)</f>
        <v>7edb</v>
      </c>
      <c r="P336" s="94" t="s">
        <v>0</v>
      </c>
      <c r="Q336" s="78" t="s">
        <v>0</v>
      </c>
      <c r="R336" s="103" t="s">
        <v>0</v>
      </c>
      <c r="S336" s="103" t="s">
        <v>0</v>
      </c>
      <c r="T336" s="42" t="s">
        <v>1</v>
      </c>
    </row>
    <row r="337" spans="1:20" ht="12.75">
      <c r="A337" s="44">
        <v>3391</v>
      </c>
      <c r="B337" s="886">
        <v>6782</v>
      </c>
      <c r="C337" s="886">
        <v>11498881</v>
      </c>
      <c r="D337" s="950" t="s">
        <v>2490</v>
      </c>
      <c r="E337" s="115">
        <f>B337-MOD(E$1-A337*3,B337)</f>
        <v>4353</v>
      </c>
      <c r="F337" s="644">
        <f>IF(MOD(E337,5)=0,B337,0)+E337</f>
        <v>4353</v>
      </c>
      <c r="G337" s="814">
        <f>IF(MOD(F337+$B337,5)=0,$B337,0)+$B337+F337</f>
        <v>17917</v>
      </c>
      <c r="H337" s="785">
        <f>IF(MOD(G337+$B337,5)=0,$B337,0)+$B337+G337</f>
        <v>24699</v>
      </c>
      <c r="I337" s="785">
        <f>IF(MOD(H337+$B337,5)=0,$B337,0)+$B337+H337</f>
        <v>31481</v>
      </c>
      <c r="J337" s="911">
        <v>435</v>
      </c>
      <c r="K337" s="892">
        <v>1791</v>
      </c>
      <c r="L337" s="785">
        <v>2469</v>
      </c>
      <c r="M337" s="785">
        <v>3148</v>
      </c>
      <c r="N337" s="23" t="str">
        <f>D337&amp;FIXED(MOD(F337,10),0)</f>
        <v>hh13</v>
      </c>
      <c r="O337" s="78" t="str">
        <f>MID(A$5,((FIND(N337,A$4,1)-1)+1),4)</f>
        <v>bde7</v>
      </c>
      <c r="P337" s="94" t="s">
        <v>0</v>
      </c>
      <c r="Q337" s="78" t="s">
        <v>0</v>
      </c>
      <c r="R337" s="103" t="s">
        <v>0</v>
      </c>
      <c r="S337" s="103" t="s">
        <v>0</v>
      </c>
      <c r="T337" s="42" t="s">
        <v>1</v>
      </c>
    </row>
    <row r="338" spans="1:20" ht="12.75">
      <c r="A338" s="44">
        <v>3407</v>
      </c>
      <c r="B338" s="886">
        <v>6814</v>
      </c>
      <c r="C338" s="886">
        <v>11607649</v>
      </c>
      <c r="D338" s="950" t="s">
        <v>2501</v>
      </c>
      <c r="E338" s="115">
        <f>B338-MOD(E$1-A338*3,B338)</f>
        <v>677</v>
      </c>
      <c r="F338" s="644">
        <f>IF(MOD(E338,5)=0,B338,0)+E338</f>
        <v>677</v>
      </c>
      <c r="G338" s="814">
        <f>IF(MOD(F338+$B338,5)=0,$B338,0)+$B338+F338</f>
        <v>7491</v>
      </c>
      <c r="H338" s="785">
        <f>IF(MOD(G338+$B338,5)=0,$B338,0)+$B338+G338</f>
        <v>21119</v>
      </c>
      <c r="I338" s="785">
        <f>IF(MOD(H338+$B338,5)=0,$B338,0)+$B338+H338</f>
        <v>27933</v>
      </c>
      <c r="J338" s="911">
        <v>67</v>
      </c>
      <c r="K338" s="892">
        <v>749</v>
      </c>
      <c r="L338" s="785">
        <v>2111</v>
      </c>
      <c r="M338" s="785">
        <v>2793</v>
      </c>
      <c r="N338" s="23" t="str">
        <f>D338&amp;FIXED(MOD(F338,10),0)</f>
        <v>hh77</v>
      </c>
      <c r="O338" s="78" t="str">
        <f>MID(A$5,((FIND(N338,A$4,1)-1)+1),4)</f>
        <v>d7eb</v>
      </c>
      <c r="P338" s="94" t="s">
        <v>0</v>
      </c>
      <c r="Q338" s="78" t="s">
        <v>0</v>
      </c>
      <c r="R338" s="103" t="s">
        <v>0</v>
      </c>
      <c r="S338" s="103" t="s">
        <v>0</v>
      </c>
      <c r="T338" s="42" t="s">
        <v>1</v>
      </c>
    </row>
    <row r="339" spans="1:20" ht="12.75">
      <c r="A339" s="44">
        <v>3413</v>
      </c>
      <c r="B339" s="886">
        <v>6826</v>
      </c>
      <c r="C339" s="886">
        <v>11648569</v>
      </c>
      <c r="D339" s="950" t="s">
        <v>2496</v>
      </c>
      <c r="E339" s="115">
        <f>B339-MOD(E$1-A339*3,B339)</f>
        <v>3401</v>
      </c>
      <c r="F339" s="644">
        <f>IF(MOD(E339,5)=0,B339,0)+E339</f>
        <v>3401</v>
      </c>
      <c r="G339" s="814">
        <f>IF(MOD(F339+$B339,5)=0,$B339,0)+$B339+F339</f>
        <v>10227</v>
      </c>
      <c r="H339" s="785">
        <f>IF(MOD(G339+$B339,5)=0,$B339,0)+$B339+G339</f>
        <v>17053</v>
      </c>
      <c r="I339" s="785">
        <f>IF(MOD(H339+$B339,5)=0,$B339,0)+$B339+H339</f>
        <v>23879</v>
      </c>
      <c r="J339" s="911">
        <v>340</v>
      </c>
      <c r="K339" s="892">
        <v>1022</v>
      </c>
      <c r="L339" s="785">
        <v>1705</v>
      </c>
      <c r="M339" s="785">
        <v>2387</v>
      </c>
      <c r="N339" s="23" t="str">
        <f>D339&amp;FIXED(MOD(F339,10),0)</f>
        <v>hh31</v>
      </c>
      <c r="O339" s="78" t="str">
        <f>MID(A$5,((FIND(N339,A$4,1)-1)+1),4)</f>
        <v>7dbe</v>
      </c>
      <c r="P339" s="94" t="s">
        <v>0</v>
      </c>
      <c r="Q339" s="78" t="s">
        <v>0</v>
      </c>
      <c r="R339" s="103" t="s">
        <v>0</v>
      </c>
      <c r="S339" s="103" t="s">
        <v>0</v>
      </c>
      <c r="T339" s="42" t="s">
        <v>1</v>
      </c>
    </row>
    <row r="340" spans="1:20" ht="12.75">
      <c r="A340" s="44">
        <v>3433</v>
      </c>
      <c r="B340" s="886">
        <v>6866</v>
      </c>
      <c r="C340" s="886">
        <v>11785489</v>
      </c>
      <c r="D340" s="950" t="s">
        <v>2496</v>
      </c>
      <c r="E340" s="115">
        <f>B340-MOD(E$1-A340*3,B340)</f>
        <v>1869</v>
      </c>
      <c r="F340" s="644">
        <f>IF(MOD(E340,5)=0,B340,0)+E340</f>
        <v>1869</v>
      </c>
      <c r="G340" s="814">
        <f>IF(MOD(F340+$B340,5)=0,$B340,0)+$B340+F340</f>
        <v>15601</v>
      </c>
      <c r="H340" s="785">
        <f>IF(MOD(G340+$B340,5)=0,$B340,0)+$B340+G340</f>
        <v>22467</v>
      </c>
      <c r="I340" s="785">
        <f>IF(MOD(H340+$B340,5)=0,$B340,0)+$B340+H340</f>
        <v>29333</v>
      </c>
      <c r="J340" s="911">
        <v>186</v>
      </c>
      <c r="K340" s="892">
        <v>1560</v>
      </c>
      <c r="L340" s="785">
        <v>2246</v>
      </c>
      <c r="M340" s="785">
        <v>2933</v>
      </c>
      <c r="N340" s="23" t="str">
        <f>D340&amp;FIXED(MOD(F340,10),0)</f>
        <v>hh39</v>
      </c>
      <c r="O340" s="78" t="str">
        <f>MID(A$5,((FIND(N340,A$4,1)-1)+1),4)</f>
        <v>e7db</v>
      </c>
      <c r="P340" s="94" t="s">
        <v>0</v>
      </c>
      <c r="Q340" s="78" t="s">
        <v>0</v>
      </c>
      <c r="R340" s="103" t="s">
        <v>0</v>
      </c>
      <c r="S340" s="103" t="s">
        <v>0</v>
      </c>
      <c r="T340" s="42" t="s">
        <v>1</v>
      </c>
    </row>
    <row r="341" spans="1:20" ht="12.75">
      <c r="A341" s="44">
        <v>3449</v>
      </c>
      <c r="B341" s="886">
        <v>6898</v>
      </c>
      <c r="C341" s="886">
        <v>11895601</v>
      </c>
      <c r="D341" s="950" t="s">
        <v>2506</v>
      </c>
      <c r="E341" s="115">
        <f>B341-MOD(E$1-A341*3,B341)</f>
        <v>5409</v>
      </c>
      <c r="F341" s="644">
        <f>IF(MOD(E341,5)=0,B341,0)+E341</f>
        <v>5409</v>
      </c>
      <c r="G341" s="814">
        <f>IF(MOD(F341+$B341,5)=0,$B341,0)+$B341+F341</f>
        <v>12307</v>
      </c>
      <c r="H341" s="785">
        <f>IF(MOD(G341+$B341,5)=0,$B341,0)+$B341+G341</f>
        <v>26103</v>
      </c>
      <c r="I341" s="785">
        <f>IF(MOD(H341+$B341,5)=0,$B341,0)+$B341+H341</f>
        <v>33001</v>
      </c>
      <c r="J341" s="911">
        <v>540</v>
      </c>
      <c r="K341" s="892">
        <v>1230</v>
      </c>
      <c r="L341" s="785">
        <v>2610</v>
      </c>
      <c r="M341" s="785">
        <v>3300</v>
      </c>
      <c r="N341" s="23" t="str">
        <f>D341&amp;FIXED(MOD(F341,10),0)</f>
        <v>hh99</v>
      </c>
      <c r="O341" s="78" t="str">
        <f>MID(A$5,((FIND(N341,A$4,1)-1)+1),4)</f>
        <v>edb7</v>
      </c>
      <c r="P341" s="94" t="s">
        <v>0</v>
      </c>
      <c r="Q341" s="78" t="s">
        <v>0</v>
      </c>
      <c r="R341" s="103" t="s">
        <v>0</v>
      </c>
      <c r="S341" s="103" t="s">
        <v>0</v>
      </c>
      <c r="T341" s="42" t="s">
        <v>1</v>
      </c>
    </row>
    <row r="342" spans="1:20" ht="12.75">
      <c r="A342" s="44">
        <v>3457</v>
      </c>
      <c r="B342" s="886">
        <v>6914</v>
      </c>
      <c r="C342" s="886">
        <v>11950849</v>
      </c>
      <c r="D342" s="950" t="s">
        <v>2501</v>
      </c>
      <c r="E342" s="115">
        <f>B342-MOD(E$1-A342*3,B342)</f>
        <v>5811</v>
      </c>
      <c r="F342" s="644">
        <f>IF(MOD(E342,5)=0,B342,0)+E342</f>
        <v>5811</v>
      </c>
      <c r="G342" s="814">
        <f>IF(MOD(F342+$B342,5)=0,$B342,0)+$B342+F342</f>
        <v>19639</v>
      </c>
      <c r="H342" s="785">
        <f>IF(MOD(G342+$B342,5)=0,$B342,0)+$B342+G342</f>
        <v>26553</v>
      </c>
      <c r="I342" s="785">
        <f>IF(MOD(H342+$B342,5)=0,$B342,0)+$B342+H342</f>
        <v>33467</v>
      </c>
      <c r="J342" s="911">
        <v>581</v>
      </c>
      <c r="K342" s="892">
        <v>1963</v>
      </c>
      <c r="L342" s="785">
        <v>2655</v>
      </c>
      <c r="M342" s="785">
        <v>3346</v>
      </c>
      <c r="N342" s="23" t="str">
        <f>D342&amp;FIXED(MOD(F342,10),0)</f>
        <v>hh71</v>
      </c>
      <c r="O342" s="78" t="str">
        <f>MID(A$5,((FIND(N342,A$4,1)-1)+1),4)</f>
        <v>7ebd</v>
      </c>
      <c r="P342" s="94" t="s">
        <v>0</v>
      </c>
      <c r="Q342" s="78" t="s">
        <v>0</v>
      </c>
      <c r="R342" s="103" t="s">
        <v>0</v>
      </c>
      <c r="S342" s="103" t="s">
        <v>0</v>
      </c>
      <c r="T342" s="42" t="s">
        <v>1</v>
      </c>
    </row>
    <row r="343" spans="1:20" ht="12.75">
      <c r="A343" s="44">
        <v>3461</v>
      </c>
      <c r="B343" s="886">
        <v>6922</v>
      </c>
      <c r="C343" s="886">
        <v>11978521</v>
      </c>
      <c r="D343" s="950" t="s">
        <v>2490</v>
      </c>
      <c r="E343" s="115">
        <f>B343-MOD(E$1-A343*3,B343)</f>
        <v>1099</v>
      </c>
      <c r="F343" s="644">
        <f>IF(MOD(E343,5)=0,B343,0)+E343</f>
        <v>1099</v>
      </c>
      <c r="G343" s="814">
        <f>IF(MOD(F343+$B343,5)=0,$B343,0)+$B343+F343</f>
        <v>8021</v>
      </c>
      <c r="H343" s="785">
        <f>IF(MOD(G343+$B343,5)=0,$B343,0)+$B343+G343</f>
        <v>14943</v>
      </c>
      <c r="I343" s="785">
        <f>IF(MOD(H343+$B343,5)=0,$B343,0)+$B343+H343</f>
        <v>28787</v>
      </c>
      <c r="J343" s="911">
        <v>109</v>
      </c>
      <c r="K343" s="892">
        <v>802</v>
      </c>
      <c r="L343" s="785">
        <v>1494</v>
      </c>
      <c r="M343" s="785">
        <v>2878</v>
      </c>
      <c r="N343" s="23" t="str">
        <f>D343&amp;FIXED(MOD(F343,10),0)</f>
        <v>hh19</v>
      </c>
      <c r="O343" s="78" t="str">
        <f>MID(A$5,((FIND(N343,A$4,1)-1)+1),4)</f>
        <v>e7bd</v>
      </c>
      <c r="P343" s="94" t="s">
        <v>0</v>
      </c>
      <c r="Q343" s="78" t="s">
        <v>0</v>
      </c>
      <c r="R343" s="103" t="s">
        <v>0</v>
      </c>
      <c r="S343" s="103" t="s">
        <v>0</v>
      </c>
      <c r="T343" s="42" t="s">
        <v>1</v>
      </c>
    </row>
    <row r="344" spans="1:20" ht="12.75">
      <c r="A344" s="44">
        <v>3463</v>
      </c>
      <c r="B344" s="886">
        <v>6926</v>
      </c>
      <c r="C344" s="886">
        <v>11992369</v>
      </c>
      <c r="D344" s="950" t="s">
        <v>2496</v>
      </c>
      <c r="E344" s="115">
        <f>B344-MOD(E$1-A344*3,B344)</f>
        <v>813</v>
      </c>
      <c r="F344" s="644">
        <f>IF(MOD(E344,5)=0,B344,0)+E344</f>
        <v>813</v>
      </c>
      <c r="G344" s="814">
        <f>IF(MOD(F344+$B344,5)=0,$B344,0)+$B344+F344</f>
        <v>7739</v>
      </c>
      <c r="H344" s="785">
        <f>IF(MOD(G344+$B344,5)=0,$B344,0)+$B344+G344</f>
        <v>21591</v>
      </c>
      <c r="I344" s="785">
        <f>IF(MOD(H344+$B344,5)=0,$B344,0)+$B344+H344</f>
        <v>28517</v>
      </c>
      <c r="J344" s="911">
        <v>81</v>
      </c>
      <c r="K344" s="892">
        <v>773</v>
      </c>
      <c r="L344" s="785">
        <v>2159</v>
      </c>
      <c r="M344" s="785">
        <v>2851</v>
      </c>
      <c r="N344" s="23" t="str">
        <f>D344&amp;FIXED(MOD(F344,10),0)</f>
        <v>hh33</v>
      </c>
      <c r="O344" s="78" t="str">
        <f>MID(A$5,((FIND(N344,A$4,1)-1)+1),4)</f>
        <v>be7d</v>
      </c>
      <c r="P344" s="94" t="s">
        <v>0</v>
      </c>
      <c r="Q344" s="78" t="s">
        <v>0</v>
      </c>
      <c r="R344" s="103" t="s">
        <v>0</v>
      </c>
      <c r="S344" s="103" t="s">
        <v>0</v>
      </c>
      <c r="T344" s="42" t="s">
        <v>1</v>
      </c>
    </row>
    <row r="345" spans="1:20" ht="12.75">
      <c r="A345" s="44">
        <v>3467</v>
      </c>
      <c r="B345" s="886">
        <v>6934</v>
      </c>
      <c r="C345" s="886">
        <v>12020089</v>
      </c>
      <c r="D345" s="950" t="s">
        <v>2501</v>
      </c>
      <c r="E345" s="115">
        <f>B345-MOD(E$1-A345*3,B345)</f>
        <v>927</v>
      </c>
      <c r="F345" s="644">
        <f>IF(MOD(E345,5)=0,B345,0)+E345</f>
        <v>927</v>
      </c>
      <c r="G345" s="814">
        <f>IF(MOD(F345+$B345,5)=0,$B345,0)+$B345+F345</f>
        <v>7861</v>
      </c>
      <c r="H345" s="785">
        <f>IF(MOD(G345+$B345,5)=0,$B345,0)+$B345+G345</f>
        <v>21729</v>
      </c>
      <c r="I345" s="785">
        <f>IF(MOD(H345+$B345,5)=0,$B345,0)+$B345+H345</f>
        <v>28663</v>
      </c>
      <c r="J345" s="911">
        <v>92</v>
      </c>
      <c r="K345" s="892">
        <v>786</v>
      </c>
      <c r="L345" s="785">
        <v>2172</v>
      </c>
      <c r="M345" s="785">
        <v>2866</v>
      </c>
      <c r="N345" s="23" t="str">
        <f>D345&amp;FIXED(MOD(F345,10),0)</f>
        <v>hh77</v>
      </c>
      <c r="O345" s="78" t="str">
        <f>MID(A$5,((FIND(N345,A$4,1)-1)+1),4)</f>
        <v>d7eb</v>
      </c>
      <c r="P345" s="94" t="s">
        <v>0</v>
      </c>
      <c r="Q345" s="78" t="s">
        <v>0</v>
      </c>
      <c r="R345" s="103" t="s">
        <v>0</v>
      </c>
      <c r="S345" s="103" t="s">
        <v>0</v>
      </c>
      <c r="T345" s="42" t="s">
        <v>1</v>
      </c>
    </row>
    <row r="346" spans="1:20" ht="12.75">
      <c r="A346" s="44">
        <v>3469</v>
      </c>
      <c r="B346" s="886">
        <v>6938</v>
      </c>
      <c r="C346" s="886">
        <v>12033961</v>
      </c>
      <c r="D346" s="950" t="s">
        <v>2506</v>
      </c>
      <c r="E346" s="115">
        <f>B346-MOD(E$1-A346*3,B346)</f>
        <v>2711</v>
      </c>
      <c r="F346" s="644">
        <f>IF(MOD(E346,5)=0,B346,0)+E346</f>
        <v>2711</v>
      </c>
      <c r="G346" s="814">
        <f>IF(MOD(F346+$B346,5)=0,$B346,0)+$B346+F346</f>
        <v>9649</v>
      </c>
      <c r="H346" s="785">
        <f>IF(MOD(G346+$B346,5)=0,$B346,0)+$B346+G346</f>
        <v>16587</v>
      </c>
      <c r="I346" s="785">
        <f>IF(MOD(H346+$B346,5)=0,$B346,0)+$B346+H346</f>
        <v>30463</v>
      </c>
      <c r="J346" s="911">
        <v>271</v>
      </c>
      <c r="K346" s="892">
        <v>964</v>
      </c>
      <c r="L346" s="785">
        <v>1658</v>
      </c>
      <c r="M346" s="785">
        <v>3046</v>
      </c>
      <c r="N346" s="23" t="str">
        <f>D346&amp;FIXED(MOD(F346,10),0)</f>
        <v>hh91</v>
      </c>
      <c r="O346" s="78" t="str">
        <f>MID(A$5,((FIND(N346,A$4,1)-1)+1),4)</f>
        <v>7edb</v>
      </c>
      <c r="P346" s="94" t="s">
        <v>0</v>
      </c>
      <c r="Q346" s="78" t="s">
        <v>0</v>
      </c>
      <c r="R346" s="103" t="s">
        <v>0</v>
      </c>
      <c r="S346" s="103" t="s">
        <v>0</v>
      </c>
      <c r="T346" s="42" t="s">
        <v>1</v>
      </c>
    </row>
    <row r="347" spans="1:20" ht="12.75">
      <c r="A347" s="44">
        <v>3491</v>
      </c>
      <c r="B347" s="886">
        <v>6982</v>
      </c>
      <c r="C347" s="886">
        <v>12187081</v>
      </c>
      <c r="D347" s="950" t="s">
        <v>2490</v>
      </c>
      <c r="E347" s="115">
        <f>B347-MOD(E$1-A347*3,B347)</f>
        <v>4251</v>
      </c>
      <c r="F347" s="644">
        <f>IF(MOD(E347,5)=0,B347,0)+E347</f>
        <v>4251</v>
      </c>
      <c r="G347" s="814">
        <f>IF(MOD(F347+$B347,5)=0,$B347,0)+$B347+F347</f>
        <v>11233</v>
      </c>
      <c r="H347" s="785">
        <f>IF(MOD(G347+$B347,5)=0,$B347,0)+$B347+G347</f>
        <v>25197</v>
      </c>
      <c r="I347" s="785">
        <f>IF(MOD(H347+$B347,5)=0,$B347,0)+$B347+H347</f>
        <v>32179</v>
      </c>
      <c r="J347" s="911">
        <v>425</v>
      </c>
      <c r="K347" s="892">
        <v>1123</v>
      </c>
      <c r="L347" s="785">
        <v>2519</v>
      </c>
      <c r="M347" s="785">
        <v>3217</v>
      </c>
      <c r="N347" s="23" t="str">
        <f>D347&amp;FIXED(MOD(F347,10),0)</f>
        <v>hh11</v>
      </c>
      <c r="O347" s="78" t="str">
        <f>MID(A$5,((FIND(N347,A$4,1)-1)+1),4)</f>
        <v>7bde</v>
      </c>
      <c r="P347" s="94" t="s">
        <v>0</v>
      </c>
      <c r="Q347" s="78" t="s">
        <v>0</v>
      </c>
      <c r="R347" s="103" t="s">
        <v>0</v>
      </c>
      <c r="S347" s="103" t="s">
        <v>0</v>
      </c>
      <c r="T347" s="42" t="s">
        <v>1</v>
      </c>
    </row>
    <row r="348" spans="1:20" ht="12.75">
      <c r="A348" s="44">
        <v>3499</v>
      </c>
      <c r="B348" s="886">
        <v>6998</v>
      </c>
      <c r="C348" s="886">
        <v>12243001</v>
      </c>
      <c r="D348" s="950" t="s">
        <v>2506</v>
      </c>
      <c r="E348" s="115">
        <f>B348-MOD(E$1-A348*3,B348)</f>
        <v>1061</v>
      </c>
      <c r="F348" s="644">
        <f>IF(MOD(E348,5)=0,B348,0)+E348</f>
        <v>1061</v>
      </c>
      <c r="G348" s="814">
        <f>IF(MOD(F348+$B348,5)=0,$B348,0)+$B348+F348</f>
        <v>8059</v>
      </c>
      <c r="H348" s="785">
        <f>IF(MOD(G348+$B348,5)=0,$B348,0)+$B348+G348</f>
        <v>15057</v>
      </c>
      <c r="I348" s="785">
        <f>IF(MOD(H348+$B348,5)=0,$B348,0)+$B348+H348</f>
        <v>29053</v>
      </c>
      <c r="J348" s="911">
        <v>106</v>
      </c>
      <c r="K348" s="892">
        <v>805</v>
      </c>
      <c r="L348" s="785">
        <v>1505</v>
      </c>
      <c r="M348" s="785">
        <v>2905</v>
      </c>
      <c r="N348" s="23" t="str">
        <f>D348&amp;FIXED(MOD(F348,10),0)</f>
        <v>hh91</v>
      </c>
      <c r="O348" s="78" t="str">
        <f>MID(A$5,((FIND(N348,A$4,1)-1)+1),4)</f>
        <v>7edb</v>
      </c>
      <c r="P348" s="94" t="s">
        <v>0</v>
      </c>
      <c r="Q348" s="78" t="s">
        <v>0</v>
      </c>
      <c r="R348" s="103" t="s">
        <v>0</v>
      </c>
      <c r="S348" s="103" t="s">
        <v>0</v>
      </c>
      <c r="T348" s="42" t="s">
        <v>1</v>
      </c>
    </row>
    <row r="349" spans="1:20" ht="12.75">
      <c r="A349" s="44">
        <v>3511</v>
      </c>
      <c r="B349" s="886">
        <v>7022</v>
      </c>
      <c r="C349" s="886">
        <v>12327121</v>
      </c>
      <c r="D349" s="950" t="s">
        <v>2490</v>
      </c>
      <c r="E349" s="115">
        <f>B349-MOD(E$1-A349*3,B349)</f>
        <v>4999</v>
      </c>
      <c r="F349" s="644">
        <f>IF(MOD(E349,5)=0,B349,0)+E349</f>
        <v>4999</v>
      </c>
      <c r="G349" s="814">
        <f>IF(MOD(F349+$B349,5)=0,$B349,0)+$B349+F349</f>
        <v>12021</v>
      </c>
      <c r="H349" s="785">
        <f>IF(MOD(G349+$B349,5)=0,$B349,0)+$B349+G349</f>
        <v>19043</v>
      </c>
      <c r="I349" s="785">
        <f>IF(MOD(H349+$B349,5)=0,$B349,0)+$B349+H349</f>
        <v>33087</v>
      </c>
      <c r="J349" s="911">
        <v>499</v>
      </c>
      <c r="K349" s="892">
        <v>1202</v>
      </c>
      <c r="L349" s="785">
        <v>1904</v>
      </c>
      <c r="M349" s="785">
        <v>3308</v>
      </c>
      <c r="N349" s="23" t="str">
        <f>D349&amp;FIXED(MOD(F349,10),0)</f>
        <v>hh19</v>
      </c>
      <c r="O349" s="78" t="str">
        <f>MID(A$5,((FIND(N349,A$4,1)-1)+1),4)</f>
        <v>e7bd</v>
      </c>
      <c r="P349" s="94" t="s">
        <v>0</v>
      </c>
      <c r="Q349" s="78" t="s">
        <v>0</v>
      </c>
      <c r="R349" s="103" t="s">
        <v>0</v>
      </c>
      <c r="S349" s="103" t="s">
        <v>0</v>
      </c>
      <c r="T349" s="42" t="s">
        <v>1</v>
      </c>
    </row>
    <row r="350" spans="1:20" ht="12.75">
      <c r="A350" s="44">
        <v>3517</v>
      </c>
      <c r="B350" s="886">
        <v>7034</v>
      </c>
      <c r="C350" s="886">
        <v>12369289</v>
      </c>
      <c r="D350" s="950" t="s">
        <v>2501</v>
      </c>
      <c r="E350" s="115">
        <f>B350-MOD(E$1-A350*3,B350)</f>
        <v>1413</v>
      </c>
      <c r="F350" s="644">
        <f>IF(MOD(E350,5)=0,B350,0)+E350</f>
        <v>1413</v>
      </c>
      <c r="G350" s="814">
        <f>IF(MOD(F350+$B350,5)=0,$B350,0)+$B350+F350</f>
        <v>8447</v>
      </c>
      <c r="H350" s="785">
        <f>IF(MOD(G350+$B350,5)=0,$B350,0)+$B350+G350</f>
        <v>15481</v>
      </c>
      <c r="I350" s="785">
        <f>IF(MOD(H350+$B350,5)=0,$B350,0)+$B350+H350</f>
        <v>29549</v>
      </c>
      <c r="J350" s="911">
        <v>141</v>
      </c>
      <c r="K350" s="892">
        <v>844</v>
      </c>
      <c r="L350" s="785">
        <v>1548</v>
      </c>
      <c r="M350" s="785">
        <v>2954</v>
      </c>
      <c r="N350" s="23" t="str">
        <f>D350&amp;FIXED(MOD(F350,10),0)</f>
        <v>hh73</v>
      </c>
      <c r="O350" s="78" t="str">
        <f>MID(A$5,((FIND(N350,A$4,1)-1)+1),4)</f>
        <v>bd7e</v>
      </c>
      <c r="P350" s="94" t="s">
        <v>0</v>
      </c>
      <c r="Q350" s="78" t="s">
        <v>0</v>
      </c>
      <c r="R350" s="103" t="s">
        <v>0</v>
      </c>
      <c r="S350" s="103" t="s">
        <v>0</v>
      </c>
      <c r="T350" s="42" t="s">
        <v>1</v>
      </c>
    </row>
    <row r="351" spans="1:20" ht="12.75">
      <c r="A351" s="44">
        <v>3527</v>
      </c>
      <c r="B351" s="886">
        <v>7054</v>
      </c>
      <c r="C351" s="886">
        <v>12439729</v>
      </c>
      <c r="D351" s="950" t="s">
        <v>2501</v>
      </c>
      <c r="E351" s="115">
        <f>B351-MOD(E$1-A351*3,B351)</f>
        <v>6375</v>
      </c>
      <c r="F351" s="644">
        <f>IF(MOD(E351,5)=0,B351,0)+E351</f>
        <v>13429</v>
      </c>
      <c r="G351" s="814">
        <f>IF(MOD(F351+$B351,5)=0,$B351,0)+$B351+F351</f>
        <v>20483</v>
      </c>
      <c r="H351" s="785">
        <f>IF(MOD(G351+$B351,5)=0,$B351,0)+$B351+G351</f>
        <v>27537</v>
      </c>
      <c r="I351" s="785">
        <f>IF(MOD(H351+$B351,5)=0,$B351,0)+$B351+H351</f>
        <v>34591</v>
      </c>
      <c r="J351" s="911">
        <v>1342</v>
      </c>
      <c r="K351" s="892">
        <v>2048</v>
      </c>
      <c r="L351" s="785">
        <v>2753</v>
      </c>
      <c r="M351" s="785">
        <v>3459</v>
      </c>
      <c r="N351" s="23" t="str">
        <f>D351&amp;FIXED(MOD(F351,10),0)</f>
        <v>hh79</v>
      </c>
      <c r="O351" s="78" t="str">
        <f>MID(A$5,((FIND(N351,A$4,1)-1)+1),4)</f>
        <v>ebd7</v>
      </c>
      <c r="P351" s="94" t="s">
        <v>0</v>
      </c>
      <c r="Q351" s="78" t="s">
        <v>0</v>
      </c>
      <c r="R351" s="103" t="s">
        <v>0</v>
      </c>
      <c r="S351" s="103" t="s">
        <v>0</v>
      </c>
      <c r="T351" s="42" t="s">
        <v>1</v>
      </c>
    </row>
    <row r="352" spans="1:20" ht="12.75">
      <c r="A352" s="44">
        <v>3529</v>
      </c>
      <c r="B352" s="886">
        <v>7058</v>
      </c>
      <c r="C352" s="886">
        <v>12453841</v>
      </c>
      <c r="D352" s="950" t="s">
        <v>2506</v>
      </c>
      <c r="E352" s="115">
        <f>B352-MOD(E$1-A352*3,B352)</f>
        <v>2251</v>
      </c>
      <c r="F352" s="644">
        <f>IF(MOD(E352,5)=0,B352,0)+E352</f>
        <v>2251</v>
      </c>
      <c r="G352" s="814">
        <f>IF(MOD(F352+$B352,5)=0,$B352,0)+$B352+F352</f>
        <v>9309</v>
      </c>
      <c r="H352" s="785">
        <f>IF(MOD(G352+$B352,5)=0,$B352,0)+$B352+G352</f>
        <v>16367</v>
      </c>
      <c r="I352" s="785">
        <f>IF(MOD(H352+$B352,5)=0,$B352,0)+$B352+H352</f>
        <v>30483</v>
      </c>
      <c r="J352" s="911">
        <v>225</v>
      </c>
      <c r="K352" s="892">
        <v>930</v>
      </c>
      <c r="L352" s="785">
        <v>1636</v>
      </c>
      <c r="M352" s="785">
        <v>3048</v>
      </c>
      <c r="N352" s="23" t="str">
        <f>D352&amp;FIXED(MOD(F352,10),0)</f>
        <v>hh91</v>
      </c>
      <c r="O352" s="78" t="str">
        <f>MID(A$5,((FIND(N352,A$4,1)-1)+1),4)</f>
        <v>7edb</v>
      </c>
      <c r="P352" s="94" t="s">
        <v>0</v>
      </c>
      <c r="Q352" s="78" t="s">
        <v>0</v>
      </c>
      <c r="R352" s="103" t="s">
        <v>0</v>
      </c>
      <c r="S352" s="103" t="s">
        <v>0</v>
      </c>
      <c r="T352" s="42" t="s">
        <v>1</v>
      </c>
    </row>
    <row r="353" spans="1:20" ht="12.75">
      <c r="A353" s="44">
        <v>3533</v>
      </c>
      <c r="B353" s="886">
        <v>7066</v>
      </c>
      <c r="C353" s="886">
        <v>12482089</v>
      </c>
      <c r="D353" s="950" t="s">
        <v>2496</v>
      </c>
      <c r="E353" s="115">
        <f>B353-MOD(E$1-A353*3,B353)</f>
        <v>5421</v>
      </c>
      <c r="F353" s="644">
        <f>IF(MOD(E353,5)=0,B353,0)+E353</f>
        <v>5421</v>
      </c>
      <c r="G353" s="814">
        <f>IF(MOD(F353+$B353,5)=0,$B353,0)+$B353+F353</f>
        <v>12487</v>
      </c>
      <c r="H353" s="785">
        <f>IF(MOD(G353+$B353,5)=0,$B353,0)+$B353+G353</f>
        <v>19553</v>
      </c>
      <c r="I353" s="785">
        <f>IF(MOD(H353+$B353,5)=0,$B353,0)+$B353+H353</f>
        <v>26619</v>
      </c>
      <c r="J353" s="911">
        <v>542</v>
      </c>
      <c r="K353" s="892">
        <v>1248</v>
      </c>
      <c r="L353" s="785">
        <v>1955</v>
      </c>
      <c r="M353" s="785">
        <v>2661</v>
      </c>
      <c r="N353" s="23" t="str">
        <f>D353&amp;FIXED(MOD(F353,10),0)</f>
        <v>hh31</v>
      </c>
      <c r="O353" s="78" t="str">
        <f>MID(A$5,((FIND(N353,A$4,1)-1)+1),4)</f>
        <v>7dbe</v>
      </c>
      <c r="P353" s="94" t="s">
        <v>0</v>
      </c>
      <c r="Q353" s="78" t="s">
        <v>0</v>
      </c>
      <c r="R353" s="103" t="s">
        <v>0</v>
      </c>
      <c r="S353" s="103" t="s">
        <v>0</v>
      </c>
      <c r="T353" s="42" t="s">
        <v>1</v>
      </c>
    </row>
    <row r="354" spans="1:20" ht="12.75">
      <c r="A354" s="44">
        <v>3539</v>
      </c>
      <c r="B354" s="886">
        <v>7078</v>
      </c>
      <c r="C354" s="886">
        <v>12524521</v>
      </c>
      <c r="D354" s="950" t="s">
        <v>2506</v>
      </c>
      <c r="E354" s="115">
        <f>B354-MOD(E$1-A354*3,B354)</f>
        <v>6153</v>
      </c>
      <c r="F354" s="644">
        <f>IF(MOD(E354,5)=0,B354,0)+E354</f>
        <v>6153</v>
      </c>
      <c r="G354" s="814">
        <f>IF(MOD(F354+$B354,5)=0,$B354,0)+$B354+F354</f>
        <v>13231</v>
      </c>
      <c r="H354" s="785">
        <f>IF(MOD(G354+$B354,5)=0,$B354,0)+$B354+G354</f>
        <v>20309</v>
      </c>
      <c r="I354" s="785">
        <f>IF(MOD(H354+$B354,5)=0,$B354,0)+$B354+H354</f>
        <v>27387</v>
      </c>
      <c r="J354" s="911">
        <v>615</v>
      </c>
      <c r="K354" s="892">
        <v>1323</v>
      </c>
      <c r="L354" s="785">
        <v>2030</v>
      </c>
      <c r="M354" s="785">
        <v>2738</v>
      </c>
      <c r="N354" s="23" t="str">
        <f>D354&amp;FIXED(MOD(F354,10),0)</f>
        <v>hh93</v>
      </c>
      <c r="O354" s="78" t="str">
        <f>MID(A$5,((FIND(N354,A$4,1)-1)+1),4)</f>
        <v>b7ed</v>
      </c>
      <c r="P354" s="94" t="s">
        <v>0</v>
      </c>
      <c r="Q354" s="78" t="s">
        <v>0</v>
      </c>
      <c r="R354" s="103" t="s">
        <v>0</v>
      </c>
      <c r="S354" s="103" t="s">
        <v>0</v>
      </c>
      <c r="T354" s="42" t="s">
        <v>1</v>
      </c>
    </row>
    <row r="355" spans="1:20" ht="12.75">
      <c r="A355" s="44">
        <v>3541</v>
      </c>
      <c r="B355" s="886">
        <v>7082</v>
      </c>
      <c r="C355" s="886">
        <v>12538681</v>
      </c>
      <c r="D355" s="950" t="s">
        <v>2490</v>
      </c>
      <c r="E355" s="115">
        <f>B355-MOD(E$1-A355*3,B355)</f>
        <v>5093</v>
      </c>
      <c r="F355" s="644">
        <f>IF(MOD(E355,5)=0,B355,0)+E355</f>
        <v>5093</v>
      </c>
      <c r="G355" s="814">
        <f>IF(MOD(F355+$B355,5)=0,$B355,0)+$B355+F355</f>
        <v>19257</v>
      </c>
      <c r="H355" s="785">
        <f>IF(MOD(G355+$B355,5)=0,$B355,0)+$B355+G355</f>
        <v>26339</v>
      </c>
      <c r="I355" s="785">
        <f>IF(MOD(H355+$B355,5)=0,$B355,0)+$B355+H355</f>
        <v>33421</v>
      </c>
      <c r="J355" s="911">
        <v>509</v>
      </c>
      <c r="K355" s="892">
        <v>1925</v>
      </c>
      <c r="L355" s="785">
        <v>2633</v>
      </c>
      <c r="M355" s="785">
        <v>3342</v>
      </c>
      <c r="N355" s="23" t="str">
        <f>D355&amp;FIXED(MOD(F355,10),0)</f>
        <v>hh13</v>
      </c>
      <c r="O355" s="78" t="str">
        <f>MID(A$5,((FIND(N355,A$4,1)-1)+1),4)</f>
        <v>bde7</v>
      </c>
      <c r="P355" s="94" t="s">
        <v>0</v>
      </c>
      <c r="Q355" s="78" t="s">
        <v>0</v>
      </c>
      <c r="R355" s="103" t="s">
        <v>0</v>
      </c>
      <c r="S355" s="103" t="s">
        <v>0</v>
      </c>
      <c r="T355" s="42" t="s">
        <v>1</v>
      </c>
    </row>
    <row r="356" spans="1:20" ht="12.75">
      <c r="A356" s="44">
        <v>3547</v>
      </c>
      <c r="B356" s="886">
        <v>7094</v>
      </c>
      <c r="C356" s="886">
        <v>12581209</v>
      </c>
      <c r="D356" s="950" t="s">
        <v>2501</v>
      </c>
      <c r="E356" s="115">
        <f>B356-MOD(E$1-A356*3,B356)</f>
        <v>7073</v>
      </c>
      <c r="F356" s="644">
        <f>IF(MOD(E356,5)=0,B356,0)+E356</f>
        <v>7073</v>
      </c>
      <c r="G356" s="814">
        <f>IF(MOD(F356+$B356,5)=0,$B356,0)+$B356+F356</f>
        <v>14167</v>
      </c>
      <c r="H356" s="785">
        <f>IF(MOD(G356+$B356,5)=0,$B356,0)+$B356+G356</f>
        <v>21261</v>
      </c>
      <c r="I356" s="785">
        <f>IF(MOD(H356+$B356,5)=0,$B356,0)+$B356+H356</f>
        <v>35449</v>
      </c>
      <c r="J356" s="911">
        <v>707</v>
      </c>
      <c r="K356" s="892">
        <v>1416</v>
      </c>
      <c r="L356" s="785">
        <v>2126</v>
      </c>
      <c r="M356" s="785">
        <v>3544</v>
      </c>
      <c r="N356" s="23" t="str">
        <f>D356&amp;FIXED(MOD(F356,10),0)</f>
        <v>hh73</v>
      </c>
      <c r="O356" s="78" t="str">
        <f>MID(A$5,((FIND(N356,A$4,1)-1)+1),4)</f>
        <v>bd7e</v>
      </c>
      <c r="P356" s="94" t="s">
        <v>0</v>
      </c>
      <c r="Q356" s="78" t="s">
        <v>0</v>
      </c>
      <c r="R356" s="103" t="s">
        <v>0</v>
      </c>
      <c r="S356" s="103" t="s">
        <v>0</v>
      </c>
      <c r="T356" s="42" t="s">
        <v>1</v>
      </c>
    </row>
    <row r="357" spans="1:20" ht="12.75">
      <c r="A357" s="44">
        <v>3557</v>
      </c>
      <c r="B357" s="886">
        <v>7114</v>
      </c>
      <c r="C357" s="886">
        <v>12652249</v>
      </c>
      <c r="D357" s="950" t="s">
        <v>2501</v>
      </c>
      <c r="E357" s="115">
        <f>B357-MOD(E$1-A357*3,B357)</f>
        <v>2427</v>
      </c>
      <c r="F357" s="644">
        <f>IF(MOD(E357,5)=0,B357,0)+E357</f>
        <v>2427</v>
      </c>
      <c r="G357" s="814">
        <f>IF(MOD(F357+$B357,5)=0,$B357,0)+$B357+F357</f>
        <v>9541</v>
      </c>
      <c r="H357" s="785">
        <f>IF(MOD(G357+$B357,5)=0,$B357,0)+$B357+G357</f>
        <v>23769</v>
      </c>
      <c r="I357" s="785">
        <f>IF(MOD(H357+$B357,5)=0,$B357,0)+$B357+H357</f>
        <v>30883</v>
      </c>
      <c r="J357" s="911">
        <v>242</v>
      </c>
      <c r="K357" s="892">
        <v>954</v>
      </c>
      <c r="L357" s="785">
        <v>2376</v>
      </c>
      <c r="M357" s="785">
        <v>3088</v>
      </c>
      <c r="N357" s="23" t="str">
        <f>D357&amp;FIXED(MOD(F357,10),0)</f>
        <v>hh77</v>
      </c>
      <c r="O357" s="78" t="str">
        <f>MID(A$5,((FIND(N357,A$4,1)-1)+1),4)</f>
        <v>d7eb</v>
      </c>
      <c r="P357" s="94" t="s">
        <v>0</v>
      </c>
      <c r="Q357" s="78" t="s">
        <v>0</v>
      </c>
      <c r="R357" s="103" t="s">
        <v>0</v>
      </c>
      <c r="S357" s="103" t="s">
        <v>0</v>
      </c>
      <c r="T357" s="42" t="s">
        <v>1</v>
      </c>
    </row>
    <row r="358" spans="1:20" ht="12.75">
      <c r="A358" s="44">
        <v>3559</v>
      </c>
      <c r="B358" s="886">
        <v>7118</v>
      </c>
      <c r="C358" s="886">
        <v>12666481</v>
      </c>
      <c r="D358" s="950" t="s">
        <v>2506</v>
      </c>
      <c r="E358" s="115">
        <f>B358-MOD(E$1-A358*3,B358)</f>
        <v>39</v>
      </c>
      <c r="F358" s="644">
        <f>IF(MOD(E358,5)=0,B358,0)+E358</f>
        <v>39</v>
      </c>
      <c r="G358" s="814">
        <f>IF(MOD(F358+$B358,5)=0,$B358,0)+$B358+F358</f>
        <v>7157</v>
      </c>
      <c r="H358" s="785">
        <f>IF(MOD(G358+$B358,5)=0,$B358,0)+$B358+G358</f>
        <v>21393</v>
      </c>
      <c r="I358" s="785">
        <f>IF(MOD(H358+$B358,5)=0,$B358,0)+$B358+H358</f>
        <v>28511</v>
      </c>
      <c r="J358" s="911">
        <v>3</v>
      </c>
      <c r="K358" s="892">
        <v>715</v>
      </c>
      <c r="L358" s="785">
        <v>2139</v>
      </c>
      <c r="M358" s="785">
        <v>2851</v>
      </c>
      <c r="N358" s="23" t="str">
        <f>D358&amp;FIXED(MOD(F358,10),0)</f>
        <v>hh99</v>
      </c>
      <c r="O358" s="78" t="str">
        <f>MID(A$5,((FIND(N358,A$4,1)-1)+1),4)</f>
        <v>edb7</v>
      </c>
      <c r="P358" s="94" t="s">
        <v>0</v>
      </c>
      <c r="Q358" s="78" t="s">
        <v>0</v>
      </c>
      <c r="R358" s="103" t="s">
        <v>0</v>
      </c>
      <c r="S358" s="103" t="s">
        <v>0</v>
      </c>
      <c r="T358" s="42" t="s">
        <v>1</v>
      </c>
    </row>
    <row r="359" spans="1:20" ht="12.75">
      <c r="A359" s="44">
        <v>3571</v>
      </c>
      <c r="B359" s="886">
        <v>7142</v>
      </c>
      <c r="C359" s="886">
        <v>12752041</v>
      </c>
      <c r="D359" s="950" t="s">
        <v>2490</v>
      </c>
      <c r="E359" s="115">
        <f>B359-MOD(E$1-A359*3,B359)</f>
        <v>3481</v>
      </c>
      <c r="F359" s="644">
        <f>IF(MOD(E359,5)=0,B359,0)+E359</f>
        <v>3481</v>
      </c>
      <c r="G359" s="814">
        <f>IF(MOD(F359+$B359,5)=0,$B359,0)+$B359+F359</f>
        <v>10623</v>
      </c>
      <c r="H359" s="785">
        <f>IF(MOD(G359+$B359,5)=0,$B359,0)+$B359+G359</f>
        <v>24907</v>
      </c>
      <c r="I359" s="785">
        <f>IF(MOD(H359+$B359,5)=0,$B359,0)+$B359+H359</f>
        <v>32049</v>
      </c>
      <c r="J359" s="911">
        <v>348</v>
      </c>
      <c r="K359" s="892">
        <v>1062</v>
      </c>
      <c r="L359" s="785">
        <v>2490</v>
      </c>
      <c r="M359" s="785">
        <v>3204</v>
      </c>
      <c r="N359" s="23" t="str">
        <f>D359&amp;FIXED(MOD(F359,10),0)</f>
        <v>hh11</v>
      </c>
      <c r="O359" s="78" t="str">
        <f>MID(A$5,((FIND(N359,A$4,1)-1)+1),4)</f>
        <v>7bde</v>
      </c>
      <c r="P359" s="94" t="s">
        <v>0</v>
      </c>
      <c r="Q359" s="78" t="s">
        <v>0</v>
      </c>
      <c r="R359" s="103" t="s">
        <v>0</v>
      </c>
      <c r="S359" s="103" t="s">
        <v>0</v>
      </c>
      <c r="T359" s="42" t="s">
        <v>1</v>
      </c>
    </row>
    <row r="360" spans="1:20" ht="12.75">
      <c r="A360" s="44">
        <v>3581</v>
      </c>
      <c r="B360" s="886">
        <v>7162</v>
      </c>
      <c r="C360" s="886">
        <v>12823561</v>
      </c>
      <c r="D360" s="950" t="s">
        <v>2490</v>
      </c>
      <c r="E360" s="115">
        <f>B360-MOD(E$1-A360*3,B360)</f>
        <v>4553</v>
      </c>
      <c r="F360" s="644">
        <f>IF(MOD(E360,5)=0,B360,0)+E360</f>
        <v>4553</v>
      </c>
      <c r="G360" s="814">
        <f>IF(MOD(F360+$B360,5)=0,$B360,0)+$B360+F360</f>
        <v>18877</v>
      </c>
      <c r="H360" s="785">
        <f>IF(MOD(G360+$B360,5)=0,$B360,0)+$B360+G360</f>
        <v>26039</v>
      </c>
      <c r="I360" s="785">
        <f>IF(MOD(H360+$B360,5)=0,$B360,0)+$B360+H360</f>
        <v>33201</v>
      </c>
      <c r="J360" s="911">
        <v>455</v>
      </c>
      <c r="K360" s="892">
        <v>1887</v>
      </c>
      <c r="L360" s="785">
        <v>2603</v>
      </c>
      <c r="M360" s="785">
        <v>3320</v>
      </c>
      <c r="N360" s="23" t="str">
        <f>D360&amp;FIXED(MOD(F360,10),0)</f>
        <v>hh13</v>
      </c>
      <c r="O360" s="78" t="str">
        <f>MID(A$5,((FIND(N360,A$4,1)-1)+1),4)</f>
        <v>bde7</v>
      </c>
      <c r="P360" s="94" t="s">
        <v>0</v>
      </c>
      <c r="Q360" s="78" t="s">
        <v>0</v>
      </c>
      <c r="R360" s="103" t="s">
        <v>0</v>
      </c>
      <c r="S360" s="103" t="s">
        <v>0</v>
      </c>
      <c r="T360" s="42" t="s">
        <v>1</v>
      </c>
    </row>
    <row r="361" spans="1:20" ht="12.75">
      <c r="A361" s="44">
        <v>3583</v>
      </c>
      <c r="B361" s="886">
        <v>7166</v>
      </c>
      <c r="C361" s="886">
        <v>12837889</v>
      </c>
      <c r="D361" s="950" t="s">
        <v>2496</v>
      </c>
      <c r="E361" s="115">
        <f>B361-MOD(E$1-A361*3,B361)</f>
        <v>4721</v>
      </c>
      <c r="F361" s="644">
        <f>IF(MOD(E361,5)=0,B361,0)+E361</f>
        <v>4721</v>
      </c>
      <c r="G361" s="814">
        <f>IF(MOD(F361+$B361,5)=0,$B361,0)+$B361+F361</f>
        <v>11887</v>
      </c>
      <c r="H361" s="785">
        <f>IF(MOD(G361+$B361,5)=0,$B361,0)+$B361+G361</f>
        <v>19053</v>
      </c>
      <c r="I361" s="785">
        <f>IF(MOD(H361+$B361,5)=0,$B361,0)+$B361+H361</f>
        <v>26219</v>
      </c>
      <c r="J361" s="911">
        <v>472</v>
      </c>
      <c r="K361" s="892">
        <v>1188</v>
      </c>
      <c r="L361" s="785">
        <v>1905</v>
      </c>
      <c r="M361" s="785">
        <v>2621</v>
      </c>
      <c r="N361" s="23" t="str">
        <f>D361&amp;FIXED(MOD(F361,10),0)</f>
        <v>hh31</v>
      </c>
      <c r="O361" s="78" t="str">
        <f>MID(A$5,((FIND(N361,A$4,1)-1)+1),4)</f>
        <v>7dbe</v>
      </c>
      <c r="P361" s="94" t="s">
        <v>0</v>
      </c>
      <c r="Q361" s="78" t="s">
        <v>0</v>
      </c>
      <c r="R361" s="103" t="s">
        <v>0</v>
      </c>
      <c r="S361" s="103" t="s">
        <v>0</v>
      </c>
      <c r="T361" s="42" t="s">
        <v>1</v>
      </c>
    </row>
    <row r="362" spans="1:20" ht="12.75">
      <c r="A362" s="44">
        <v>3593</v>
      </c>
      <c r="B362" s="886">
        <v>7186</v>
      </c>
      <c r="C362" s="886">
        <v>12909649</v>
      </c>
      <c r="D362" s="950" t="s">
        <v>2496</v>
      </c>
      <c r="E362" s="115">
        <f>B362-MOD(E$1-A362*3,B362)</f>
        <v>3895</v>
      </c>
      <c r="F362" s="644">
        <f>IF(MOD(E362,5)=0,B362,0)+E362</f>
        <v>11081</v>
      </c>
      <c r="G362" s="814">
        <f>IF(MOD(F362+$B362,5)=0,$B362,0)+$B362+F362</f>
        <v>18267</v>
      </c>
      <c r="H362" s="785">
        <f>IF(MOD(G362+$B362,5)=0,$B362,0)+$B362+G362</f>
        <v>25453</v>
      </c>
      <c r="I362" s="785">
        <f>IF(MOD(H362+$B362,5)=0,$B362,0)+$B362+H362</f>
        <v>32639</v>
      </c>
      <c r="J362" s="911">
        <v>1108</v>
      </c>
      <c r="K362" s="892">
        <v>1826</v>
      </c>
      <c r="L362" s="785">
        <v>2545</v>
      </c>
      <c r="M362" s="785">
        <v>3263</v>
      </c>
      <c r="N362" s="23" t="str">
        <f>D362&amp;FIXED(MOD(F362,10),0)</f>
        <v>hh31</v>
      </c>
      <c r="O362" s="78" t="str">
        <f>MID(A$5,((FIND(N362,A$4,1)-1)+1),4)</f>
        <v>7dbe</v>
      </c>
      <c r="P362" s="94" t="s">
        <v>0</v>
      </c>
      <c r="Q362" s="78" t="s">
        <v>0</v>
      </c>
      <c r="R362" s="103" t="s">
        <v>0</v>
      </c>
      <c r="S362" s="103" t="s">
        <v>0</v>
      </c>
      <c r="T362" s="42" t="s">
        <v>1</v>
      </c>
    </row>
    <row r="363" spans="1:20" ht="12.75">
      <c r="A363" s="44">
        <v>3607</v>
      </c>
      <c r="B363" s="886">
        <v>7214</v>
      </c>
      <c r="C363" s="886">
        <v>13010449</v>
      </c>
      <c r="D363" s="950" t="s">
        <v>2501</v>
      </c>
      <c r="E363" s="115">
        <f>B363-MOD(E$1-A363*3,B363)</f>
        <v>4729</v>
      </c>
      <c r="F363" s="644">
        <f>IF(MOD(E363,5)=0,B363,0)+E363</f>
        <v>4729</v>
      </c>
      <c r="G363" s="814">
        <f>IF(MOD(F363+$B363,5)=0,$B363,0)+$B363+F363</f>
        <v>11943</v>
      </c>
      <c r="H363" s="785">
        <f>IF(MOD(G363+$B363,5)=0,$B363,0)+$B363+G363</f>
        <v>19157</v>
      </c>
      <c r="I363" s="785">
        <f>IF(MOD(H363+$B363,5)=0,$B363,0)+$B363+H363</f>
        <v>26371</v>
      </c>
      <c r="J363" s="911">
        <v>472</v>
      </c>
      <c r="K363" s="892">
        <v>1194</v>
      </c>
      <c r="L363" s="785">
        <v>1915</v>
      </c>
      <c r="M363" s="785">
        <v>2637</v>
      </c>
      <c r="N363" s="23" t="str">
        <f>D363&amp;FIXED(MOD(F363,10),0)</f>
        <v>hh79</v>
      </c>
      <c r="O363" s="78" t="str">
        <f>MID(A$5,((FIND(N363,A$4,1)-1)+1),4)</f>
        <v>ebd7</v>
      </c>
      <c r="P363" s="94" t="s">
        <v>0</v>
      </c>
      <c r="Q363" s="78" t="s">
        <v>0</v>
      </c>
      <c r="R363" s="103" t="s">
        <v>0</v>
      </c>
      <c r="S363" s="103" t="s">
        <v>0</v>
      </c>
      <c r="T363" s="42" t="s">
        <v>1</v>
      </c>
    </row>
    <row r="364" spans="1:20" ht="12.75">
      <c r="A364" s="44">
        <v>3613</v>
      </c>
      <c r="B364" s="886">
        <v>7226</v>
      </c>
      <c r="C364" s="886">
        <v>13053769</v>
      </c>
      <c r="D364" s="950" t="s">
        <v>2496</v>
      </c>
      <c r="E364" s="115">
        <f>B364-MOD(E$1-A364*3,B364)</f>
        <v>4735</v>
      </c>
      <c r="F364" s="644">
        <f>IF(MOD(E364,5)=0,B364,0)+E364</f>
        <v>11961</v>
      </c>
      <c r="G364" s="814">
        <f>IF(MOD(F364+$B364,5)=0,$B364,0)+$B364+F364</f>
        <v>19187</v>
      </c>
      <c r="H364" s="785">
        <f>IF(MOD(G364+$B364,5)=0,$B364,0)+$B364+G364</f>
        <v>26413</v>
      </c>
      <c r="I364" s="785">
        <f>IF(MOD(H364+$B364,5)=0,$B364,0)+$B364+H364</f>
        <v>33639</v>
      </c>
      <c r="J364" s="911">
        <v>1196</v>
      </c>
      <c r="K364" s="892">
        <v>1918</v>
      </c>
      <c r="L364" s="785">
        <v>2641</v>
      </c>
      <c r="M364" s="785">
        <v>3363</v>
      </c>
      <c r="N364" s="23" t="str">
        <f>D364&amp;FIXED(MOD(F364,10),0)</f>
        <v>hh31</v>
      </c>
      <c r="O364" s="78" t="str">
        <f>MID(A$5,((FIND(N364,A$4,1)-1)+1),4)</f>
        <v>7dbe</v>
      </c>
      <c r="P364" s="94" t="s">
        <v>0</v>
      </c>
      <c r="Q364" s="78" t="s">
        <v>0</v>
      </c>
      <c r="R364" s="103" t="s">
        <v>0</v>
      </c>
      <c r="S364" s="103" t="s">
        <v>0</v>
      </c>
      <c r="T364" s="42" t="s">
        <v>1</v>
      </c>
    </row>
    <row r="365" spans="1:20" ht="12.75">
      <c r="A365" s="44">
        <v>3617</v>
      </c>
      <c r="B365" s="886">
        <v>7234</v>
      </c>
      <c r="C365" s="886">
        <v>13082689</v>
      </c>
      <c r="D365" s="950" t="s">
        <v>2501</v>
      </c>
      <c r="E365" s="115">
        <f>B365-MOD(E$1-A365*3,B365)</f>
        <v>4495</v>
      </c>
      <c r="F365" s="644">
        <f>IF(MOD(E365,5)=0,B365,0)+E365</f>
        <v>11729</v>
      </c>
      <c r="G365" s="814">
        <f>IF(MOD(F365+$B365,5)=0,$B365,0)+$B365+F365</f>
        <v>18963</v>
      </c>
      <c r="H365" s="785">
        <f>IF(MOD(G365+$B365,5)=0,$B365,0)+$B365+G365</f>
        <v>26197</v>
      </c>
      <c r="I365" s="785">
        <f>IF(MOD(H365+$B365,5)=0,$B365,0)+$B365+H365</f>
        <v>33431</v>
      </c>
      <c r="J365" s="911">
        <v>1172</v>
      </c>
      <c r="K365" s="892">
        <v>1896</v>
      </c>
      <c r="L365" s="785">
        <v>2619</v>
      </c>
      <c r="M365" s="785">
        <v>3343</v>
      </c>
      <c r="N365" s="23" t="str">
        <f>D365&amp;FIXED(MOD(F365,10),0)</f>
        <v>hh79</v>
      </c>
      <c r="O365" s="78" t="str">
        <f>MID(A$5,((FIND(N365,A$4,1)-1)+1),4)</f>
        <v>ebd7</v>
      </c>
      <c r="P365" s="94" t="s">
        <v>0</v>
      </c>
      <c r="Q365" s="78" t="s">
        <v>0</v>
      </c>
      <c r="R365" s="103" t="s">
        <v>0</v>
      </c>
      <c r="S365" s="103" t="s">
        <v>0</v>
      </c>
      <c r="T365" s="42" t="s">
        <v>1</v>
      </c>
    </row>
    <row r="366" spans="1:20" ht="12.75">
      <c r="A366" s="44">
        <v>3623</v>
      </c>
      <c r="B366" s="886">
        <v>7246</v>
      </c>
      <c r="C366" s="886">
        <v>13126129</v>
      </c>
      <c r="D366" s="950" t="s">
        <v>2496</v>
      </c>
      <c r="E366" s="115">
        <f>B366-MOD(E$1-A366*3,B366)</f>
        <v>1469</v>
      </c>
      <c r="F366" s="644">
        <f>IF(MOD(E366,5)=0,B366,0)+E366</f>
        <v>1469</v>
      </c>
      <c r="G366" s="814">
        <f>IF(MOD(F366+$B366,5)=0,$B366,0)+$B366+F366</f>
        <v>15961</v>
      </c>
      <c r="H366" s="785">
        <f>IF(MOD(G366+$B366,5)=0,$B366,0)+$B366+G366</f>
        <v>23207</v>
      </c>
      <c r="I366" s="785">
        <f>IF(MOD(H366+$B366,5)=0,$B366,0)+$B366+H366</f>
        <v>30453</v>
      </c>
      <c r="J366" s="911">
        <v>146</v>
      </c>
      <c r="K366" s="892">
        <v>1596</v>
      </c>
      <c r="L366" s="785">
        <v>2320</v>
      </c>
      <c r="M366" s="785">
        <v>3045</v>
      </c>
      <c r="N366" s="23" t="str">
        <f>D366&amp;FIXED(MOD(F366,10),0)</f>
        <v>hh39</v>
      </c>
      <c r="O366" s="78" t="str">
        <f>MID(A$5,((FIND(N366,A$4,1)-1)+1),4)</f>
        <v>e7db</v>
      </c>
      <c r="P366" s="94" t="s">
        <v>0</v>
      </c>
      <c r="Q366" s="78" t="s">
        <v>0</v>
      </c>
      <c r="R366" s="103" t="s">
        <v>0</v>
      </c>
      <c r="S366" s="103" t="s">
        <v>0</v>
      </c>
      <c r="T366" s="42" t="s">
        <v>1</v>
      </c>
    </row>
    <row r="367" spans="1:20" ht="12.75">
      <c r="A367" s="44">
        <v>3631</v>
      </c>
      <c r="B367" s="886">
        <v>7262</v>
      </c>
      <c r="C367" s="886">
        <v>13184161</v>
      </c>
      <c r="D367" s="950" t="s">
        <v>2490</v>
      </c>
      <c r="E367" s="115">
        <f>B367-MOD(E$1-A367*3,B367)</f>
        <v>4855</v>
      </c>
      <c r="F367" s="644">
        <f>IF(MOD(E367,5)=0,B367,0)+E367</f>
        <v>12117</v>
      </c>
      <c r="G367" s="814">
        <f>IF(MOD(F367+$B367,5)=0,$B367,0)+$B367+F367</f>
        <v>19379</v>
      </c>
      <c r="H367" s="785">
        <f>IF(MOD(G367+$B367,5)=0,$B367,0)+$B367+G367</f>
        <v>26641</v>
      </c>
      <c r="I367" s="785">
        <f>IF(MOD(H367+$B367,5)=0,$B367,0)+$B367+H367</f>
        <v>33903</v>
      </c>
      <c r="J367" s="911">
        <v>1211</v>
      </c>
      <c r="K367" s="892">
        <v>1937</v>
      </c>
      <c r="L367" s="785">
        <v>2664</v>
      </c>
      <c r="M367" s="785">
        <v>3390</v>
      </c>
      <c r="N367" s="23" t="str">
        <f>D367&amp;FIXED(MOD(F367,10),0)</f>
        <v>hh17</v>
      </c>
      <c r="O367" s="78" t="str">
        <f>MID(A$5,((FIND(N367,A$4,1)-1)+1),4)</f>
        <v>de7b</v>
      </c>
      <c r="P367" s="94" t="s">
        <v>0</v>
      </c>
      <c r="Q367" s="78" t="s">
        <v>0</v>
      </c>
      <c r="R367" s="103" t="s">
        <v>0</v>
      </c>
      <c r="S367" s="103" t="s">
        <v>0</v>
      </c>
      <c r="T367" s="42" t="s">
        <v>1</v>
      </c>
    </row>
    <row r="368" spans="1:20" ht="12.75">
      <c r="A368" s="44">
        <v>3637</v>
      </c>
      <c r="B368" s="886">
        <v>7274</v>
      </c>
      <c r="C368" s="886">
        <v>13227769</v>
      </c>
      <c r="D368" s="950" t="s">
        <v>2501</v>
      </c>
      <c r="E368" s="115">
        <f>B368-MOD(E$1-A368*3,B368)</f>
        <v>1397</v>
      </c>
      <c r="F368" s="644">
        <f>IF(MOD(E368,5)=0,B368,0)+E368</f>
        <v>1397</v>
      </c>
      <c r="G368" s="814">
        <f>IF(MOD(F368+$B368,5)=0,$B368,0)+$B368+F368</f>
        <v>8671</v>
      </c>
      <c r="H368" s="785">
        <f>IF(MOD(G368+$B368,5)=0,$B368,0)+$B368+G368</f>
        <v>23219</v>
      </c>
      <c r="I368" s="785">
        <f>IF(MOD(H368+$B368,5)=0,$B368,0)+$B368+H368</f>
        <v>30493</v>
      </c>
      <c r="J368" s="911">
        <v>139</v>
      </c>
      <c r="K368" s="892">
        <v>867</v>
      </c>
      <c r="L368" s="785">
        <v>2321</v>
      </c>
      <c r="M368" s="785">
        <v>3049</v>
      </c>
      <c r="N368" s="23" t="str">
        <f>D368&amp;FIXED(MOD(F368,10),0)</f>
        <v>hh77</v>
      </c>
      <c r="O368" s="78" t="str">
        <f>MID(A$5,((FIND(N368,A$4,1)-1)+1),4)</f>
        <v>d7eb</v>
      </c>
      <c r="P368" s="94" t="s">
        <v>0</v>
      </c>
      <c r="Q368" s="78" t="s">
        <v>0</v>
      </c>
      <c r="R368" s="103" t="s">
        <v>0</v>
      </c>
      <c r="S368" s="103" t="s">
        <v>0</v>
      </c>
      <c r="T368" s="42" t="s">
        <v>1</v>
      </c>
    </row>
    <row r="369" spans="1:20" ht="12.75">
      <c r="A369" s="44">
        <v>3643</v>
      </c>
      <c r="B369" s="886">
        <v>7286</v>
      </c>
      <c r="C369" s="886">
        <v>13271449</v>
      </c>
      <c r="D369" s="950" t="s">
        <v>2496</v>
      </c>
      <c r="E369" s="115">
        <f>B369-MOD(E$1-A369*3,B369)</f>
        <v>5065</v>
      </c>
      <c r="F369" s="644">
        <f>IF(MOD(E369,5)=0,B369,0)+E369</f>
        <v>12351</v>
      </c>
      <c r="G369" s="814">
        <f>IF(MOD(F369+$B369,5)=0,$B369,0)+$B369+F369</f>
        <v>19637</v>
      </c>
      <c r="H369" s="785">
        <f>IF(MOD(G369+$B369,5)=0,$B369,0)+$B369+G369</f>
        <v>26923</v>
      </c>
      <c r="I369" s="785">
        <f>IF(MOD(H369+$B369,5)=0,$B369,0)+$B369+H369</f>
        <v>34209</v>
      </c>
      <c r="J369" s="911">
        <v>1235</v>
      </c>
      <c r="K369" s="892">
        <v>1963</v>
      </c>
      <c r="L369" s="785">
        <v>2692</v>
      </c>
      <c r="M369" s="785">
        <v>3420</v>
      </c>
      <c r="N369" s="23" t="str">
        <f>D369&amp;FIXED(MOD(F369,10),0)</f>
        <v>hh31</v>
      </c>
      <c r="O369" s="78" t="str">
        <f>MID(A$5,((FIND(N369,A$4,1)-1)+1),4)</f>
        <v>7dbe</v>
      </c>
      <c r="P369" s="94" t="s">
        <v>0</v>
      </c>
      <c r="Q369" s="78" t="s">
        <v>0</v>
      </c>
      <c r="R369" s="103" t="s">
        <v>0</v>
      </c>
      <c r="S369" s="103" t="s">
        <v>0</v>
      </c>
      <c r="T369" s="42" t="s">
        <v>1</v>
      </c>
    </row>
    <row r="370" spans="1:20" ht="12.75">
      <c r="A370" s="44">
        <v>3659</v>
      </c>
      <c r="B370" s="886">
        <v>7318</v>
      </c>
      <c r="C370" s="886">
        <v>13388281</v>
      </c>
      <c r="D370" s="950" t="s">
        <v>2506</v>
      </c>
      <c r="E370" s="115">
        <f>B370-MOD(E$1-A370*3,B370)</f>
        <v>5923</v>
      </c>
      <c r="F370" s="644">
        <f>IF(MOD(E370,5)=0,B370,0)+E370</f>
        <v>5923</v>
      </c>
      <c r="G370" s="814">
        <f>IF(MOD(F370+$B370,5)=0,$B370,0)+$B370+F370</f>
        <v>13241</v>
      </c>
      <c r="H370" s="785">
        <f>IF(MOD(G370+$B370,5)=0,$B370,0)+$B370+G370</f>
        <v>20559</v>
      </c>
      <c r="I370" s="785">
        <f>IF(MOD(H370+$B370,5)=0,$B370,0)+$B370+H370</f>
        <v>27877</v>
      </c>
      <c r="J370" s="911">
        <v>592</v>
      </c>
      <c r="K370" s="892">
        <v>1324</v>
      </c>
      <c r="L370" s="785">
        <v>2055</v>
      </c>
      <c r="M370" s="785">
        <v>2787</v>
      </c>
      <c r="N370" s="23" t="str">
        <f>D370&amp;FIXED(MOD(F370,10),0)</f>
        <v>hh93</v>
      </c>
      <c r="O370" s="78" t="str">
        <f>MID(A$5,((FIND(N370,A$4,1)-1)+1),4)</f>
        <v>b7ed</v>
      </c>
      <c r="P370" s="94" t="s">
        <v>0</v>
      </c>
      <c r="Q370" s="78" t="s">
        <v>0</v>
      </c>
      <c r="R370" s="103" t="s">
        <v>0</v>
      </c>
      <c r="S370" s="103" t="s">
        <v>0</v>
      </c>
      <c r="T370" s="42" t="s">
        <v>1</v>
      </c>
    </row>
    <row r="371" spans="1:20" ht="12.75">
      <c r="A371" s="44">
        <v>3671</v>
      </c>
      <c r="B371" s="886">
        <v>7342</v>
      </c>
      <c r="C371" s="886">
        <v>13476241</v>
      </c>
      <c r="D371" s="950" t="s">
        <v>2490</v>
      </c>
      <c r="E371" s="115">
        <f>B371-MOD(E$1-A371*3,B371)</f>
        <v>723</v>
      </c>
      <c r="F371" s="644">
        <f>IF(MOD(E371,5)=0,B371,0)+E371</f>
        <v>723</v>
      </c>
      <c r="G371" s="814">
        <f>IF(MOD(F371+$B371,5)=0,$B371,0)+$B371+F371</f>
        <v>15407</v>
      </c>
      <c r="H371" s="785">
        <f>IF(MOD(G371+$B371,5)=0,$B371,0)+$B371+G371</f>
        <v>22749</v>
      </c>
      <c r="I371" s="785">
        <f>IF(MOD(H371+$B371,5)=0,$B371,0)+$B371+H371</f>
        <v>30091</v>
      </c>
      <c r="J371" s="911">
        <v>72</v>
      </c>
      <c r="K371" s="892">
        <v>1540</v>
      </c>
      <c r="L371" s="785">
        <v>2274</v>
      </c>
      <c r="M371" s="785">
        <v>3009</v>
      </c>
      <c r="N371" s="23" t="str">
        <f>D371&amp;FIXED(MOD(F371,10),0)</f>
        <v>hh13</v>
      </c>
      <c r="O371" s="78" t="str">
        <f>MID(A$5,((FIND(N371,A$4,1)-1)+1),4)</f>
        <v>bde7</v>
      </c>
      <c r="P371" s="94" t="s">
        <v>0</v>
      </c>
      <c r="Q371" s="78" t="s">
        <v>0</v>
      </c>
      <c r="R371" s="103" t="s">
        <v>0</v>
      </c>
      <c r="S371" s="103" t="s">
        <v>0</v>
      </c>
      <c r="T371" s="42" t="s">
        <v>1</v>
      </c>
    </row>
    <row r="372" spans="1:20" ht="12.75">
      <c r="A372" s="44">
        <v>3673</v>
      </c>
      <c r="B372" s="886">
        <v>7346</v>
      </c>
      <c r="C372" s="886">
        <v>13490929</v>
      </c>
      <c r="D372" s="950" t="s">
        <v>2496</v>
      </c>
      <c r="E372" s="115">
        <f>B372-MOD(E$1-A372*3,B372)</f>
        <v>5511</v>
      </c>
      <c r="F372" s="644">
        <f>IF(MOD(E372,5)=0,B372,0)+E372</f>
        <v>5511</v>
      </c>
      <c r="G372" s="814">
        <f>IF(MOD(F372+$B372,5)=0,$B372,0)+$B372+F372</f>
        <v>12857</v>
      </c>
      <c r="H372" s="785">
        <f>IF(MOD(G372+$B372,5)=0,$B372,0)+$B372+G372</f>
        <v>20203</v>
      </c>
      <c r="I372" s="785">
        <f>IF(MOD(H372+$B372,5)=0,$B372,0)+$B372+H372</f>
        <v>27549</v>
      </c>
      <c r="J372" s="911">
        <v>551</v>
      </c>
      <c r="K372" s="892">
        <v>1285</v>
      </c>
      <c r="L372" s="785">
        <v>2020</v>
      </c>
      <c r="M372" s="785">
        <v>2754</v>
      </c>
      <c r="N372" s="23" t="str">
        <f>D372&amp;FIXED(MOD(F372,10),0)</f>
        <v>hh31</v>
      </c>
      <c r="O372" s="78" t="str">
        <f>MID(A$5,((FIND(N372,A$4,1)-1)+1),4)</f>
        <v>7dbe</v>
      </c>
      <c r="P372" s="94" t="s">
        <v>0</v>
      </c>
      <c r="Q372" s="78" t="s">
        <v>0</v>
      </c>
      <c r="R372" s="103" t="s">
        <v>0</v>
      </c>
      <c r="S372" s="103" t="s">
        <v>0</v>
      </c>
      <c r="T372" s="42" t="s">
        <v>1</v>
      </c>
    </row>
    <row r="373" spans="1:20" ht="12.75">
      <c r="A373" s="44">
        <v>3677</v>
      </c>
      <c r="B373" s="886">
        <v>7354</v>
      </c>
      <c r="C373" s="886">
        <v>13520329</v>
      </c>
      <c r="D373" s="950" t="s">
        <v>2501</v>
      </c>
      <c r="E373" s="115">
        <f>B373-MOD(E$1-A373*3,B373)</f>
        <v>1037</v>
      </c>
      <c r="F373" s="644">
        <f>IF(MOD(E373,5)=0,B373,0)+E373</f>
        <v>1037</v>
      </c>
      <c r="G373" s="814">
        <f>IF(MOD(F373+$B373,5)=0,$B373,0)+$B373+F373</f>
        <v>8391</v>
      </c>
      <c r="H373" s="785">
        <f>IF(MOD(G373+$B373,5)=0,$B373,0)+$B373+G373</f>
        <v>23099</v>
      </c>
      <c r="I373" s="785">
        <f>IF(MOD(H373+$B373,5)=0,$B373,0)+$B373+H373</f>
        <v>30453</v>
      </c>
      <c r="J373" s="911">
        <v>103</v>
      </c>
      <c r="K373" s="892">
        <v>839</v>
      </c>
      <c r="L373" s="785">
        <v>2309</v>
      </c>
      <c r="M373" s="785">
        <v>3045</v>
      </c>
      <c r="N373" s="23" t="str">
        <f>D373&amp;FIXED(MOD(F373,10),0)</f>
        <v>hh77</v>
      </c>
      <c r="O373" s="78" t="str">
        <f>MID(A$5,((FIND(N373,A$4,1)-1)+1),4)</f>
        <v>d7eb</v>
      </c>
      <c r="P373" s="94" t="s">
        <v>0</v>
      </c>
      <c r="Q373" s="78" t="s">
        <v>0</v>
      </c>
      <c r="R373" s="103" t="s">
        <v>0</v>
      </c>
      <c r="S373" s="103" t="s">
        <v>0</v>
      </c>
      <c r="T373" s="42" t="s">
        <v>1</v>
      </c>
    </row>
    <row r="374" spans="1:20" ht="12.75">
      <c r="A374" s="44">
        <v>3691</v>
      </c>
      <c r="B374" s="886">
        <v>7382</v>
      </c>
      <c r="C374" s="886">
        <v>13623481</v>
      </c>
      <c r="D374" s="950" t="s">
        <v>2490</v>
      </c>
      <c r="E374" s="115">
        <f>B374-MOD(E$1-A374*3,B374)</f>
        <v>1261</v>
      </c>
      <c r="F374" s="644">
        <f>IF(MOD(E374,5)=0,B374,0)+E374</f>
        <v>1261</v>
      </c>
      <c r="G374" s="814">
        <f>IF(MOD(F374+$B374,5)=0,$B374,0)+$B374+F374</f>
        <v>8643</v>
      </c>
      <c r="H374" s="785">
        <f>IF(MOD(G374+$B374,5)=0,$B374,0)+$B374+G374</f>
        <v>23407</v>
      </c>
      <c r="I374" s="785">
        <f>IF(MOD(H374+$B374,5)=0,$B374,0)+$B374+H374</f>
        <v>30789</v>
      </c>
      <c r="J374" s="911">
        <v>126</v>
      </c>
      <c r="K374" s="892">
        <v>864</v>
      </c>
      <c r="L374" s="785">
        <v>2340</v>
      </c>
      <c r="M374" s="785">
        <v>3078</v>
      </c>
      <c r="N374" s="23" t="str">
        <f>D374&amp;FIXED(MOD(F374,10),0)</f>
        <v>hh11</v>
      </c>
      <c r="O374" s="78" t="str">
        <f>MID(A$5,((FIND(N374,A$4,1)-1)+1),4)</f>
        <v>7bde</v>
      </c>
      <c r="P374" s="94" t="s">
        <v>0</v>
      </c>
      <c r="Q374" s="78" t="s">
        <v>0</v>
      </c>
      <c r="R374" s="103" t="s">
        <v>0</v>
      </c>
      <c r="S374" s="103" t="s">
        <v>0</v>
      </c>
      <c r="T374" s="42" t="s">
        <v>1</v>
      </c>
    </row>
    <row r="375" spans="1:20" ht="12.75">
      <c r="A375" s="44">
        <v>3697</v>
      </c>
      <c r="B375" s="886">
        <v>7394</v>
      </c>
      <c r="C375" s="886">
        <v>13667809</v>
      </c>
      <c r="D375" s="950" t="s">
        <v>2501</v>
      </c>
      <c r="E375" s="115">
        <f>B375-MOD(E$1-A375*3,B375)</f>
        <v>1661</v>
      </c>
      <c r="F375" s="644">
        <f>IF(MOD(E375,5)=0,B375,0)+E375</f>
        <v>1661</v>
      </c>
      <c r="G375" s="814">
        <f>IF(MOD(F375+$B375,5)=0,$B375,0)+$B375+F375</f>
        <v>16449</v>
      </c>
      <c r="H375" s="785">
        <f>IF(MOD(G375+$B375,5)=0,$B375,0)+$B375+G375</f>
        <v>23843</v>
      </c>
      <c r="I375" s="785">
        <f>IF(MOD(H375+$B375,5)=0,$B375,0)+$B375+H375</f>
        <v>31237</v>
      </c>
      <c r="J375" s="911">
        <v>166</v>
      </c>
      <c r="K375" s="892">
        <v>1644</v>
      </c>
      <c r="L375" s="785">
        <v>2384</v>
      </c>
      <c r="M375" s="785">
        <v>3123</v>
      </c>
      <c r="N375" s="23" t="str">
        <f>D375&amp;FIXED(MOD(F375,10),0)</f>
        <v>hh71</v>
      </c>
      <c r="O375" s="78" t="str">
        <f>MID(A$5,((FIND(N375,A$4,1)-1)+1),4)</f>
        <v>7ebd</v>
      </c>
      <c r="P375" s="94" t="s">
        <v>0</v>
      </c>
      <c r="Q375" s="78" t="s">
        <v>0</v>
      </c>
      <c r="R375" s="103" t="s">
        <v>0</v>
      </c>
      <c r="S375" s="103" t="s">
        <v>0</v>
      </c>
      <c r="T375" s="42" t="s">
        <v>1</v>
      </c>
    </row>
    <row r="376" spans="1:20" ht="12.75">
      <c r="A376" s="44">
        <v>3701</v>
      </c>
      <c r="B376" s="886">
        <v>7402</v>
      </c>
      <c r="C376" s="886">
        <v>13697401</v>
      </c>
      <c r="D376" s="950" t="s">
        <v>2490</v>
      </c>
      <c r="E376" s="115">
        <f>B376-MOD(E$1-A376*3,B376)</f>
        <v>6083</v>
      </c>
      <c r="F376" s="644">
        <f>IF(MOD(E376,5)=0,B376,0)+E376</f>
        <v>6083</v>
      </c>
      <c r="G376" s="814">
        <f>IF(MOD(F376+$B376,5)=0,$B376,0)+$B376+F376</f>
        <v>20887</v>
      </c>
      <c r="H376" s="785">
        <f>IF(MOD(G376+$B376,5)=0,$B376,0)+$B376+G376</f>
        <v>28289</v>
      </c>
      <c r="I376" s="785">
        <f>IF(MOD(H376+$B376,5)=0,$B376,0)+$B376+H376</f>
        <v>35691</v>
      </c>
      <c r="J376" s="911">
        <v>608</v>
      </c>
      <c r="K376" s="892">
        <v>2088</v>
      </c>
      <c r="L376" s="785">
        <v>2828</v>
      </c>
      <c r="M376" s="785">
        <v>3569</v>
      </c>
      <c r="N376" s="23" t="str">
        <f>D376&amp;FIXED(MOD(F376,10),0)</f>
        <v>hh13</v>
      </c>
      <c r="O376" s="78" t="str">
        <f>MID(A$5,((FIND(N376,A$4,1)-1)+1),4)</f>
        <v>bde7</v>
      </c>
      <c r="P376" s="94" t="s">
        <v>0</v>
      </c>
      <c r="Q376" s="78" t="s">
        <v>0</v>
      </c>
      <c r="R376" s="103" t="s">
        <v>0</v>
      </c>
      <c r="S376" s="103" t="s">
        <v>0</v>
      </c>
      <c r="T376" s="42" t="s">
        <v>1</v>
      </c>
    </row>
    <row r="377" spans="1:20" ht="12.75">
      <c r="A377" s="44">
        <v>3709</v>
      </c>
      <c r="B377" s="886">
        <v>7418</v>
      </c>
      <c r="C377" s="886">
        <v>13756681</v>
      </c>
      <c r="D377" s="950" t="s">
        <v>2506</v>
      </c>
      <c r="E377" s="115">
        <f>B377-MOD(E$1-A377*3,B377)</f>
        <v>5377</v>
      </c>
      <c r="F377" s="644">
        <f>IF(MOD(E377,5)=0,B377,0)+E377</f>
        <v>5377</v>
      </c>
      <c r="G377" s="814">
        <f>IF(MOD(F377+$B377,5)=0,$B377,0)+$B377+F377</f>
        <v>20213</v>
      </c>
      <c r="H377" s="785">
        <f>IF(MOD(G377+$B377,5)=0,$B377,0)+$B377+G377</f>
        <v>27631</v>
      </c>
      <c r="I377" s="785">
        <f>IF(MOD(H377+$B377,5)=0,$B377,0)+$B377+H377</f>
        <v>35049</v>
      </c>
      <c r="J377" s="911">
        <v>537</v>
      </c>
      <c r="K377" s="892">
        <v>2021</v>
      </c>
      <c r="L377" s="785">
        <v>2763</v>
      </c>
      <c r="M377" s="785">
        <v>3504</v>
      </c>
      <c r="N377" s="23" t="str">
        <f>D377&amp;FIXED(MOD(F377,10),0)</f>
        <v>hh97</v>
      </c>
      <c r="O377" s="78" t="str">
        <f>MID(A$5,((FIND(N377,A$4,1)-1)+1),4)</f>
        <v>db7e</v>
      </c>
      <c r="P377" s="94" t="s">
        <v>0</v>
      </c>
      <c r="Q377" s="78" t="s">
        <v>0</v>
      </c>
      <c r="R377" s="103" t="s">
        <v>0</v>
      </c>
      <c r="S377" s="103" t="s">
        <v>0</v>
      </c>
      <c r="T377" s="42" t="s">
        <v>1</v>
      </c>
    </row>
    <row r="378" spans="1:20" ht="12.75">
      <c r="A378" s="44">
        <v>3719</v>
      </c>
      <c r="B378" s="886">
        <v>7438</v>
      </c>
      <c r="C378" s="886">
        <v>13830961</v>
      </c>
      <c r="D378" s="950" t="s">
        <v>2506</v>
      </c>
      <c r="E378" s="115">
        <f>B378-MOD(E$1-A378*3,B378)</f>
        <v>2519</v>
      </c>
      <c r="F378" s="644">
        <f>IF(MOD(E378,5)=0,B378,0)+E378</f>
        <v>2519</v>
      </c>
      <c r="G378" s="814">
        <f>IF(MOD(F378+$B378,5)=0,$B378,0)+$B378+F378</f>
        <v>9957</v>
      </c>
      <c r="H378" s="785">
        <f>IF(MOD(G378+$B378,5)=0,$B378,0)+$B378+G378</f>
        <v>24833</v>
      </c>
      <c r="I378" s="785">
        <f>IF(MOD(H378+$B378,5)=0,$B378,0)+$B378+H378</f>
        <v>32271</v>
      </c>
      <c r="J378" s="911">
        <v>251</v>
      </c>
      <c r="K378" s="892">
        <v>995</v>
      </c>
      <c r="L378" s="785">
        <v>2483</v>
      </c>
      <c r="M378" s="785">
        <v>3227</v>
      </c>
      <c r="N378" s="23" t="str">
        <f>D378&amp;FIXED(MOD(F378,10),0)</f>
        <v>hh99</v>
      </c>
      <c r="O378" s="78" t="str">
        <f>MID(A$5,((FIND(N378,A$4,1)-1)+1),4)</f>
        <v>edb7</v>
      </c>
      <c r="P378" s="94" t="s">
        <v>0</v>
      </c>
      <c r="Q378" s="78" t="s">
        <v>0</v>
      </c>
      <c r="R378" s="103" t="s">
        <v>0</v>
      </c>
      <c r="S378" s="103" t="s">
        <v>0</v>
      </c>
      <c r="T378" s="42" t="s">
        <v>1</v>
      </c>
    </row>
    <row r="379" spans="1:20" ht="12.75">
      <c r="A379" s="44">
        <v>3727</v>
      </c>
      <c r="B379" s="886">
        <v>7454</v>
      </c>
      <c r="C379" s="886">
        <v>13890529</v>
      </c>
      <c r="D379" s="950" t="s">
        <v>2501</v>
      </c>
      <c r="E379" s="115">
        <f>B379-MOD(E$1-A379*3,B379)</f>
        <v>2299</v>
      </c>
      <c r="F379" s="644">
        <f>IF(MOD(E379,5)=0,B379,0)+E379</f>
        <v>2299</v>
      </c>
      <c r="G379" s="814">
        <f>IF(MOD(F379+$B379,5)=0,$B379,0)+$B379+F379</f>
        <v>9753</v>
      </c>
      <c r="H379" s="785">
        <f>IF(MOD(G379+$B379,5)=0,$B379,0)+$B379+G379</f>
        <v>17207</v>
      </c>
      <c r="I379" s="785">
        <f>IF(MOD(H379+$B379,5)=0,$B379,0)+$B379+H379</f>
        <v>24661</v>
      </c>
      <c r="J379" s="911">
        <v>229</v>
      </c>
      <c r="K379" s="892">
        <v>975</v>
      </c>
      <c r="L379" s="785">
        <v>1720</v>
      </c>
      <c r="M379" s="785">
        <v>2466</v>
      </c>
      <c r="N379" s="23" t="str">
        <f>D379&amp;FIXED(MOD(F379,10),0)</f>
        <v>hh79</v>
      </c>
      <c r="O379" s="78" t="str">
        <f>MID(A$5,((FIND(N379,A$4,1)-1)+1),4)</f>
        <v>ebd7</v>
      </c>
      <c r="P379" s="94" t="s">
        <v>0</v>
      </c>
      <c r="Q379" s="78" t="s">
        <v>0</v>
      </c>
      <c r="R379" s="103" t="s">
        <v>0</v>
      </c>
      <c r="S379" s="103" t="s">
        <v>0</v>
      </c>
      <c r="T379" s="42" t="s">
        <v>1</v>
      </c>
    </row>
    <row r="380" spans="1:20" ht="12.75">
      <c r="A380" s="44">
        <v>3733</v>
      </c>
      <c r="B380" s="886">
        <v>7466</v>
      </c>
      <c r="C380" s="886">
        <v>13935289</v>
      </c>
      <c r="D380" s="950" t="s">
        <v>2496</v>
      </c>
      <c r="E380" s="115">
        <f>B380-MOD(E$1-A380*3,B380)</f>
        <v>5921</v>
      </c>
      <c r="F380" s="644">
        <f>IF(MOD(E380,5)=0,B380,0)+E380</f>
        <v>5921</v>
      </c>
      <c r="G380" s="814">
        <f>IF(MOD(F380+$B380,5)=0,$B380,0)+$B380+F380</f>
        <v>13387</v>
      </c>
      <c r="H380" s="785">
        <f>IF(MOD(G380+$B380,5)=0,$B380,0)+$B380+G380</f>
        <v>20853</v>
      </c>
      <c r="I380" s="785">
        <f>IF(MOD(H380+$B380,5)=0,$B380,0)+$B380+H380</f>
        <v>28319</v>
      </c>
      <c r="J380" s="911">
        <v>592</v>
      </c>
      <c r="K380" s="892">
        <v>1338</v>
      </c>
      <c r="L380" s="785">
        <v>2085</v>
      </c>
      <c r="M380" s="785">
        <v>2831</v>
      </c>
      <c r="N380" s="23" t="str">
        <f>D380&amp;FIXED(MOD(F380,10),0)</f>
        <v>hh31</v>
      </c>
      <c r="O380" s="78" t="str">
        <f>MID(A$5,((FIND(N380,A$4,1)-1)+1),4)</f>
        <v>7dbe</v>
      </c>
      <c r="P380" s="94" t="s">
        <v>0</v>
      </c>
      <c r="Q380" s="78" t="s">
        <v>0</v>
      </c>
      <c r="R380" s="103" t="s">
        <v>0</v>
      </c>
      <c r="S380" s="103" t="s">
        <v>0</v>
      </c>
      <c r="T380" s="42" t="s">
        <v>1</v>
      </c>
    </row>
    <row r="381" spans="1:20" ht="12.75">
      <c r="A381" s="44">
        <v>3739</v>
      </c>
      <c r="B381" s="886">
        <v>7478</v>
      </c>
      <c r="C381" s="886">
        <v>13980121</v>
      </c>
      <c r="D381" s="950" t="s">
        <v>2506</v>
      </c>
      <c r="E381" s="115">
        <f>B381-MOD(E$1-A381*3,B381)</f>
        <v>7035</v>
      </c>
      <c r="F381" s="644">
        <f>IF(MOD(E381,5)=0,B381,0)+E381</f>
        <v>14513</v>
      </c>
      <c r="G381" s="814">
        <f>IF(MOD(F381+$B381,5)=0,$B381,0)+$B381+F381</f>
        <v>21991</v>
      </c>
      <c r="H381" s="785">
        <f>IF(MOD(G381+$B381,5)=0,$B381,0)+$B381+G381</f>
        <v>29469</v>
      </c>
      <c r="I381" s="785">
        <f>IF(MOD(H381+$B381,5)=0,$B381,0)+$B381+H381</f>
        <v>36947</v>
      </c>
      <c r="J381" s="911">
        <v>1451</v>
      </c>
      <c r="K381" s="892">
        <v>2199</v>
      </c>
      <c r="L381" s="785">
        <v>2946</v>
      </c>
      <c r="M381" s="785">
        <v>3694</v>
      </c>
      <c r="N381" s="23" t="str">
        <f>D381&amp;FIXED(MOD(F381,10),0)</f>
        <v>hh93</v>
      </c>
      <c r="O381" s="78" t="str">
        <f>MID(A$5,((FIND(N381,A$4,1)-1)+1),4)</f>
        <v>b7ed</v>
      </c>
      <c r="P381" s="94" t="s">
        <v>0</v>
      </c>
      <c r="Q381" s="78" t="s">
        <v>0</v>
      </c>
      <c r="R381" s="103" t="s">
        <v>0</v>
      </c>
      <c r="S381" s="103" t="s">
        <v>0</v>
      </c>
      <c r="T381" s="42" t="s">
        <v>1</v>
      </c>
    </row>
    <row r="382" spans="1:20" ht="12.75">
      <c r="A382" s="44">
        <v>3761</v>
      </c>
      <c r="B382" s="886">
        <v>7522</v>
      </c>
      <c r="C382" s="886">
        <v>14145121</v>
      </c>
      <c r="D382" s="950" t="s">
        <v>2490</v>
      </c>
      <c r="E382" s="115">
        <f>B382-MOD(E$1-A382*3,B382)</f>
        <v>2351</v>
      </c>
      <c r="F382" s="644">
        <f>IF(MOD(E382,5)=0,B382,0)+E382</f>
        <v>2351</v>
      </c>
      <c r="G382" s="814">
        <f>IF(MOD(F382+$B382,5)=0,$B382,0)+$B382+F382</f>
        <v>9873</v>
      </c>
      <c r="H382" s="785">
        <f>IF(MOD(G382+$B382,5)=0,$B382,0)+$B382+G382</f>
        <v>24917</v>
      </c>
      <c r="I382" s="785">
        <f>IF(MOD(H382+$B382,5)=0,$B382,0)+$B382+H382</f>
        <v>32439</v>
      </c>
      <c r="J382" s="911">
        <v>235</v>
      </c>
      <c r="K382" s="892">
        <v>987</v>
      </c>
      <c r="L382" s="785">
        <v>2491</v>
      </c>
      <c r="M382" s="785">
        <v>3243</v>
      </c>
      <c r="N382" s="23" t="str">
        <f>D382&amp;FIXED(MOD(F382,10),0)</f>
        <v>hh11</v>
      </c>
      <c r="O382" s="78" t="str">
        <f>MID(A$5,((FIND(N382,A$4,1)-1)+1),4)</f>
        <v>7bde</v>
      </c>
      <c r="P382" s="94" t="s">
        <v>0</v>
      </c>
      <c r="Q382" s="78" t="s">
        <v>0</v>
      </c>
      <c r="R382" s="103" t="s">
        <v>0</v>
      </c>
      <c r="S382" s="103" t="s">
        <v>0</v>
      </c>
      <c r="T382" s="42" t="s">
        <v>1</v>
      </c>
    </row>
    <row r="383" spans="1:20" ht="12.75">
      <c r="A383" s="44">
        <v>3767</v>
      </c>
      <c r="B383" s="886">
        <v>7534</v>
      </c>
      <c r="C383" s="886">
        <v>14190289</v>
      </c>
      <c r="D383" s="950" t="s">
        <v>2501</v>
      </c>
      <c r="E383" s="115">
        <f>B383-MOD(E$1-A383*3,B383)</f>
        <v>111</v>
      </c>
      <c r="F383" s="644">
        <f>IF(MOD(E383,5)=0,B383,0)+E383</f>
        <v>111</v>
      </c>
      <c r="G383" s="814">
        <f>IF(MOD(F383+$B383,5)=0,$B383,0)+$B383+F383</f>
        <v>15179</v>
      </c>
      <c r="H383" s="785">
        <f>IF(MOD(G383+$B383,5)=0,$B383,0)+$B383+G383</f>
        <v>22713</v>
      </c>
      <c r="I383" s="785">
        <f>IF(MOD(H383+$B383,5)=0,$B383,0)+$B383+H383</f>
        <v>30247</v>
      </c>
      <c r="J383" s="911">
        <v>11</v>
      </c>
      <c r="K383" s="892">
        <v>1517</v>
      </c>
      <c r="L383" s="785">
        <v>2271</v>
      </c>
      <c r="M383" s="785">
        <v>3024</v>
      </c>
      <c r="N383" s="23" t="str">
        <f>D383&amp;FIXED(MOD(F383,10),0)</f>
        <v>hh71</v>
      </c>
      <c r="O383" s="78" t="str">
        <f>MID(A$5,((FIND(N383,A$4,1)-1)+1),4)</f>
        <v>7ebd</v>
      </c>
      <c r="P383" s="94" t="s">
        <v>0</v>
      </c>
      <c r="Q383" s="78" t="s">
        <v>0</v>
      </c>
      <c r="R383" s="103" t="s">
        <v>0</v>
      </c>
      <c r="S383" s="103" t="s">
        <v>0</v>
      </c>
      <c r="T383" s="42" t="s">
        <v>1</v>
      </c>
    </row>
    <row r="384" spans="1:20" ht="12.75">
      <c r="A384" s="44">
        <v>3769</v>
      </c>
      <c r="B384" s="886">
        <v>7538</v>
      </c>
      <c r="C384" s="886">
        <v>14205361</v>
      </c>
      <c r="D384" s="950" t="s">
        <v>2506</v>
      </c>
      <c r="E384" s="115">
        <f>B384-MOD(E$1-A384*3,B384)</f>
        <v>6655</v>
      </c>
      <c r="F384" s="644">
        <f>IF(MOD(E384,5)=0,B384,0)+E384</f>
        <v>14193</v>
      </c>
      <c r="G384" s="814">
        <f>IF(MOD(F384+$B384,5)=0,$B384,0)+$B384+F384</f>
        <v>21731</v>
      </c>
      <c r="H384" s="785">
        <f>IF(MOD(G384+$B384,5)=0,$B384,0)+$B384+G384</f>
        <v>29269</v>
      </c>
      <c r="I384" s="785">
        <f>IF(MOD(H384+$B384,5)=0,$B384,0)+$B384+H384</f>
        <v>36807</v>
      </c>
      <c r="J384" s="911">
        <v>1419</v>
      </c>
      <c r="K384" s="892">
        <v>2173</v>
      </c>
      <c r="L384" s="785">
        <v>2926</v>
      </c>
      <c r="M384" s="785">
        <v>3680</v>
      </c>
      <c r="N384" s="23" t="str">
        <f>D384&amp;FIXED(MOD(F384,10),0)</f>
        <v>hh93</v>
      </c>
      <c r="O384" s="78" t="str">
        <f>MID(A$5,((FIND(N384,A$4,1)-1)+1),4)</f>
        <v>b7ed</v>
      </c>
      <c r="P384" s="94" t="s">
        <v>0</v>
      </c>
      <c r="Q384" s="78" t="s">
        <v>0</v>
      </c>
      <c r="R384" s="103" t="s">
        <v>0</v>
      </c>
      <c r="S384" s="103" t="s">
        <v>0</v>
      </c>
      <c r="T384" s="42" t="s">
        <v>1</v>
      </c>
    </row>
    <row r="385" spans="1:20" ht="12.75">
      <c r="A385" s="44">
        <v>3779</v>
      </c>
      <c r="B385" s="886">
        <v>7558</v>
      </c>
      <c r="C385" s="886">
        <v>14280841</v>
      </c>
      <c r="D385" s="950" t="s">
        <v>2506</v>
      </c>
      <c r="E385" s="115">
        <f>B385-MOD(E$1-A385*3,B385)</f>
        <v>5165</v>
      </c>
      <c r="F385" s="644">
        <f>IF(MOD(E385,5)=0,B385,0)+E385</f>
        <v>12723</v>
      </c>
      <c r="G385" s="814">
        <f>IF(MOD(F385+$B385,5)=0,$B385,0)+$B385+F385</f>
        <v>20281</v>
      </c>
      <c r="H385" s="785">
        <f>IF(MOD(G385+$B385,5)=0,$B385,0)+$B385+G385</f>
        <v>27839</v>
      </c>
      <c r="I385" s="785">
        <f>IF(MOD(H385+$B385,5)=0,$B385,0)+$B385+H385</f>
        <v>35397</v>
      </c>
      <c r="J385" s="911">
        <v>1272</v>
      </c>
      <c r="K385" s="892">
        <v>2028</v>
      </c>
      <c r="L385" s="785">
        <v>2783</v>
      </c>
      <c r="M385" s="785">
        <v>3539</v>
      </c>
      <c r="N385" s="23" t="str">
        <f>D385&amp;FIXED(MOD(F385,10),0)</f>
        <v>hh93</v>
      </c>
      <c r="O385" s="78" t="str">
        <f>MID(A$5,((FIND(N385,A$4,1)-1)+1),4)</f>
        <v>b7ed</v>
      </c>
      <c r="P385" s="94" t="s">
        <v>0</v>
      </c>
      <c r="Q385" s="78" t="s">
        <v>0</v>
      </c>
      <c r="R385" s="103" t="s">
        <v>0</v>
      </c>
      <c r="S385" s="103" t="s">
        <v>0</v>
      </c>
      <c r="T385" s="42" t="s">
        <v>1</v>
      </c>
    </row>
    <row r="386" spans="1:20" ht="12.75">
      <c r="A386" s="44">
        <v>3793</v>
      </c>
      <c r="B386" s="886">
        <v>7586</v>
      </c>
      <c r="C386" s="886">
        <v>14386849</v>
      </c>
      <c r="D386" s="950" t="s">
        <v>2496</v>
      </c>
      <c r="E386" s="115">
        <f>B386-MOD(E$1-A386*3,B386)</f>
        <v>4115</v>
      </c>
      <c r="F386" s="644">
        <f>IF(MOD(E386,5)=0,B386,0)+E386</f>
        <v>11701</v>
      </c>
      <c r="G386" s="814">
        <f>IF(MOD(F386+$B386,5)=0,$B386,0)+$B386+F386</f>
        <v>19287</v>
      </c>
      <c r="H386" s="785">
        <f>IF(MOD(G386+$B386,5)=0,$B386,0)+$B386+G386</f>
        <v>26873</v>
      </c>
      <c r="I386" s="785">
        <f>IF(MOD(H386+$B386,5)=0,$B386,0)+$B386+H386</f>
        <v>34459</v>
      </c>
      <c r="J386" s="911">
        <v>1170</v>
      </c>
      <c r="K386" s="892">
        <v>1928</v>
      </c>
      <c r="L386" s="785">
        <v>2687</v>
      </c>
      <c r="M386" s="785">
        <v>3445</v>
      </c>
      <c r="N386" s="23" t="str">
        <f>D386&amp;FIXED(MOD(F386,10),0)</f>
        <v>hh31</v>
      </c>
      <c r="O386" s="78" t="str">
        <f>MID(A$5,((FIND(N386,A$4,1)-1)+1),4)</f>
        <v>7dbe</v>
      </c>
      <c r="P386" s="94" t="s">
        <v>0</v>
      </c>
      <c r="Q386" s="78" t="s">
        <v>0</v>
      </c>
      <c r="R386" s="103" t="s">
        <v>0</v>
      </c>
      <c r="S386" s="103" t="s">
        <v>0</v>
      </c>
      <c r="T386" s="42" t="s">
        <v>1</v>
      </c>
    </row>
    <row r="387" spans="1:20" ht="12.75">
      <c r="A387" s="44">
        <v>3797</v>
      </c>
      <c r="B387" s="886">
        <v>7594</v>
      </c>
      <c r="C387" s="886">
        <v>14417209</v>
      </c>
      <c r="D387" s="950" t="s">
        <v>2501</v>
      </c>
      <c r="E387" s="115">
        <f>B387-MOD(E$1-A387*3,B387)</f>
        <v>3599</v>
      </c>
      <c r="F387" s="644">
        <f>IF(MOD(E387,5)=0,B387,0)+E387</f>
        <v>3599</v>
      </c>
      <c r="G387" s="814">
        <f>IF(MOD(F387+$B387,5)=0,$B387,0)+$B387+F387</f>
        <v>11193</v>
      </c>
      <c r="H387" s="785">
        <f>IF(MOD(G387+$B387,5)=0,$B387,0)+$B387+G387</f>
        <v>18787</v>
      </c>
      <c r="I387" s="785">
        <f>IF(MOD(H387+$B387,5)=0,$B387,0)+$B387+H387</f>
        <v>26381</v>
      </c>
      <c r="J387" s="911">
        <v>359</v>
      </c>
      <c r="K387" s="892">
        <v>1119</v>
      </c>
      <c r="L387" s="785">
        <v>1878</v>
      </c>
      <c r="M387" s="785">
        <v>2638</v>
      </c>
      <c r="N387" s="23" t="str">
        <f>D387&amp;FIXED(MOD(F387,10),0)</f>
        <v>hh79</v>
      </c>
      <c r="O387" s="78" t="str">
        <f>MID(A$5,((FIND(N387,A$4,1)-1)+1),4)</f>
        <v>ebd7</v>
      </c>
      <c r="P387" s="94" t="s">
        <v>0</v>
      </c>
      <c r="Q387" s="78" t="s">
        <v>0</v>
      </c>
      <c r="R387" s="103" t="s">
        <v>0</v>
      </c>
      <c r="S387" s="103" t="s">
        <v>0</v>
      </c>
      <c r="T387" s="42" t="s">
        <v>1</v>
      </c>
    </row>
    <row r="388" spans="1:20" ht="12.75">
      <c r="A388" s="44">
        <v>3803</v>
      </c>
      <c r="B388" s="886">
        <v>7606</v>
      </c>
      <c r="C388" s="886">
        <v>14462809</v>
      </c>
      <c r="D388" s="950" t="s">
        <v>2496</v>
      </c>
      <c r="E388" s="115">
        <f>B388-MOD(E$1-A388*3,B388)</f>
        <v>3273</v>
      </c>
      <c r="F388" s="644">
        <f>IF(MOD(E388,5)=0,B388,0)+E388</f>
        <v>3273</v>
      </c>
      <c r="G388" s="814">
        <f>IF(MOD(F388+$B388,5)=0,$B388,0)+$B388+F388</f>
        <v>10879</v>
      </c>
      <c r="H388" s="785">
        <f>IF(MOD(G388+$B388,5)=0,$B388,0)+$B388+G388</f>
        <v>26091</v>
      </c>
      <c r="I388" s="785">
        <f>IF(MOD(H388+$B388,5)=0,$B388,0)+$B388+H388</f>
        <v>33697</v>
      </c>
      <c r="J388" s="911">
        <v>327</v>
      </c>
      <c r="K388" s="892">
        <v>1087</v>
      </c>
      <c r="L388" s="785">
        <v>2609</v>
      </c>
      <c r="M388" s="785">
        <v>3369</v>
      </c>
      <c r="N388" s="23" t="str">
        <f>D388&amp;FIXED(MOD(F388,10),0)</f>
        <v>hh33</v>
      </c>
      <c r="O388" s="78" t="str">
        <f>MID(A$5,((FIND(N388,A$4,1)-1)+1),4)</f>
        <v>be7d</v>
      </c>
      <c r="P388" s="94" t="s">
        <v>0</v>
      </c>
      <c r="Q388" s="78" t="s">
        <v>0</v>
      </c>
      <c r="R388" s="103" t="s">
        <v>0</v>
      </c>
      <c r="S388" s="103" t="s">
        <v>0</v>
      </c>
      <c r="T388" s="42" t="s">
        <v>1</v>
      </c>
    </row>
    <row r="389" spans="1:20" ht="12.75">
      <c r="A389" s="44">
        <v>3821</v>
      </c>
      <c r="B389" s="886">
        <v>7642</v>
      </c>
      <c r="C389" s="886">
        <v>14600041</v>
      </c>
      <c r="D389" s="950" t="s">
        <v>2490</v>
      </c>
      <c r="E389" s="115">
        <f>B389-MOD(E$1-A389*3,B389)</f>
        <v>3271</v>
      </c>
      <c r="F389" s="644">
        <f>IF(MOD(E389,5)=0,B389,0)+E389</f>
        <v>3271</v>
      </c>
      <c r="G389" s="814">
        <f>IF(MOD(F389+$B389,5)=0,$B389,0)+$B389+F389</f>
        <v>10913</v>
      </c>
      <c r="H389" s="785">
        <f>IF(MOD(G389+$B389,5)=0,$B389,0)+$B389+G389</f>
        <v>26197</v>
      </c>
      <c r="I389" s="785">
        <f>IF(MOD(H389+$B389,5)=0,$B389,0)+$B389+H389</f>
        <v>33839</v>
      </c>
      <c r="J389" s="911">
        <v>327</v>
      </c>
      <c r="K389" s="892">
        <v>1091</v>
      </c>
      <c r="L389" s="785">
        <v>2619</v>
      </c>
      <c r="M389" s="785">
        <v>3383</v>
      </c>
      <c r="N389" s="23" t="str">
        <f>D389&amp;FIXED(MOD(F389,10),0)</f>
        <v>hh11</v>
      </c>
      <c r="O389" s="78" t="str">
        <f>MID(A$5,((FIND(N389,A$4,1)-1)+1),4)</f>
        <v>7bde</v>
      </c>
      <c r="P389" s="94" t="s">
        <v>0</v>
      </c>
      <c r="Q389" s="78" t="s">
        <v>0</v>
      </c>
      <c r="R389" s="103" t="s">
        <v>0</v>
      </c>
      <c r="S389" s="103" t="s">
        <v>0</v>
      </c>
      <c r="T389" s="42" t="s">
        <v>1</v>
      </c>
    </row>
    <row r="390" spans="1:20" ht="12.75">
      <c r="A390" s="44">
        <v>3823</v>
      </c>
      <c r="B390" s="886">
        <v>7646</v>
      </c>
      <c r="C390" s="886">
        <v>14615329</v>
      </c>
      <c r="D390" s="950" t="s">
        <v>2496</v>
      </c>
      <c r="E390" s="115">
        <f>B390-MOD(E$1-A390*3,B390)</f>
        <v>771</v>
      </c>
      <c r="F390" s="644">
        <f>IF(MOD(E390,5)=0,B390,0)+E390</f>
        <v>771</v>
      </c>
      <c r="G390" s="814">
        <f>IF(MOD(F390+$B390,5)=0,$B390,0)+$B390+F390</f>
        <v>8417</v>
      </c>
      <c r="H390" s="785">
        <f>IF(MOD(G390+$B390,5)=0,$B390,0)+$B390+G390</f>
        <v>16063</v>
      </c>
      <c r="I390" s="785">
        <f>IF(MOD(H390+$B390,5)=0,$B390,0)+$B390+H390</f>
        <v>23709</v>
      </c>
      <c r="J390" s="911">
        <v>77</v>
      </c>
      <c r="K390" s="892">
        <v>841</v>
      </c>
      <c r="L390" s="785">
        <v>1606</v>
      </c>
      <c r="M390" s="785">
        <v>2370</v>
      </c>
      <c r="N390" s="23" t="str">
        <f>D390&amp;FIXED(MOD(F390,10),0)</f>
        <v>hh31</v>
      </c>
      <c r="O390" s="78" t="str">
        <f>MID(A$5,((FIND(N390,A$4,1)-1)+1),4)</f>
        <v>7dbe</v>
      </c>
      <c r="P390" s="94" t="s">
        <v>0</v>
      </c>
      <c r="Q390" s="78" t="s">
        <v>0</v>
      </c>
      <c r="R390" s="103" t="s">
        <v>0</v>
      </c>
      <c r="S390" s="103" t="s">
        <v>0</v>
      </c>
      <c r="T390" s="42" t="s">
        <v>1</v>
      </c>
    </row>
    <row r="391" spans="1:20" ht="12.75">
      <c r="A391" s="44">
        <v>3833</v>
      </c>
      <c r="B391" s="886">
        <v>7666</v>
      </c>
      <c r="C391" s="886">
        <v>14691889</v>
      </c>
      <c r="D391" s="950" t="s">
        <v>2496</v>
      </c>
      <c r="E391" s="115">
        <f>B391-MOD(E$1-A391*3,B391)</f>
        <v>6735</v>
      </c>
      <c r="F391" s="644">
        <f>IF(MOD(E391,5)=0,B391,0)+E391</f>
        <v>14401</v>
      </c>
      <c r="G391" s="814">
        <f>IF(MOD(F391+$B391,5)=0,$B391,0)+$B391+F391</f>
        <v>22067</v>
      </c>
      <c r="H391" s="785">
        <f>IF(MOD(G391+$B391,5)=0,$B391,0)+$B391+G391</f>
        <v>29733</v>
      </c>
      <c r="I391" s="785">
        <f>IF(MOD(H391+$B391,5)=0,$B391,0)+$B391+H391</f>
        <v>37399</v>
      </c>
      <c r="J391" s="911">
        <v>1440</v>
      </c>
      <c r="K391" s="892">
        <v>2206</v>
      </c>
      <c r="L391" s="785">
        <v>2973</v>
      </c>
      <c r="M391" s="785">
        <v>3739</v>
      </c>
      <c r="N391" s="23" t="str">
        <f>D391&amp;FIXED(MOD(F391,10),0)</f>
        <v>hh31</v>
      </c>
      <c r="O391" s="78" t="str">
        <f>MID(A$5,((FIND(N391,A$4,1)-1)+1),4)</f>
        <v>7dbe</v>
      </c>
      <c r="P391" s="94" t="s">
        <v>0</v>
      </c>
      <c r="Q391" s="78" t="s">
        <v>0</v>
      </c>
      <c r="R391" s="103" t="s">
        <v>0</v>
      </c>
      <c r="S391" s="103" t="s">
        <v>0</v>
      </c>
      <c r="T391" s="42" t="s">
        <v>1</v>
      </c>
    </row>
    <row r="392" spans="1:20" ht="12.75">
      <c r="A392" s="44">
        <v>3847</v>
      </c>
      <c r="B392" s="886">
        <v>7694</v>
      </c>
      <c r="C392" s="886">
        <v>14799409</v>
      </c>
      <c r="D392" s="950" t="s">
        <v>2501</v>
      </c>
      <c r="E392" s="115">
        <f>B392-MOD(E$1-A392*3,B392)</f>
        <v>515</v>
      </c>
      <c r="F392" s="644">
        <f>IF(MOD(E392,5)=0,B392,0)+E392</f>
        <v>8209</v>
      </c>
      <c r="G392" s="814">
        <f>IF(MOD(F392+$B392,5)=0,$B392,0)+$B392+F392</f>
        <v>15903</v>
      </c>
      <c r="H392" s="785">
        <f>IF(MOD(G392+$B392,5)=0,$B392,0)+$B392+G392</f>
        <v>23597</v>
      </c>
      <c r="I392" s="785">
        <f>IF(MOD(H392+$B392,5)=0,$B392,0)+$B392+H392</f>
        <v>31291</v>
      </c>
      <c r="J392" s="911">
        <v>820</v>
      </c>
      <c r="K392" s="892">
        <v>1590</v>
      </c>
      <c r="L392" s="785">
        <v>2359</v>
      </c>
      <c r="M392" s="785">
        <v>3129</v>
      </c>
      <c r="N392" s="23" t="str">
        <f>D392&amp;FIXED(MOD(F392,10),0)</f>
        <v>hh79</v>
      </c>
      <c r="O392" s="78" t="str">
        <f>MID(A$5,((FIND(N392,A$4,1)-1)+1),4)</f>
        <v>ebd7</v>
      </c>
      <c r="P392" s="94" t="s">
        <v>0</v>
      </c>
      <c r="Q392" s="78" t="s">
        <v>0</v>
      </c>
      <c r="R392" s="103" t="s">
        <v>0</v>
      </c>
      <c r="S392" s="103" t="s">
        <v>0</v>
      </c>
      <c r="T392" s="42" t="s">
        <v>1</v>
      </c>
    </row>
    <row r="393" spans="1:20" ht="12.75">
      <c r="A393" s="44">
        <v>3851</v>
      </c>
      <c r="B393" s="886">
        <v>7702</v>
      </c>
      <c r="C393" s="886">
        <v>14830201</v>
      </c>
      <c r="D393" s="950" t="s">
        <v>2490</v>
      </c>
      <c r="E393" s="115">
        <f>B393-MOD(E$1-A393*3,B393)</f>
        <v>3141</v>
      </c>
      <c r="F393" s="644">
        <f>IF(MOD(E393,5)=0,B393,0)+E393</f>
        <v>3141</v>
      </c>
      <c r="G393" s="814">
        <f>IF(MOD(F393+$B393,5)=0,$B393,0)+$B393+F393</f>
        <v>10843</v>
      </c>
      <c r="H393" s="785">
        <f>IF(MOD(G393+$B393,5)=0,$B393,0)+$B393+G393</f>
        <v>26247</v>
      </c>
      <c r="I393" s="785">
        <f>IF(MOD(H393+$B393,5)=0,$B393,0)+$B393+H393</f>
        <v>33949</v>
      </c>
      <c r="J393" s="911">
        <v>314</v>
      </c>
      <c r="K393" s="892">
        <v>1084</v>
      </c>
      <c r="L393" s="785">
        <v>2624</v>
      </c>
      <c r="M393" s="785">
        <v>3394</v>
      </c>
      <c r="N393" s="23" t="str">
        <f>D393&amp;FIXED(MOD(F393,10),0)</f>
        <v>hh11</v>
      </c>
      <c r="O393" s="78" t="str">
        <f>MID(A$5,((FIND(N393,A$4,1)-1)+1),4)</f>
        <v>7bde</v>
      </c>
      <c r="P393" s="94" t="s">
        <v>0</v>
      </c>
      <c r="Q393" s="78" t="s">
        <v>0</v>
      </c>
      <c r="R393" s="103" t="s">
        <v>0</v>
      </c>
      <c r="S393" s="103" t="s">
        <v>0</v>
      </c>
      <c r="T393" s="42" t="s">
        <v>1</v>
      </c>
    </row>
    <row r="394" spans="1:20" ht="12.75">
      <c r="A394" s="44">
        <v>3853</v>
      </c>
      <c r="B394" s="886">
        <v>7706</v>
      </c>
      <c r="C394" s="886">
        <v>14845609</v>
      </c>
      <c r="D394" s="950" t="s">
        <v>2496</v>
      </c>
      <c r="E394" s="115">
        <f>B394-MOD(E$1-A394*3,B394)</f>
        <v>1117</v>
      </c>
      <c r="F394" s="644">
        <f>IF(MOD(E394,5)=0,B394,0)+E394</f>
        <v>1117</v>
      </c>
      <c r="G394" s="814">
        <f>IF(MOD(F394+$B394,5)=0,$B394,0)+$B394+F394</f>
        <v>8823</v>
      </c>
      <c r="H394" s="785">
        <f>IF(MOD(G394+$B394,5)=0,$B394,0)+$B394+G394</f>
        <v>16529</v>
      </c>
      <c r="I394" s="785">
        <f>IF(MOD(H394+$B394,5)=0,$B394,0)+$B394+H394</f>
        <v>31941</v>
      </c>
      <c r="J394" s="911">
        <v>111</v>
      </c>
      <c r="K394" s="892">
        <v>882</v>
      </c>
      <c r="L394" s="785">
        <v>1652</v>
      </c>
      <c r="M394" s="785">
        <v>3194</v>
      </c>
      <c r="N394" s="23" t="str">
        <f>D394&amp;FIXED(MOD(F394,10),0)</f>
        <v>hh37</v>
      </c>
      <c r="O394" s="78" t="str">
        <f>MID(A$5,((FIND(N394,A$4,1)-1)+1),4)</f>
        <v>dbe7</v>
      </c>
      <c r="P394" s="94" t="s">
        <v>0</v>
      </c>
      <c r="Q394" s="78" t="s">
        <v>0</v>
      </c>
      <c r="R394" s="103" t="s">
        <v>0</v>
      </c>
      <c r="S394" s="103" t="s">
        <v>0</v>
      </c>
      <c r="T394" s="42" t="s">
        <v>1</v>
      </c>
    </row>
    <row r="395" spans="1:20" ht="12.75">
      <c r="A395" s="44">
        <v>3863</v>
      </c>
      <c r="B395" s="886">
        <v>7726</v>
      </c>
      <c r="C395" s="886">
        <v>14922769</v>
      </c>
      <c r="D395" s="950" t="s">
        <v>2496</v>
      </c>
      <c r="E395" s="115">
        <f>B395-MOD(E$1-A395*3,B395)</f>
        <v>805</v>
      </c>
      <c r="F395" s="644">
        <f>IF(MOD(E395,5)=0,B395,0)+E395</f>
        <v>8531</v>
      </c>
      <c r="G395" s="814">
        <f>IF(MOD(F395+$B395,5)=0,$B395,0)+$B395+F395</f>
        <v>16257</v>
      </c>
      <c r="H395" s="785">
        <f>IF(MOD(G395+$B395,5)=0,$B395,0)+$B395+G395</f>
        <v>23983</v>
      </c>
      <c r="I395" s="785">
        <f>IF(MOD(H395+$B395,5)=0,$B395,0)+$B395+H395</f>
        <v>31709</v>
      </c>
      <c r="J395" s="911">
        <v>853</v>
      </c>
      <c r="K395" s="892">
        <v>1625</v>
      </c>
      <c r="L395" s="785">
        <v>2398</v>
      </c>
      <c r="M395" s="785">
        <v>3170</v>
      </c>
      <c r="N395" s="23" t="str">
        <f>D395&amp;FIXED(MOD(F395,10),0)</f>
        <v>hh31</v>
      </c>
      <c r="O395" s="78" t="str">
        <f>MID(A$5,((FIND(N395,A$4,1)-1)+1),4)</f>
        <v>7dbe</v>
      </c>
      <c r="P395" s="94" t="s">
        <v>0</v>
      </c>
      <c r="Q395" s="78" t="s">
        <v>0</v>
      </c>
      <c r="R395" s="103" t="s">
        <v>0</v>
      </c>
      <c r="S395" s="103" t="s">
        <v>0</v>
      </c>
      <c r="T395" s="42" t="s">
        <v>1</v>
      </c>
    </row>
    <row r="396" spans="1:20" ht="12.75">
      <c r="A396" s="44">
        <v>3877</v>
      </c>
      <c r="B396" s="886">
        <v>7754</v>
      </c>
      <c r="C396" s="886">
        <v>15031129</v>
      </c>
      <c r="D396" s="950" t="s">
        <v>2501</v>
      </c>
      <c r="E396" s="115">
        <f>B396-MOD(E$1-A396*3,B396)</f>
        <v>6059</v>
      </c>
      <c r="F396" s="644">
        <f>IF(MOD(E396,5)=0,B396,0)+E396</f>
        <v>6059</v>
      </c>
      <c r="G396" s="814">
        <f>IF(MOD(F396+$B396,5)=0,$B396,0)+$B396+F396</f>
        <v>13813</v>
      </c>
      <c r="H396" s="785">
        <f>IF(MOD(G396+$B396,5)=0,$B396,0)+$B396+G396</f>
        <v>21567</v>
      </c>
      <c r="I396" s="785">
        <f>IF(MOD(H396+$B396,5)=0,$B396,0)+$B396+H396</f>
        <v>29321</v>
      </c>
      <c r="J396" s="911">
        <v>605</v>
      </c>
      <c r="K396" s="892">
        <v>1381</v>
      </c>
      <c r="L396" s="785">
        <v>2156</v>
      </c>
      <c r="M396" s="785">
        <v>2932</v>
      </c>
      <c r="N396" s="23" t="str">
        <f>D396&amp;FIXED(MOD(F396,10),0)</f>
        <v>hh79</v>
      </c>
      <c r="O396" s="78" t="str">
        <f>MID(A$5,((FIND(N396,A$4,1)-1)+1),4)</f>
        <v>ebd7</v>
      </c>
      <c r="P396" s="94" t="s">
        <v>0</v>
      </c>
      <c r="Q396" s="78" t="s">
        <v>0</v>
      </c>
      <c r="R396" s="103" t="s">
        <v>0</v>
      </c>
      <c r="S396" s="103" t="s">
        <v>0</v>
      </c>
      <c r="T396" s="42" t="s">
        <v>1</v>
      </c>
    </row>
    <row r="397" spans="1:20" ht="12.75">
      <c r="A397" s="44">
        <v>3881</v>
      </c>
      <c r="B397" s="886">
        <v>7762</v>
      </c>
      <c r="C397" s="886">
        <v>15062161</v>
      </c>
      <c r="D397" s="950" t="s">
        <v>2490</v>
      </c>
      <c r="E397" s="115">
        <f>B397-MOD(E$1-A397*3,B397)</f>
        <v>5643</v>
      </c>
      <c r="F397" s="644">
        <f>IF(MOD(E397,5)=0,B397,0)+E397</f>
        <v>5643</v>
      </c>
      <c r="G397" s="814">
        <f>IF(MOD(F397+$B397,5)=0,$B397,0)+$B397+F397</f>
        <v>21167</v>
      </c>
      <c r="H397" s="785">
        <f>IF(MOD(G397+$B397,5)=0,$B397,0)+$B397+G397</f>
        <v>28929</v>
      </c>
      <c r="I397" s="785">
        <f>IF(MOD(H397+$B397,5)=0,$B397,0)+$B397+H397</f>
        <v>36691</v>
      </c>
      <c r="J397" s="911">
        <v>564</v>
      </c>
      <c r="K397" s="892">
        <v>2116</v>
      </c>
      <c r="L397" s="785">
        <v>2892</v>
      </c>
      <c r="M397" s="785">
        <v>3669</v>
      </c>
      <c r="N397" s="23" t="str">
        <f>D397&amp;FIXED(MOD(F397,10),0)</f>
        <v>hh13</v>
      </c>
      <c r="O397" s="78" t="str">
        <f>MID(A$5,((FIND(N397,A$4,1)-1)+1),4)</f>
        <v>bde7</v>
      </c>
      <c r="P397" s="94" t="s">
        <v>0</v>
      </c>
      <c r="Q397" s="78" t="s">
        <v>0</v>
      </c>
      <c r="R397" s="103" t="s">
        <v>0</v>
      </c>
      <c r="S397" s="103" t="s">
        <v>0</v>
      </c>
      <c r="T397" s="42" t="s">
        <v>1</v>
      </c>
    </row>
    <row r="398" spans="1:20" ht="12.75">
      <c r="A398" s="44">
        <v>3889</v>
      </c>
      <c r="B398" s="886">
        <v>7778</v>
      </c>
      <c r="C398" s="886">
        <v>15124321</v>
      </c>
      <c r="D398" s="950" t="s">
        <v>2506</v>
      </c>
      <c r="E398" s="115">
        <f>B398-MOD(E$1-A398*3,B398)</f>
        <v>3873</v>
      </c>
      <c r="F398" s="644">
        <f>IF(MOD(E398,5)=0,B398,0)+E398</f>
        <v>3873</v>
      </c>
      <c r="G398" s="814">
        <f>IF(MOD(F398+$B398,5)=0,$B398,0)+$B398+F398</f>
        <v>11651</v>
      </c>
      <c r="H398" s="785">
        <f>IF(MOD(G398+$B398,5)=0,$B398,0)+$B398+G398</f>
        <v>19429</v>
      </c>
      <c r="I398" s="785">
        <f>IF(MOD(H398+$B398,5)=0,$B398,0)+$B398+H398</f>
        <v>27207</v>
      </c>
      <c r="J398" s="911">
        <v>387</v>
      </c>
      <c r="K398" s="892">
        <v>1165</v>
      </c>
      <c r="L398" s="785">
        <v>1942</v>
      </c>
      <c r="M398" s="785">
        <v>2720</v>
      </c>
      <c r="N398" s="23" t="str">
        <f>D398&amp;FIXED(MOD(F398,10),0)</f>
        <v>hh93</v>
      </c>
      <c r="O398" s="78" t="str">
        <f>MID(A$5,((FIND(N398,A$4,1)-1)+1),4)</f>
        <v>b7ed</v>
      </c>
      <c r="P398" s="94" t="s">
        <v>0</v>
      </c>
      <c r="Q398" s="78" t="s">
        <v>0</v>
      </c>
      <c r="R398" s="103" t="s">
        <v>0</v>
      </c>
      <c r="S398" s="103" t="s">
        <v>0</v>
      </c>
      <c r="T398" s="42" t="s">
        <v>1</v>
      </c>
    </row>
    <row r="399" spans="1:20" ht="12.75">
      <c r="A399" s="44">
        <v>3907</v>
      </c>
      <c r="B399" s="886">
        <v>7814</v>
      </c>
      <c r="C399" s="886">
        <v>15264649</v>
      </c>
      <c r="D399" s="950" t="s">
        <v>2501</v>
      </c>
      <c r="E399" s="115">
        <f>B399-MOD(E$1-A399*3,B399)</f>
        <v>3167</v>
      </c>
      <c r="F399" s="644">
        <f>IF(MOD(E399,5)=0,B399,0)+E399</f>
        <v>3167</v>
      </c>
      <c r="G399" s="814">
        <f>IF(MOD(F399+$B399,5)=0,$B399,0)+$B399+F399</f>
        <v>10981</v>
      </c>
      <c r="H399" s="785">
        <f>IF(MOD(G399+$B399,5)=0,$B399,0)+$B399+G399</f>
        <v>26609</v>
      </c>
      <c r="I399" s="785">
        <f>IF(MOD(H399+$B399,5)=0,$B399,0)+$B399+H399</f>
        <v>34423</v>
      </c>
      <c r="J399" s="911">
        <v>316</v>
      </c>
      <c r="K399" s="892">
        <v>1098</v>
      </c>
      <c r="L399" s="785">
        <v>2660</v>
      </c>
      <c r="M399" s="785">
        <v>3442</v>
      </c>
      <c r="N399" s="23" t="str">
        <f>D399&amp;FIXED(MOD(F399,10),0)</f>
        <v>hh77</v>
      </c>
      <c r="O399" s="78" t="str">
        <f>MID(A$5,((FIND(N399,A$4,1)-1)+1),4)</f>
        <v>d7eb</v>
      </c>
      <c r="P399" s="94" t="s">
        <v>0</v>
      </c>
      <c r="Q399" s="78" t="s">
        <v>0</v>
      </c>
      <c r="R399" s="103" t="s">
        <v>0</v>
      </c>
      <c r="S399" s="103" t="s">
        <v>0</v>
      </c>
      <c r="T399" s="42" t="s">
        <v>1</v>
      </c>
    </row>
    <row r="400" spans="1:20" ht="12.75">
      <c r="A400" s="44">
        <v>3911</v>
      </c>
      <c r="B400" s="886">
        <v>7822</v>
      </c>
      <c r="C400" s="886">
        <v>15295921</v>
      </c>
      <c r="D400" s="950" t="s">
        <v>2490</v>
      </c>
      <c r="E400" s="115">
        <f>B400-MOD(E$1-A400*3,B400)</f>
        <v>4061</v>
      </c>
      <c r="F400" s="644">
        <f>IF(MOD(E400,5)=0,B400,0)+E400</f>
        <v>4061</v>
      </c>
      <c r="G400" s="814">
        <f>IF(MOD(F400+$B400,5)=0,$B400,0)+$B400+F400</f>
        <v>11883</v>
      </c>
      <c r="H400" s="785">
        <f>IF(MOD(G400+$B400,5)=0,$B400,0)+$B400+G400</f>
        <v>27527</v>
      </c>
      <c r="I400" s="785">
        <f>IF(MOD(H400+$B400,5)=0,$B400,0)+$B400+H400</f>
        <v>35349</v>
      </c>
      <c r="J400" s="911">
        <v>406</v>
      </c>
      <c r="K400" s="892">
        <v>1188</v>
      </c>
      <c r="L400" s="785">
        <v>2752</v>
      </c>
      <c r="M400" s="785">
        <v>3534</v>
      </c>
      <c r="N400" s="23" t="str">
        <f>D400&amp;FIXED(MOD(F400,10),0)</f>
        <v>hh11</v>
      </c>
      <c r="O400" s="78" t="str">
        <f>MID(A$5,((FIND(N400,A$4,1)-1)+1),4)</f>
        <v>7bde</v>
      </c>
      <c r="P400" s="94" t="s">
        <v>0</v>
      </c>
      <c r="Q400" s="78" t="s">
        <v>0</v>
      </c>
      <c r="R400" s="103" t="s">
        <v>0</v>
      </c>
      <c r="S400" s="103" t="s">
        <v>0</v>
      </c>
      <c r="T400" s="42" t="s">
        <v>1</v>
      </c>
    </row>
    <row r="401" spans="1:20" ht="12.75">
      <c r="A401" s="44">
        <v>3917</v>
      </c>
      <c r="B401" s="886">
        <v>7834</v>
      </c>
      <c r="C401" s="886">
        <v>15342889</v>
      </c>
      <c r="D401" s="950" t="s">
        <v>2501</v>
      </c>
      <c r="E401" s="115">
        <f>B401-MOD(E$1-A401*3,B401)</f>
        <v>735</v>
      </c>
      <c r="F401" s="644">
        <f>IF(MOD(E401,5)=0,B401,0)+E401</f>
        <v>8569</v>
      </c>
      <c r="G401" s="814">
        <f>IF(MOD(F401+$B401,5)=0,$B401,0)+$B401+F401</f>
        <v>16403</v>
      </c>
      <c r="H401" s="785">
        <f>IF(MOD(G401+$B401,5)=0,$B401,0)+$B401+G401</f>
        <v>24237</v>
      </c>
      <c r="I401" s="785">
        <f>IF(MOD(H401+$B401,5)=0,$B401,0)+$B401+H401</f>
        <v>32071</v>
      </c>
      <c r="J401" s="911">
        <v>856</v>
      </c>
      <c r="K401" s="892">
        <v>1640</v>
      </c>
      <c r="L401" s="785">
        <v>2423</v>
      </c>
      <c r="M401" s="785">
        <v>3207</v>
      </c>
      <c r="N401" s="23" t="str">
        <f>D401&amp;FIXED(MOD(F401,10),0)</f>
        <v>hh79</v>
      </c>
      <c r="O401" s="78" t="str">
        <f>MID(A$5,((FIND(N401,A$4,1)-1)+1),4)</f>
        <v>ebd7</v>
      </c>
      <c r="P401" s="94" t="s">
        <v>0</v>
      </c>
      <c r="Q401" s="78" t="s">
        <v>0</v>
      </c>
      <c r="R401" s="103" t="s">
        <v>0</v>
      </c>
      <c r="S401" s="103" t="s">
        <v>0</v>
      </c>
      <c r="T401" s="42" t="s">
        <v>1</v>
      </c>
    </row>
    <row r="402" spans="1:20" ht="12.75">
      <c r="A402" s="44">
        <v>3919</v>
      </c>
      <c r="B402" s="886">
        <v>7838</v>
      </c>
      <c r="C402" s="886">
        <v>15358561</v>
      </c>
      <c r="D402" s="950" t="s">
        <v>2506</v>
      </c>
      <c r="E402" s="115">
        <f>B402-MOD(E$1-A402*3,B402)</f>
        <v>6569</v>
      </c>
      <c r="F402" s="644">
        <f>IF(MOD(E402,5)=0,B402,0)+E402</f>
        <v>6569</v>
      </c>
      <c r="G402" s="814">
        <f>IF(MOD(F402+$B402,5)=0,$B402,0)+$B402+F402</f>
        <v>14407</v>
      </c>
      <c r="H402" s="785">
        <f>IF(MOD(G402+$B402,5)=0,$B402,0)+$B402+G402</f>
        <v>30083</v>
      </c>
      <c r="I402" s="785">
        <f>IF(MOD(H402+$B402,5)=0,$B402,0)+$B402+H402</f>
        <v>37921</v>
      </c>
      <c r="J402" s="911">
        <v>656</v>
      </c>
      <c r="K402" s="892">
        <v>1440</v>
      </c>
      <c r="L402" s="785">
        <v>3008</v>
      </c>
      <c r="M402" s="785">
        <v>3792</v>
      </c>
      <c r="N402" s="23" t="str">
        <f>D402&amp;FIXED(MOD(F402,10),0)</f>
        <v>hh99</v>
      </c>
      <c r="O402" s="78" t="str">
        <f>MID(A$5,((FIND(N402,A$4,1)-1)+1),4)</f>
        <v>edb7</v>
      </c>
      <c r="P402" s="94" t="s">
        <v>0</v>
      </c>
      <c r="Q402" s="78" t="s">
        <v>0</v>
      </c>
      <c r="R402" s="103" t="s">
        <v>0</v>
      </c>
      <c r="S402" s="103" t="s">
        <v>0</v>
      </c>
      <c r="T402" s="42" t="s">
        <v>1</v>
      </c>
    </row>
    <row r="403" spans="1:20" ht="12.75">
      <c r="A403" s="44">
        <v>3923</v>
      </c>
      <c r="B403" s="886">
        <v>7846</v>
      </c>
      <c r="C403" s="886">
        <v>15389929</v>
      </c>
      <c r="D403" s="950" t="s">
        <v>2496</v>
      </c>
      <c r="E403" s="115">
        <f>B403-MOD(E$1-A403*3,B403)</f>
        <v>171</v>
      </c>
      <c r="F403" s="644">
        <f>IF(MOD(E403,5)=0,B403,0)+E403</f>
        <v>171</v>
      </c>
      <c r="G403" s="814">
        <f>IF(MOD(F403+$B403,5)=0,$B403,0)+$B403+F403</f>
        <v>8017</v>
      </c>
      <c r="H403" s="785">
        <f>IF(MOD(G403+$B403,5)=0,$B403,0)+$B403+G403</f>
        <v>15863</v>
      </c>
      <c r="I403" s="785">
        <f>IF(MOD(H403+$B403,5)=0,$B403,0)+$B403+H403</f>
        <v>23709</v>
      </c>
      <c r="J403" s="911">
        <v>17</v>
      </c>
      <c r="K403" s="892">
        <v>801</v>
      </c>
      <c r="L403" s="785">
        <v>1586</v>
      </c>
      <c r="M403" s="785">
        <v>2370</v>
      </c>
      <c r="N403" s="23" t="str">
        <f>D403&amp;FIXED(MOD(F403,10),0)</f>
        <v>hh31</v>
      </c>
      <c r="O403" s="78" t="str">
        <f>MID(A$5,((FIND(N403,A$4,1)-1)+1),4)</f>
        <v>7dbe</v>
      </c>
      <c r="P403" s="94" t="s">
        <v>0</v>
      </c>
      <c r="Q403" s="78" t="s">
        <v>0</v>
      </c>
      <c r="R403" s="103" t="s">
        <v>0</v>
      </c>
      <c r="S403" s="103" t="s">
        <v>0</v>
      </c>
      <c r="T403" s="42" t="s">
        <v>1</v>
      </c>
    </row>
    <row r="404" spans="1:20" ht="12.75">
      <c r="A404" s="44">
        <v>3929</v>
      </c>
      <c r="B404" s="886">
        <v>7858</v>
      </c>
      <c r="C404" s="886">
        <v>15437041</v>
      </c>
      <c r="D404" s="950" t="s">
        <v>2506</v>
      </c>
      <c r="E404" s="115">
        <f>B404-MOD(E$1-A404*3,B404)</f>
        <v>7435</v>
      </c>
      <c r="F404" s="644">
        <f>IF(MOD(E404,5)=0,B404,0)+E404</f>
        <v>15293</v>
      </c>
      <c r="G404" s="814">
        <f>IF(MOD(F404+$B404,5)=0,$B404,0)+$B404+F404</f>
        <v>23151</v>
      </c>
      <c r="H404" s="785">
        <f>IF(MOD(G404+$B404,5)=0,$B404,0)+$B404+G404</f>
        <v>31009</v>
      </c>
      <c r="I404" s="785">
        <f>IF(MOD(H404+$B404,5)=0,$B404,0)+$B404+H404</f>
        <v>38867</v>
      </c>
      <c r="J404" s="911">
        <v>1529</v>
      </c>
      <c r="K404" s="892">
        <v>2315</v>
      </c>
      <c r="L404" s="785">
        <v>3100</v>
      </c>
      <c r="M404" s="785">
        <v>3886</v>
      </c>
      <c r="N404" s="23" t="str">
        <f>D404&amp;FIXED(MOD(F404,10),0)</f>
        <v>hh93</v>
      </c>
      <c r="O404" s="78" t="str">
        <f>MID(A$5,((FIND(N404,A$4,1)-1)+1),4)</f>
        <v>b7ed</v>
      </c>
      <c r="P404" s="94" t="s">
        <v>0</v>
      </c>
      <c r="Q404" s="78" t="s">
        <v>0</v>
      </c>
      <c r="R404" s="103" t="s">
        <v>0</v>
      </c>
      <c r="S404" s="103" t="s">
        <v>0</v>
      </c>
      <c r="T404" s="42" t="s">
        <v>1</v>
      </c>
    </row>
    <row r="405" spans="1:20" ht="12.75">
      <c r="A405" s="44">
        <v>3931</v>
      </c>
      <c r="B405" s="886">
        <v>7862</v>
      </c>
      <c r="C405" s="886">
        <v>15452761</v>
      </c>
      <c r="D405" s="950" t="s">
        <v>2490</v>
      </c>
      <c r="E405" s="115">
        <f>B405-MOD(E$1-A405*3,B405)</f>
        <v>6835</v>
      </c>
      <c r="F405" s="644">
        <f>IF(MOD(E405,5)=0,B405,0)+E405</f>
        <v>14697</v>
      </c>
      <c r="G405" s="814">
        <f>IF(MOD(F405+$B405,5)=0,$B405,0)+$B405+F405</f>
        <v>22559</v>
      </c>
      <c r="H405" s="785">
        <f>IF(MOD(G405+$B405,5)=0,$B405,0)+$B405+G405</f>
        <v>30421</v>
      </c>
      <c r="I405" s="785">
        <f>IF(MOD(H405+$B405,5)=0,$B405,0)+$B405+H405</f>
        <v>38283</v>
      </c>
      <c r="J405" s="911">
        <v>1469</v>
      </c>
      <c r="K405" s="892">
        <v>2255</v>
      </c>
      <c r="L405" s="785">
        <v>3042</v>
      </c>
      <c r="M405" s="785">
        <v>3828</v>
      </c>
      <c r="N405" s="23" t="str">
        <f>D405&amp;FIXED(MOD(F405,10),0)</f>
        <v>hh17</v>
      </c>
      <c r="O405" s="78" t="str">
        <f>MID(A$5,((FIND(N405,A$4,1)-1)+1),4)</f>
        <v>de7b</v>
      </c>
      <c r="P405" s="94" t="s">
        <v>0</v>
      </c>
      <c r="Q405" s="78" t="s">
        <v>0</v>
      </c>
      <c r="R405" s="103" t="s">
        <v>0</v>
      </c>
      <c r="S405" s="103" t="s">
        <v>0</v>
      </c>
      <c r="T405" s="42" t="s">
        <v>1</v>
      </c>
    </row>
    <row r="406" spans="1:20" ht="12.75">
      <c r="A406" s="44">
        <v>3943</v>
      </c>
      <c r="B406" s="886">
        <v>7886</v>
      </c>
      <c r="C406" s="886">
        <v>15547249</v>
      </c>
      <c r="D406" s="950" t="s">
        <v>2496</v>
      </c>
      <c r="E406" s="115">
        <f>B406-MOD(E$1-A406*3,B406)</f>
        <v>4551</v>
      </c>
      <c r="F406" s="644">
        <f>IF(MOD(E406,5)=0,B406,0)+E406</f>
        <v>4551</v>
      </c>
      <c r="G406" s="814">
        <f>IF(MOD(F406+$B406,5)=0,$B406,0)+$B406+F406</f>
        <v>12437</v>
      </c>
      <c r="H406" s="785">
        <f>IF(MOD(G406+$B406,5)=0,$B406,0)+$B406+G406</f>
        <v>20323</v>
      </c>
      <c r="I406" s="785">
        <f>IF(MOD(H406+$B406,5)=0,$B406,0)+$B406+H406</f>
        <v>28209</v>
      </c>
      <c r="J406" s="911">
        <v>455</v>
      </c>
      <c r="K406" s="892">
        <v>1243</v>
      </c>
      <c r="L406" s="785">
        <v>2032</v>
      </c>
      <c r="M406" s="785">
        <v>2820</v>
      </c>
      <c r="N406" s="23" t="str">
        <f>D406&amp;FIXED(MOD(F406,10),0)</f>
        <v>hh31</v>
      </c>
      <c r="O406" s="78" t="str">
        <f>MID(A$5,((FIND(N406,A$4,1)-1)+1),4)</f>
        <v>7dbe</v>
      </c>
      <c r="P406" s="94" t="s">
        <v>0</v>
      </c>
      <c r="Q406" s="78" t="s">
        <v>0</v>
      </c>
      <c r="R406" s="103" t="s">
        <v>0</v>
      </c>
      <c r="S406" s="103" t="s">
        <v>0</v>
      </c>
      <c r="T406" s="42" t="s">
        <v>1</v>
      </c>
    </row>
    <row r="407" spans="1:20" ht="12.75">
      <c r="A407" s="44">
        <v>3947</v>
      </c>
      <c r="B407" s="886">
        <v>7894</v>
      </c>
      <c r="C407" s="886">
        <v>15578809</v>
      </c>
      <c r="D407" s="950" t="s">
        <v>2501</v>
      </c>
      <c r="E407" s="115">
        <f>B407-MOD(E$1-A407*3,B407)</f>
        <v>7725</v>
      </c>
      <c r="F407" s="644">
        <f>IF(MOD(E407,5)=0,B407,0)+E407</f>
        <v>15619</v>
      </c>
      <c r="G407" s="814">
        <f>IF(MOD(F407+$B407,5)=0,$B407,0)+$B407+F407</f>
        <v>23513</v>
      </c>
      <c r="H407" s="785">
        <f>IF(MOD(G407+$B407,5)=0,$B407,0)+$B407+G407</f>
        <v>31407</v>
      </c>
      <c r="I407" s="785">
        <f>IF(MOD(H407+$B407,5)=0,$B407,0)+$B407+H407</f>
        <v>39301</v>
      </c>
      <c r="J407" s="911">
        <v>1561</v>
      </c>
      <c r="K407" s="892">
        <v>2351</v>
      </c>
      <c r="L407" s="785">
        <v>3140</v>
      </c>
      <c r="M407" s="785">
        <v>3930</v>
      </c>
      <c r="N407" s="23" t="str">
        <f>D407&amp;FIXED(MOD(F407,10),0)</f>
        <v>hh79</v>
      </c>
      <c r="O407" s="78" t="str">
        <f>MID(A$5,((FIND(N407,A$4,1)-1)+1),4)</f>
        <v>ebd7</v>
      </c>
      <c r="P407" s="94" t="s">
        <v>0</v>
      </c>
      <c r="Q407" s="78" t="s">
        <v>0</v>
      </c>
      <c r="R407" s="103" t="s">
        <v>0</v>
      </c>
      <c r="S407" s="103" t="s">
        <v>0</v>
      </c>
      <c r="T407" s="42" t="s">
        <v>1</v>
      </c>
    </row>
    <row r="408" spans="1:20" ht="12.75">
      <c r="A408" s="44">
        <v>3967</v>
      </c>
      <c r="B408" s="886">
        <v>7934</v>
      </c>
      <c r="C408" s="886">
        <v>15737089</v>
      </c>
      <c r="D408" s="950" t="s">
        <v>2501</v>
      </c>
      <c r="E408" s="115">
        <f>B408-MOD(E$1-A408*3,B408)</f>
        <v>4305</v>
      </c>
      <c r="F408" s="644">
        <f>IF(MOD(E408,5)=0,B408,0)+E408</f>
        <v>12239</v>
      </c>
      <c r="G408" s="814">
        <f>IF(MOD(F408+$B408,5)=0,$B408,0)+$B408+F408</f>
        <v>20173</v>
      </c>
      <c r="H408" s="785">
        <f>IF(MOD(G408+$B408,5)=0,$B408,0)+$B408+G408</f>
        <v>28107</v>
      </c>
      <c r="I408" s="785">
        <f>IF(MOD(H408+$B408,5)=0,$B408,0)+$B408+H408</f>
        <v>36041</v>
      </c>
      <c r="J408" s="911">
        <v>1223</v>
      </c>
      <c r="K408" s="892">
        <v>2017</v>
      </c>
      <c r="L408" s="785">
        <v>2810</v>
      </c>
      <c r="M408" s="785">
        <v>3604</v>
      </c>
      <c r="N408" s="23" t="str">
        <f>D408&amp;FIXED(MOD(F408,10),0)</f>
        <v>hh79</v>
      </c>
      <c r="O408" s="78" t="str">
        <f>MID(A$5,((FIND(N408,A$4,1)-1)+1),4)</f>
        <v>ebd7</v>
      </c>
      <c r="P408" s="94" t="s">
        <v>0</v>
      </c>
      <c r="Q408" s="78" t="s">
        <v>0</v>
      </c>
      <c r="R408" s="103" t="s">
        <v>0</v>
      </c>
      <c r="S408" s="103" t="s">
        <v>0</v>
      </c>
      <c r="T408" s="42" t="s">
        <v>1</v>
      </c>
    </row>
    <row r="409" spans="1:20" ht="12.75">
      <c r="A409" s="44">
        <v>3989</v>
      </c>
      <c r="B409" s="886">
        <v>7978</v>
      </c>
      <c r="C409" s="886">
        <v>15912121</v>
      </c>
      <c r="D409" s="950" t="s">
        <v>2506</v>
      </c>
      <c r="E409" s="115">
        <f>B409-MOD(E$1-A409*3,B409)</f>
        <v>3193</v>
      </c>
      <c r="F409" s="644">
        <f>IF(MOD(E409,5)=0,B409,0)+E409</f>
        <v>3193</v>
      </c>
      <c r="G409" s="814">
        <f>IF(MOD(F409+$B409,5)=0,$B409,0)+$B409+F409</f>
        <v>11171</v>
      </c>
      <c r="H409" s="785">
        <f>IF(MOD(G409+$B409,5)=0,$B409,0)+$B409+G409</f>
        <v>19149</v>
      </c>
      <c r="I409" s="785">
        <f>IF(MOD(H409+$B409,5)=0,$B409,0)+$B409+H409</f>
        <v>27127</v>
      </c>
      <c r="J409" s="911">
        <v>319</v>
      </c>
      <c r="K409" s="892">
        <v>1117</v>
      </c>
      <c r="L409" s="785">
        <v>1914</v>
      </c>
      <c r="M409" s="785">
        <v>2712</v>
      </c>
      <c r="N409" s="23" t="str">
        <f>D409&amp;FIXED(MOD(F409,10),0)</f>
        <v>hh93</v>
      </c>
      <c r="O409" s="78" t="str">
        <f>MID(A$5,((FIND(N409,A$4,1)-1)+1),4)</f>
        <v>b7ed</v>
      </c>
      <c r="P409" s="94" t="s">
        <v>0</v>
      </c>
      <c r="Q409" s="78" t="s">
        <v>0</v>
      </c>
      <c r="R409" s="103" t="s">
        <v>0</v>
      </c>
      <c r="S409" s="103" t="s">
        <v>0</v>
      </c>
      <c r="T409" s="42" t="s">
        <v>1</v>
      </c>
    </row>
    <row r="410" spans="1:20" ht="12.75">
      <c r="A410" s="44">
        <v>4001</v>
      </c>
      <c r="B410" s="886">
        <v>8002</v>
      </c>
      <c r="C410" s="886">
        <v>16008001</v>
      </c>
      <c r="D410" s="950" t="s">
        <v>2490</v>
      </c>
      <c r="E410" s="115">
        <f>B410-MOD(E$1-A410*3,B410)</f>
        <v>3071</v>
      </c>
      <c r="F410" s="644">
        <f>IF(MOD(E410,5)=0,B410,0)+E410</f>
        <v>3071</v>
      </c>
      <c r="G410" s="814">
        <f>IF(MOD(F410+$B410,5)=0,$B410,0)+$B410+F410</f>
        <v>11073</v>
      </c>
      <c r="H410" s="785">
        <f>IF(MOD(G410+$B410,5)=0,$B410,0)+$B410+G410</f>
        <v>27077</v>
      </c>
      <c r="I410" s="785">
        <f>IF(MOD(H410+$B410,5)=0,$B410,0)+$B410+H410</f>
        <v>35079</v>
      </c>
      <c r="J410" s="911">
        <v>307</v>
      </c>
      <c r="K410" s="892">
        <v>1107</v>
      </c>
      <c r="L410" s="785">
        <v>2707</v>
      </c>
      <c r="M410" s="785">
        <v>3507</v>
      </c>
      <c r="N410" s="23" t="str">
        <f>D410&amp;FIXED(MOD(F410,10),0)</f>
        <v>hh11</v>
      </c>
      <c r="O410" s="78" t="str">
        <f>MID(A$5,((FIND(N410,A$4,1)-1)+1),4)</f>
        <v>7bde</v>
      </c>
      <c r="P410" s="94" t="s">
        <v>0</v>
      </c>
      <c r="Q410" s="78" t="s">
        <v>0</v>
      </c>
      <c r="R410" s="103" t="s">
        <v>0</v>
      </c>
      <c r="S410" s="103" t="s">
        <v>0</v>
      </c>
      <c r="T410" s="42" t="s">
        <v>1</v>
      </c>
    </row>
    <row r="411" spans="1:20" ht="12.75">
      <c r="A411" s="44">
        <v>4003</v>
      </c>
      <c r="B411" s="886">
        <v>8006</v>
      </c>
      <c r="C411" s="886">
        <v>16024009</v>
      </c>
      <c r="D411" s="950" t="s">
        <v>2496</v>
      </c>
      <c r="E411" s="115">
        <f>B411-MOD(E$1-A411*3,B411)</f>
        <v>115</v>
      </c>
      <c r="F411" s="644">
        <f>IF(MOD(E411,5)=0,B411,0)+E411</f>
        <v>8121</v>
      </c>
      <c r="G411" s="814">
        <f>IF(MOD(F411+$B411,5)=0,$B411,0)+$B411+F411</f>
        <v>16127</v>
      </c>
      <c r="H411" s="785">
        <f>IF(MOD(G411+$B411,5)=0,$B411,0)+$B411+G411</f>
        <v>24133</v>
      </c>
      <c r="I411" s="785">
        <f>IF(MOD(H411+$B411,5)=0,$B411,0)+$B411+H411</f>
        <v>32139</v>
      </c>
      <c r="J411" s="911">
        <v>812</v>
      </c>
      <c r="K411" s="892">
        <v>1612</v>
      </c>
      <c r="L411" s="785">
        <v>2413</v>
      </c>
      <c r="M411" s="785">
        <v>3213</v>
      </c>
      <c r="N411" s="23" t="str">
        <f>D411&amp;FIXED(MOD(F411,10),0)</f>
        <v>hh31</v>
      </c>
      <c r="O411" s="78" t="str">
        <f>MID(A$5,((FIND(N411,A$4,1)-1)+1),4)</f>
        <v>7dbe</v>
      </c>
      <c r="P411" s="94" t="s">
        <v>0</v>
      </c>
      <c r="Q411" s="78" t="s">
        <v>0</v>
      </c>
      <c r="R411" s="103" t="s">
        <v>0</v>
      </c>
      <c r="S411" s="103" t="s">
        <v>0</v>
      </c>
      <c r="T411" s="42" t="s">
        <v>1</v>
      </c>
    </row>
    <row r="412" spans="1:20" ht="12.75">
      <c r="A412" s="44">
        <v>4007</v>
      </c>
      <c r="B412" s="886">
        <v>8014</v>
      </c>
      <c r="C412" s="886">
        <v>16056049</v>
      </c>
      <c r="D412" s="950" t="s">
        <v>2501</v>
      </c>
      <c r="E412" s="115">
        <f>B412-MOD(E$1-A412*3,B412)</f>
        <v>2593</v>
      </c>
      <c r="F412" s="644">
        <f>IF(MOD(E412,5)=0,B412,0)+E412</f>
        <v>2593</v>
      </c>
      <c r="G412" s="814">
        <f>IF(MOD(F412+$B412,5)=0,$B412,0)+$B412+F412</f>
        <v>10607</v>
      </c>
      <c r="H412" s="785">
        <f>IF(MOD(G412+$B412,5)=0,$B412,0)+$B412+G412</f>
        <v>18621</v>
      </c>
      <c r="I412" s="785">
        <f>IF(MOD(H412+$B412,5)=0,$B412,0)+$B412+H412</f>
        <v>34649</v>
      </c>
      <c r="J412" s="911">
        <v>259</v>
      </c>
      <c r="K412" s="892">
        <v>1060</v>
      </c>
      <c r="L412" s="785">
        <v>1862</v>
      </c>
      <c r="M412" s="785">
        <v>3464</v>
      </c>
      <c r="N412" s="23" t="str">
        <f>D412&amp;FIXED(MOD(F412,10),0)</f>
        <v>hh73</v>
      </c>
      <c r="O412" s="78" t="str">
        <f>MID(A$5,((FIND(N412,A$4,1)-1)+1),4)</f>
        <v>bd7e</v>
      </c>
      <c r="P412" s="94" t="s">
        <v>0</v>
      </c>
      <c r="Q412" s="78" t="s">
        <v>0</v>
      </c>
      <c r="R412" s="103" t="s">
        <v>0</v>
      </c>
      <c r="S412" s="103" t="s">
        <v>0</v>
      </c>
      <c r="T412" s="42" t="s">
        <v>1</v>
      </c>
    </row>
    <row r="413" spans="1:20" ht="12.75">
      <c r="A413" s="44">
        <v>4013</v>
      </c>
      <c r="B413" s="886">
        <v>8026</v>
      </c>
      <c r="C413" s="886">
        <v>16104169</v>
      </c>
      <c r="D413" s="950" t="s">
        <v>2496</v>
      </c>
      <c r="E413" s="115">
        <f>B413-MOD(E$1-A413*3,B413)</f>
        <v>1961</v>
      </c>
      <c r="F413" s="644">
        <f>IF(MOD(E413,5)=0,B413,0)+E413</f>
        <v>1961</v>
      </c>
      <c r="G413" s="814">
        <f>IF(MOD(F413+$B413,5)=0,$B413,0)+$B413+F413</f>
        <v>9987</v>
      </c>
      <c r="H413" s="785">
        <f>IF(MOD(G413+$B413,5)=0,$B413,0)+$B413+G413</f>
        <v>18013</v>
      </c>
      <c r="I413" s="785">
        <f>IF(MOD(H413+$B413,5)=0,$B413,0)+$B413+H413</f>
        <v>26039</v>
      </c>
      <c r="J413" s="911">
        <v>196</v>
      </c>
      <c r="K413" s="892">
        <v>998</v>
      </c>
      <c r="L413" s="785">
        <v>1801</v>
      </c>
      <c r="M413" s="785">
        <v>2603</v>
      </c>
      <c r="N413" s="23" t="str">
        <f>D413&amp;FIXED(MOD(F413,10),0)</f>
        <v>hh31</v>
      </c>
      <c r="O413" s="78" t="str">
        <f>MID(A$5,((FIND(N413,A$4,1)-1)+1),4)</f>
        <v>7dbe</v>
      </c>
      <c r="P413" s="94" t="s">
        <v>0</v>
      </c>
      <c r="Q413" s="78" t="s">
        <v>0</v>
      </c>
      <c r="R413" s="103" t="s">
        <v>0</v>
      </c>
      <c r="S413" s="103" t="s">
        <v>0</v>
      </c>
      <c r="T413" s="42" t="s">
        <v>1</v>
      </c>
    </row>
    <row r="414" spans="1:20" ht="12.75">
      <c r="A414" s="44">
        <v>4019</v>
      </c>
      <c r="B414" s="886">
        <v>8038</v>
      </c>
      <c r="C414" s="886">
        <v>16152361</v>
      </c>
      <c r="D414" s="950" t="s">
        <v>2506</v>
      </c>
      <c r="E414" s="115">
        <f>B414-MOD(E$1-A414*3,B414)</f>
        <v>5197</v>
      </c>
      <c r="F414" s="644">
        <f>IF(MOD(E414,5)=0,B414,0)+E414</f>
        <v>5197</v>
      </c>
      <c r="G414" s="814">
        <f>IF(MOD(F414+$B414,5)=0,$B414,0)+$B414+F414</f>
        <v>21273</v>
      </c>
      <c r="H414" s="785">
        <f>IF(MOD(G414+$B414,5)=0,$B414,0)+$B414+G414</f>
        <v>29311</v>
      </c>
      <c r="I414" s="785">
        <f>IF(MOD(H414+$B414,5)=0,$B414,0)+$B414+H414</f>
        <v>37349</v>
      </c>
      <c r="J414" s="911">
        <v>519</v>
      </c>
      <c r="K414" s="892">
        <v>2127</v>
      </c>
      <c r="L414" s="785">
        <v>2931</v>
      </c>
      <c r="M414" s="785">
        <v>3734</v>
      </c>
      <c r="N414" s="23" t="str">
        <f>D414&amp;FIXED(MOD(F414,10),0)</f>
        <v>hh97</v>
      </c>
      <c r="O414" s="78" t="str">
        <f>MID(A$5,((FIND(N414,A$4,1)-1)+1),4)</f>
        <v>db7e</v>
      </c>
      <c r="P414" s="94" t="s">
        <v>0</v>
      </c>
      <c r="Q414" s="78" t="s">
        <v>0</v>
      </c>
      <c r="R414" s="103" t="s">
        <v>0</v>
      </c>
      <c r="S414" s="103" t="s">
        <v>0</v>
      </c>
      <c r="T414" s="42" t="s">
        <v>1</v>
      </c>
    </row>
    <row r="415" spans="1:20" ht="12.75">
      <c r="A415" s="44">
        <v>4021</v>
      </c>
      <c r="B415" s="886">
        <v>8042</v>
      </c>
      <c r="C415" s="886">
        <v>16168441</v>
      </c>
      <c r="D415" s="950" t="s">
        <v>2490</v>
      </c>
      <c r="E415" s="115">
        <f>B415-MOD(E$1-A415*3,B415)</f>
        <v>2065</v>
      </c>
      <c r="F415" s="644">
        <f>IF(MOD(E415,5)=0,B415,0)+E415</f>
        <v>10107</v>
      </c>
      <c r="G415" s="814">
        <f>IF(MOD(F415+$B415,5)=0,$B415,0)+$B415+F415</f>
        <v>18149</v>
      </c>
      <c r="H415" s="785">
        <f>IF(MOD(G415+$B415,5)=0,$B415,0)+$B415+G415</f>
        <v>26191</v>
      </c>
      <c r="I415" s="785">
        <f>IF(MOD(H415+$B415,5)=0,$B415,0)+$B415+H415</f>
        <v>34233</v>
      </c>
      <c r="J415" s="911">
        <v>1010</v>
      </c>
      <c r="K415" s="892">
        <v>1814</v>
      </c>
      <c r="L415" s="785">
        <v>2619</v>
      </c>
      <c r="M415" s="785">
        <v>3423</v>
      </c>
      <c r="N415" s="23" t="str">
        <f>D415&amp;FIXED(MOD(F415,10),0)</f>
        <v>hh17</v>
      </c>
      <c r="O415" s="78" t="str">
        <f>MID(A$5,((FIND(N415,A$4,1)-1)+1),4)</f>
        <v>de7b</v>
      </c>
      <c r="P415" s="94" t="s">
        <v>0</v>
      </c>
      <c r="Q415" s="78" t="s">
        <v>0</v>
      </c>
      <c r="R415" s="103" t="s">
        <v>0</v>
      </c>
      <c r="S415" s="103" t="s">
        <v>0</v>
      </c>
      <c r="T415" s="42" t="s">
        <v>1</v>
      </c>
    </row>
    <row r="416" spans="1:20" ht="12.75">
      <c r="A416" s="44">
        <v>4027</v>
      </c>
      <c r="B416" s="886">
        <v>8054</v>
      </c>
      <c r="C416" s="886">
        <v>16216729</v>
      </c>
      <c r="D416" s="950" t="s">
        <v>2501</v>
      </c>
      <c r="E416" s="115">
        <f>B416-MOD(E$1-A416*3,B416)</f>
        <v>2305</v>
      </c>
      <c r="F416" s="644">
        <f>IF(MOD(E416,5)=0,B416,0)+E416</f>
        <v>10359</v>
      </c>
      <c r="G416" s="814">
        <f>IF(MOD(F416+$B416,5)=0,$B416,0)+$B416+F416</f>
        <v>18413</v>
      </c>
      <c r="H416" s="785">
        <f>IF(MOD(G416+$B416,5)=0,$B416,0)+$B416+G416</f>
        <v>26467</v>
      </c>
      <c r="I416" s="785">
        <f>IF(MOD(H416+$B416,5)=0,$B416,0)+$B416+H416</f>
        <v>34521</v>
      </c>
      <c r="J416" s="911">
        <v>1035</v>
      </c>
      <c r="K416" s="892">
        <v>1841</v>
      </c>
      <c r="L416" s="785">
        <v>2646</v>
      </c>
      <c r="M416" s="785">
        <v>3452</v>
      </c>
      <c r="N416" s="23" t="str">
        <f>D416&amp;FIXED(MOD(F416,10),0)</f>
        <v>hh79</v>
      </c>
      <c r="O416" s="78" t="str">
        <f>MID(A$5,((FIND(N416,A$4,1)-1)+1),4)</f>
        <v>ebd7</v>
      </c>
      <c r="P416" s="94" t="s">
        <v>0</v>
      </c>
      <c r="Q416" s="78" t="s">
        <v>0</v>
      </c>
      <c r="R416" s="103" t="s">
        <v>0</v>
      </c>
      <c r="S416" s="103" t="s">
        <v>0</v>
      </c>
      <c r="T416" s="42" t="s">
        <v>1</v>
      </c>
    </row>
    <row r="417" spans="1:20" ht="12.75">
      <c r="A417" s="44">
        <v>4049</v>
      </c>
      <c r="B417" s="886">
        <v>8098</v>
      </c>
      <c r="C417" s="886">
        <v>16394401</v>
      </c>
      <c r="D417" s="950" t="s">
        <v>2506</v>
      </c>
      <c r="E417" s="115">
        <f>B417-MOD(E$1-A417*3,B417)</f>
        <v>6259</v>
      </c>
      <c r="F417" s="644">
        <f>IF(MOD(E417,5)=0,B417,0)+E417</f>
        <v>6259</v>
      </c>
      <c r="G417" s="814">
        <f>IF(MOD(F417+$B417,5)=0,$B417,0)+$B417+F417</f>
        <v>14357</v>
      </c>
      <c r="H417" s="785">
        <f>IF(MOD(G417+$B417,5)=0,$B417,0)+$B417+G417</f>
        <v>30553</v>
      </c>
      <c r="I417" s="785">
        <f>IF(MOD(H417+$B417,5)=0,$B417,0)+$B417+H417</f>
        <v>38651</v>
      </c>
      <c r="J417" s="911">
        <v>625</v>
      </c>
      <c r="K417" s="892">
        <v>1435</v>
      </c>
      <c r="L417" s="785">
        <v>3055</v>
      </c>
      <c r="M417" s="785">
        <v>3865</v>
      </c>
      <c r="N417" s="23" t="str">
        <f>D417&amp;FIXED(MOD(F417,10),0)</f>
        <v>hh99</v>
      </c>
      <c r="O417" s="78" t="str">
        <f>MID(A$5,((FIND(N417,A$4,1)-1)+1),4)</f>
        <v>edb7</v>
      </c>
      <c r="P417" s="94" t="s">
        <v>0</v>
      </c>
      <c r="Q417" s="78" t="s">
        <v>0</v>
      </c>
      <c r="R417" s="103" t="s">
        <v>0</v>
      </c>
      <c r="S417" s="103" t="s">
        <v>0</v>
      </c>
      <c r="T417" s="42" t="s">
        <v>1</v>
      </c>
    </row>
    <row r="418" spans="1:20" ht="12.75">
      <c r="A418" s="44">
        <v>4051</v>
      </c>
      <c r="B418" s="886">
        <v>8102</v>
      </c>
      <c r="C418" s="886">
        <v>16410601</v>
      </c>
      <c r="D418" s="950" t="s">
        <v>2490</v>
      </c>
      <c r="E418" s="115">
        <f>B418-MOD(E$1-A418*3,B418)</f>
        <v>4437</v>
      </c>
      <c r="F418" s="644">
        <f>IF(MOD(E418,5)=0,B418,0)+E418</f>
        <v>4437</v>
      </c>
      <c r="G418" s="814">
        <f>IF(MOD(F418+$B418,5)=0,$B418,0)+$B418+F418</f>
        <v>12539</v>
      </c>
      <c r="H418" s="785">
        <f>IF(MOD(G418+$B418,5)=0,$B418,0)+$B418+G418</f>
        <v>20641</v>
      </c>
      <c r="I418" s="785">
        <f>IF(MOD(H418+$B418,5)=0,$B418,0)+$B418+H418</f>
        <v>28743</v>
      </c>
      <c r="J418" s="911">
        <v>443</v>
      </c>
      <c r="K418" s="892">
        <v>1253</v>
      </c>
      <c r="L418" s="785">
        <v>2064</v>
      </c>
      <c r="M418" s="785">
        <v>2874</v>
      </c>
      <c r="N418" s="23" t="str">
        <f>D418&amp;FIXED(MOD(F418,10),0)</f>
        <v>hh17</v>
      </c>
      <c r="O418" s="78" t="str">
        <f>MID(A$5,((FIND(N418,A$4,1)-1)+1),4)</f>
        <v>de7b</v>
      </c>
      <c r="P418" s="94" t="s">
        <v>0</v>
      </c>
      <c r="Q418" s="78" t="s">
        <v>0</v>
      </c>
      <c r="R418" s="103" t="s">
        <v>0</v>
      </c>
      <c r="S418" s="103" t="s">
        <v>0</v>
      </c>
      <c r="T418" s="42" t="s">
        <v>1</v>
      </c>
    </row>
    <row r="419" spans="1:20" ht="12.75">
      <c r="A419" s="44">
        <v>4057</v>
      </c>
      <c r="B419" s="886">
        <v>8114</v>
      </c>
      <c r="C419" s="886">
        <v>16459249</v>
      </c>
      <c r="D419" s="950" t="s">
        <v>2501</v>
      </c>
      <c r="E419" s="115">
        <f>B419-MOD(E$1-A419*3,B419)</f>
        <v>7613</v>
      </c>
      <c r="F419" s="644">
        <f>IF(MOD(E419,5)=0,B419,0)+E419</f>
        <v>7613</v>
      </c>
      <c r="G419" s="814">
        <f>IF(MOD(F419+$B419,5)=0,$B419,0)+$B419+F419</f>
        <v>15727</v>
      </c>
      <c r="H419" s="785">
        <f>IF(MOD(G419+$B419,5)=0,$B419,0)+$B419+G419</f>
        <v>23841</v>
      </c>
      <c r="I419" s="785">
        <f>IF(MOD(H419+$B419,5)=0,$B419,0)+$B419+H419</f>
        <v>40069</v>
      </c>
      <c r="J419" s="911">
        <v>761</v>
      </c>
      <c r="K419" s="892">
        <v>1572</v>
      </c>
      <c r="L419" s="785">
        <v>2384</v>
      </c>
      <c r="M419" s="785">
        <v>4006</v>
      </c>
      <c r="N419" s="23" t="str">
        <f>D419&amp;FIXED(MOD(F419,10),0)</f>
        <v>hh73</v>
      </c>
      <c r="O419" s="78" t="str">
        <f>MID(A$5,((FIND(N419,A$4,1)-1)+1),4)</f>
        <v>bd7e</v>
      </c>
      <c r="P419" s="94" t="s">
        <v>0</v>
      </c>
      <c r="Q419" s="78" t="s">
        <v>0</v>
      </c>
      <c r="R419" s="103" t="s">
        <v>0</v>
      </c>
      <c r="S419" s="103" t="s">
        <v>0</v>
      </c>
      <c r="T419" s="42" t="s">
        <v>1</v>
      </c>
    </row>
    <row r="420" spans="1:20" ht="12.75">
      <c r="A420" s="44">
        <v>4073</v>
      </c>
      <c r="B420" s="886">
        <v>8146</v>
      </c>
      <c r="C420" s="886">
        <v>16589329</v>
      </c>
      <c r="D420" s="950" t="s">
        <v>2496</v>
      </c>
      <c r="E420" s="115">
        <f>B420-MOD(E$1-A420*3,B420)</f>
        <v>1067</v>
      </c>
      <c r="F420" s="644">
        <f>IF(MOD(E420,5)=0,B420,0)+E420</f>
        <v>1067</v>
      </c>
      <c r="G420" s="814">
        <f>IF(MOD(F420+$B420,5)=0,$B420,0)+$B420+F420</f>
        <v>9213</v>
      </c>
      <c r="H420" s="785">
        <f>IF(MOD(G420+$B420,5)=0,$B420,0)+$B420+G420</f>
        <v>17359</v>
      </c>
      <c r="I420" s="785">
        <f>IF(MOD(H420+$B420,5)=0,$B420,0)+$B420+H420</f>
        <v>33651</v>
      </c>
      <c r="J420" s="911">
        <v>106</v>
      </c>
      <c r="K420" s="892">
        <v>921</v>
      </c>
      <c r="L420" s="785">
        <v>1735</v>
      </c>
      <c r="M420" s="785">
        <v>3365</v>
      </c>
      <c r="N420" s="23" t="str">
        <f>D420&amp;FIXED(MOD(F420,10),0)</f>
        <v>hh37</v>
      </c>
      <c r="O420" s="78" t="str">
        <f>MID(A$5,((FIND(N420,A$4,1)-1)+1),4)</f>
        <v>dbe7</v>
      </c>
      <c r="P420" s="94" t="s">
        <v>0</v>
      </c>
      <c r="Q420" s="78" t="s">
        <v>0</v>
      </c>
      <c r="R420" s="103" t="s">
        <v>0</v>
      </c>
      <c r="S420" s="103" t="s">
        <v>0</v>
      </c>
      <c r="T420" s="42" t="s">
        <v>1</v>
      </c>
    </row>
    <row r="421" spans="1:20" ht="12.75">
      <c r="A421" s="44">
        <v>4079</v>
      </c>
      <c r="B421" s="886">
        <v>8158</v>
      </c>
      <c r="C421" s="886">
        <v>16638241</v>
      </c>
      <c r="D421" s="950" t="s">
        <v>2506</v>
      </c>
      <c r="E421" s="115">
        <f>B421-MOD(E$1-A421*3,B421)</f>
        <v>7645</v>
      </c>
      <c r="F421" s="644">
        <f>IF(MOD(E421,5)=0,B421,0)+E421</f>
        <v>15803</v>
      </c>
      <c r="G421" s="814">
        <f>IF(MOD(F421+$B421,5)=0,$B421,0)+$B421+F421</f>
        <v>23961</v>
      </c>
      <c r="H421" s="785">
        <f>IF(MOD(G421+$B421,5)=0,$B421,0)+$B421+G421</f>
        <v>32119</v>
      </c>
      <c r="I421" s="785">
        <f>IF(MOD(H421+$B421,5)=0,$B421,0)+$B421+H421</f>
        <v>40277</v>
      </c>
      <c r="J421" s="911">
        <v>1580</v>
      </c>
      <c r="K421" s="892">
        <v>2396</v>
      </c>
      <c r="L421" s="785">
        <v>3211</v>
      </c>
      <c r="M421" s="785">
        <v>4027</v>
      </c>
      <c r="N421" s="23" t="str">
        <f>D421&amp;FIXED(MOD(F421,10),0)</f>
        <v>hh93</v>
      </c>
      <c r="O421" s="78" t="str">
        <f>MID(A$5,((FIND(N421,A$4,1)-1)+1),4)</f>
        <v>b7ed</v>
      </c>
      <c r="P421" s="94" t="s">
        <v>0</v>
      </c>
      <c r="Q421" s="78" t="s">
        <v>0</v>
      </c>
      <c r="R421" s="103" t="s">
        <v>0</v>
      </c>
      <c r="S421" s="103" t="s">
        <v>0</v>
      </c>
      <c r="T421" s="42" t="s">
        <v>1</v>
      </c>
    </row>
    <row r="422" spans="1:20" ht="12.75">
      <c r="A422" s="44">
        <v>4091</v>
      </c>
      <c r="B422" s="886">
        <v>8182</v>
      </c>
      <c r="C422" s="886">
        <v>16736281</v>
      </c>
      <c r="D422" s="950" t="s">
        <v>2490</v>
      </c>
      <c r="E422" s="115">
        <f>B422-MOD(E$1-A422*3,B422)</f>
        <v>1455</v>
      </c>
      <c r="F422" s="644">
        <f>IF(MOD(E422,5)=0,B422,0)+E422</f>
        <v>9637</v>
      </c>
      <c r="G422" s="814">
        <f>IF(MOD(F422+$B422,5)=0,$B422,0)+$B422+F422</f>
        <v>17819</v>
      </c>
      <c r="H422" s="785">
        <f>IF(MOD(G422+$B422,5)=0,$B422,0)+$B422+G422</f>
        <v>26001</v>
      </c>
      <c r="I422" s="785">
        <f>IF(MOD(H422+$B422,5)=0,$B422,0)+$B422+H422</f>
        <v>34183</v>
      </c>
      <c r="J422" s="911">
        <v>963</v>
      </c>
      <c r="K422" s="892">
        <v>1781</v>
      </c>
      <c r="L422" s="785">
        <v>2600</v>
      </c>
      <c r="M422" s="785">
        <v>3418</v>
      </c>
      <c r="N422" s="23" t="str">
        <f>D422&amp;FIXED(MOD(F422,10),0)</f>
        <v>hh17</v>
      </c>
      <c r="O422" s="78" t="str">
        <f>MID(A$5,((FIND(N422,A$4,1)-1)+1),4)</f>
        <v>de7b</v>
      </c>
      <c r="P422" s="94" t="s">
        <v>0</v>
      </c>
      <c r="Q422" s="78" t="s">
        <v>0</v>
      </c>
      <c r="R422" s="103" t="s">
        <v>0</v>
      </c>
      <c r="S422" s="103" t="s">
        <v>0</v>
      </c>
      <c r="T422" s="42" t="s">
        <v>1</v>
      </c>
    </row>
    <row r="423" spans="1:20" ht="12.75">
      <c r="A423" s="44">
        <v>4093</v>
      </c>
      <c r="B423" s="886">
        <v>8186</v>
      </c>
      <c r="C423" s="886">
        <v>16752649</v>
      </c>
      <c r="D423" s="950" t="s">
        <v>2496</v>
      </c>
      <c r="E423" s="115">
        <f>B423-MOD(E$1-A423*3,B423)</f>
        <v>4049</v>
      </c>
      <c r="F423" s="644">
        <f>IF(MOD(E423,5)=0,B423,0)+E423</f>
        <v>4049</v>
      </c>
      <c r="G423" s="814">
        <f>IF(MOD(F423+$B423,5)=0,$B423,0)+$B423+F423</f>
        <v>20421</v>
      </c>
      <c r="H423" s="785">
        <f>IF(MOD(G423+$B423,5)=0,$B423,0)+$B423+G423</f>
        <v>28607</v>
      </c>
      <c r="I423" s="785">
        <f>IF(MOD(H423+$B423,5)=0,$B423,0)+$B423+H423</f>
        <v>36793</v>
      </c>
      <c r="J423" s="911">
        <v>404</v>
      </c>
      <c r="K423" s="892">
        <v>2042</v>
      </c>
      <c r="L423" s="785">
        <v>2860</v>
      </c>
      <c r="M423" s="785">
        <v>3679</v>
      </c>
      <c r="N423" s="23" t="str">
        <f>D423&amp;FIXED(MOD(F423,10),0)</f>
        <v>hh39</v>
      </c>
      <c r="O423" s="78" t="str">
        <f>MID(A$5,((FIND(N423,A$4,1)-1)+1),4)</f>
        <v>e7db</v>
      </c>
      <c r="P423" s="94" t="s">
        <v>0</v>
      </c>
      <c r="Q423" s="78" t="s">
        <v>0</v>
      </c>
      <c r="R423" s="103" t="s">
        <v>0</v>
      </c>
      <c r="S423" s="103" t="s">
        <v>0</v>
      </c>
      <c r="T423" s="42" t="s">
        <v>1</v>
      </c>
    </row>
    <row r="424" spans="1:20" ht="12.75">
      <c r="A424" s="44">
        <v>4099</v>
      </c>
      <c r="B424" s="886">
        <v>8198</v>
      </c>
      <c r="C424" s="886">
        <v>16801801</v>
      </c>
      <c r="D424" s="950" t="s">
        <v>2506</v>
      </c>
      <c r="E424" s="115">
        <f>B424-MOD(E$1-A424*3,B424)</f>
        <v>727</v>
      </c>
      <c r="F424" s="644">
        <f>IF(MOD(E424,5)=0,B424,0)+E424</f>
        <v>727</v>
      </c>
      <c r="G424" s="814">
        <f>IF(MOD(F424+$B424,5)=0,$B424,0)+$B424+F424</f>
        <v>17123</v>
      </c>
      <c r="H424" s="785">
        <f>IF(MOD(G424+$B424,5)=0,$B424,0)+$B424+G424</f>
        <v>25321</v>
      </c>
      <c r="I424" s="785">
        <f>IF(MOD(H424+$B424,5)=0,$B424,0)+$B424+H424</f>
        <v>33519</v>
      </c>
      <c r="J424" s="911">
        <v>72</v>
      </c>
      <c r="K424" s="892">
        <v>1712</v>
      </c>
      <c r="L424" s="785">
        <v>2532</v>
      </c>
      <c r="M424" s="785">
        <v>3351</v>
      </c>
      <c r="N424" s="23" t="str">
        <f>D424&amp;FIXED(MOD(F424,10),0)</f>
        <v>hh97</v>
      </c>
      <c r="O424" s="78" t="str">
        <f>MID(A$5,((FIND(N424,A$4,1)-1)+1),4)</f>
        <v>db7e</v>
      </c>
      <c r="P424" s="94" t="s">
        <v>0</v>
      </c>
      <c r="Q424" s="78" t="s">
        <v>0</v>
      </c>
      <c r="R424" s="103" t="s">
        <v>0</v>
      </c>
      <c r="S424" s="103" t="s">
        <v>0</v>
      </c>
      <c r="T424" s="42" t="s">
        <v>1</v>
      </c>
    </row>
    <row r="425" spans="1:20" ht="12.75">
      <c r="A425" s="44">
        <v>4111</v>
      </c>
      <c r="B425" s="886">
        <v>8222</v>
      </c>
      <c r="C425" s="886">
        <v>16900321</v>
      </c>
      <c r="D425" s="950" t="s">
        <v>2490</v>
      </c>
      <c r="E425" s="115">
        <f>B425-MOD(E$1-A425*3,B425)</f>
        <v>6221</v>
      </c>
      <c r="F425" s="644">
        <f>IF(MOD(E425,5)=0,B425,0)+E425</f>
        <v>6221</v>
      </c>
      <c r="G425" s="814">
        <f>IF(MOD(F425+$B425,5)=0,$B425,0)+$B425+F425</f>
        <v>14443</v>
      </c>
      <c r="H425" s="785">
        <f>IF(MOD(G425+$B425,5)=0,$B425,0)+$B425+G425</f>
        <v>30887</v>
      </c>
      <c r="I425" s="785">
        <f>IF(MOD(H425+$B425,5)=0,$B425,0)+$B425+H425</f>
        <v>39109</v>
      </c>
      <c r="J425" s="911">
        <v>622</v>
      </c>
      <c r="K425" s="892">
        <v>1444</v>
      </c>
      <c r="L425" s="785">
        <v>3088</v>
      </c>
      <c r="M425" s="785">
        <v>3910</v>
      </c>
      <c r="N425" s="23" t="str">
        <f>D425&amp;FIXED(MOD(F425,10),0)</f>
        <v>hh11</v>
      </c>
      <c r="O425" s="78" t="str">
        <f>MID(A$5,((FIND(N425,A$4,1)-1)+1),4)</f>
        <v>7bde</v>
      </c>
      <c r="P425" s="94" t="s">
        <v>0</v>
      </c>
      <c r="Q425" s="78" t="s">
        <v>0</v>
      </c>
      <c r="R425" s="103" t="s">
        <v>0</v>
      </c>
      <c r="S425" s="103" t="s">
        <v>0</v>
      </c>
      <c r="T425" s="42" t="s">
        <v>1</v>
      </c>
    </row>
    <row r="426" spans="1:20" ht="12.75">
      <c r="A426" s="44">
        <v>4127</v>
      </c>
      <c r="B426" s="886">
        <v>8254</v>
      </c>
      <c r="C426" s="886">
        <v>17032129</v>
      </c>
      <c r="D426" s="950" t="s">
        <v>2501</v>
      </c>
      <c r="E426" s="115">
        <f>B426-MOD(E$1-A426*3,B426)</f>
        <v>4241</v>
      </c>
      <c r="F426" s="644">
        <f>IF(MOD(E426,5)=0,B426,0)+E426</f>
        <v>4241</v>
      </c>
      <c r="G426" s="814">
        <f>IF(MOD(F426+$B426,5)=0,$B426,0)+$B426+F426</f>
        <v>20749</v>
      </c>
      <c r="H426" s="785">
        <f>IF(MOD(G426+$B426,5)=0,$B426,0)+$B426+G426</f>
        <v>29003</v>
      </c>
      <c r="I426" s="785">
        <f>IF(MOD(H426+$B426,5)=0,$B426,0)+$B426+H426</f>
        <v>37257</v>
      </c>
      <c r="J426" s="911">
        <v>424</v>
      </c>
      <c r="K426" s="892">
        <v>2074</v>
      </c>
      <c r="L426" s="785">
        <v>2900</v>
      </c>
      <c r="M426" s="785">
        <v>3725</v>
      </c>
      <c r="N426" s="23" t="str">
        <f>D426&amp;FIXED(MOD(F426,10),0)</f>
        <v>hh71</v>
      </c>
      <c r="O426" s="78" t="str">
        <f>MID(A$5,((FIND(N426,A$4,1)-1)+1),4)</f>
        <v>7ebd</v>
      </c>
      <c r="P426" s="94" t="s">
        <v>0</v>
      </c>
      <c r="Q426" s="78" t="s">
        <v>0</v>
      </c>
      <c r="R426" s="103" t="s">
        <v>0</v>
      </c>
      <c r="S426" s="103" t="s">
        <v>0</v>
      </c>
      <c r="T426" s="42" t="s">
        <v>1</v>
      </c>
    </row>
    <row r="427" spans="1:20" ht="12.75">
      <c r="A427" s="44">
        <v>4129</v>
      </c>
      <c r="B427" s="886">
        <v>8258</v>
      </c>
      <c r="C427" s="886">
        <v>17048641</v>
      </c>
      <c r="D427" s="950" t="s">
        <v>2506</v>
      </c>
      <c r="E427" s="115">
        <f>B427-MOD(E$1-A427*3,B427)</f>
        <v>7377</v>
      </c>
      <c r="F427" s="644">
        <f>IF(MOD(E427,5)=0,B427,0)+E427</f>
        <v>7377</v>
      </c>
      <c r="G427" s="814">
        <f>IF(MOD(F427+$B427,5)=0,$B427,0)+$B427+F427</f>
        <v>23893</v>
      </c>
      <c r="H427" s="785">
        <f>IF(MOD(G427+$B427,5)=0,$B427,0)+$B427+G427</f>
        <v>32151</v>
      </c>
      <c r="I427" s="785">
        <f>IF(MOD(H427+$B427,5)=0,$B427,0)+$B427+H427</f>
        <v>40409</v>
      </c>
      <c r="J427" s="911">
        <v>737</v>
      </c>
      <c r="K427" s="892">
        <v>2389</v>
      </c>
      <c r="L427" s="785">
        <v>3215</v>
      </c>
      <c r="M427" s="785">
        <v>4040</v>
      </c>
      <c r="N427" s="23" t="str">
        <f>D427&amp;FIXED(MOD(F427,10),0)</f>
        <v>hh97</v>
      </c>
      <c r="O427" s="78" t="str">
        <f>MID(A$5,((FIND(N427,A$4,1)-1)+1),4)</f>
        <v>db7e</v>
      </c>
      <c r="P427" s="94" t="s">
        <v>0</v>
      </c>
      <c r="Q427" s="78" t="s">
        <v>0</v>
      </c>
      <c r="R427" s="103" t="s">
        <v>0</v>
      </c>
      <c r="S427" s="103" t="s">
        <v>0</v>
      </c>
      <c r="T427" s="42" t="s">
        <v>1</v>
      </c>
    </row>
    <row r="428" spans="1:20" ht="12.75">
      <c r="A428" s="44">
        <v>4133</v>
      </c>
      <c r="B428" s="886">
        <v>8266</v>
      </c>
      <c r="C428" s="886">
        <v>17081689</v>
      </c>
      <c r="D428" s="950" t="s">
        <v>2496</v>
      </c>
      <c r="E428" s="115">
        <f>B428-MOD(E$1-A428*3,B428)</f>
        <v>5275</v>
      </c>
      <c r="F428" s="644">
        <f>IF(MOD(E428,5)=0,B428,0)+E428</f>
        <v>13541</v>
      </c>
      <c r="G428" s="814">
        <f>IF(MOD(F428+$B428,5)=0,$B428,0)+$B428+F428</f>
        <v>21807</v>
      </c>
      <c r="H428" s="785">
        <f>IF(MOD(G428+$B428,5)=0,$B428,0)+$B428+G428</f>
        <v>30073</v>
      </c>
      <c r="I428" s="785">
        <f>IF(MOD(H428+$B428,5)=0,$B428,0)+$B428+H428</f>
        <v>38339</v>
      </c>
      <c r="J428" s="911">
        <v>1354</v>
      </c>
      <c r="K428" s="892">
        <v>2180</v>
      </c>
      <c r="L428" s="785">
        <v>3007</v>
      </c>
      <c r="M428" s="785">
        <v>3833</v>
      </c>
      <c r="N428" s="23" t="str">
        <f>D428&amp;FIXED(MOD(F428,10),0)</f>
        <v>hh31</v>
      </c>
      <c r="O428" s="78" t="str">
        <f>MID(A$5,((FIND(N428,A$4,1)-1)+1),4)</f>
        <v>7dbe</v>
      </c>
      <c r="P428" s="94" t="s">
        <v>0</v>
      </c>
      <c r="Q428" s="78" t="s">
        <v>0</v>
      </c>
      <c r="R428" s="103" t="s">
        <v>0</v>
      </c>
      <c r="S428" s="103" t="s">
        <v>0</v>
      </c>
      <c r="T428" s="42" t="s">
        <v>1</v>
      </c>
    </row>
    <row r="429" spans="1:20" ht="12.75">
      <c r="A429" s="44">
        <v>4139</v>
      </c>
      <c r="B429" s="886">
        <v>8278</v>
      </c>
      <c r="C429" s="886">
        <v>17131321</v>
      </c>
      <c r="D429" s="950" t="s">
        <v>2506</v>
      </c>
      <c r="E429" s="115">
        <f>B429-MOD(E$1-A429*3,B429)</f>
        <v>3803</v>
      </c>
      <c r="F429" s="644">
        <f>IF(MOD(E429,5)=0,B429,0)+E429</f>
        <v>3803</v>
      </c>
      <c r="G429" s="814">
        <f>IF(MOD(F429+$B429,5)=0,$B429,0)+$B429+F429</f>
        <v>12081</v>
      </c>
      <c r="H429" s="785">
        <f>IF(MOD(G429+$B429,5)=0,$B429,0)+$B429+G429</f>
        <v>20359</v>
      </c>
      <c r="I429" s="785">
        <f>IF(MOD(H429+$B429,5)=0,$B429,0)+$B429+H429</f>
        <v>28637</v>
      </c>
      <c r="J429" s="911">
        <v>380</v>
      </c>
      <c r="K429" s="892">
        <v>1208</v>
      </c>
      <c r="L429" s="785">
        <v>2035</v>
      </c>
      <c r="M429" s="785">
        <v>2863</v>
      </c>
      <c r="N429" s="23" t="str">
        <f>D429&amp;FIXED(MOD(F429,10),0)</f>
        <v>hh93</v>
      </c>
      <c r="O429" s="78" t="str">
        <f>MID(A$5,((FIND(N429,A$4,1)-1)+1),4)</f>
        <v>b7ed</v>
      </c>
      <c r="P429" s="94" t="s">
        <v>0</v>
      </c>
      <c r="Q429" s="78" t="s">
        <v>0</v>
      </c>
      <c r="R429" s="103" t="s">
        <v>0</v>
      </c>
      <c r="S429" s="103" t="s">
        <v>0</v>
      </c>
      <c r="T429" s="42" t="s">
        <v>1</v>
      </c>
    </row>
    <row r="430" spans="1:20" ht="12.75">
      <c r="A430" s="44">
        <v>4153</v>
      </c>
      <c r="B430" s="886">
        <v>8306</v>
      </c>
      <c r="C430" s="886">
        <v>17247409</v>
      </c>
      <c r="D430" s="950" t="s">
        <v>2496</v>
      </c>
      <c r="E430" s="115">
        <f>B430-MOD(E$1-A430*3,B430)</f>
        <v>7079</v>
      </c>
      <c r="F430" s="644">
        <f>IF(MOD(E430,5)=0,B430,0)+E430</f>
        <v>7079</v>
      </c>
      <c r="G430" s="814">
        <f>IF(MOD(F430+$B430,5)=0,$B430,0)+$B430+F430</f>
        <v>23691</v>
      </c>
      <c r="H430" s="785">
        <f>IF(MOD(G430+$B430,5)=0,$B430,0)+$B430+G430</f>
        <v>31997</v>
      </c>
      <c r="I430" s="785">
        <f>IF(MOD(H430+$B430,5)=0,$B430,0)+$B430+H430</f>
        <v>40303</v>
      </c>
      <c r="J430" s="911">
        <v>707</v>
      </c>
      <c r="K430" s="892">
        <v>2369</v>
      </c>
      <c r="L430" s="785">
        <v>3199</v>
      </c>
      <c r="M430" s="785">
        <v>4030</v>
      </c>
      <c r="N430" s="23" t="str">
        <f>D430&amp;FIXED(MOD(F430,10),0)</f>
        <v>hh39</v>
      </c>
      <c r="O430" s="78" t="str">
        <f>MID(A$5,((FIND(N430,A$4,1)-1)+1),4)</f>
        <v>e7db</v>
      </c>
      <c r="P430" s="94" t="s">
        <v>0</v>
      </c>
      <c r="Q430" s="78" t="s">
        <v>0</v>
      </c>
      <c r="R430" s="103" t="s">
        <v>0</v>
      </c>
      <c r="S430" s="103" t="s">
        <v>0</v>
      </c>
      <c r="T430" s="42" t="s">
        <v>1</v>
      </c>
    </row>
    <row r="431" spans="1:20" ht="12.75">
      <c r="A431" s="44">
        <v>4157</v>
      </c>
      <c r="B431" s="886">
        <v>8314</v>
      </c>
      <c r="C431" s="886">
        <v>17280649</v>
      </c>
      <c r="D431" s="950" t="s">
        <v>2501</v>
      </c>
      <c r="E431" s="115">
        <f>B431-MOD(E$1-A431*3,B431)</f>
        <v>2697</v>
      </c>
      <c r="F431" s="644">
        <f>IF(MOD(E431,5)=0,B431,0)+E431</f>
        <v>2697</v>
      </c>
      <c r="G431" s="814">
        <f>IF(MOD(F431+$B431,5)=0,$B431,0)+$B431+F431</f>
        <v>11011</v>
      </c>
      <c r="H431" s="785">
        <f>IF(MOD(G431+$B431,5)=0,$B431,0)+$B431+G431</f>
        <v>27639</v>
      </c>
      <c r="I431" s="785">
        <f>IF(MOD(H431+$B431,5)=0,$B431,0)+$B431+H431</f>
        <v>35953</v>
      </c>
      <c r="J431" s="911">
        <v>269</v>
      </c>
      <c r="K431" s="892">
        <v>1101</v>
      </c>
      <c r="L431" s="785">
        <v>2763</v>
      </c>
      <c r="M431" s="785">
        <v>3595</v>
      </c>
      <c r="N431" s="23" t="str">
        <f>D431&amp;FIXED(MOD(F431,10),0)</f>
        <v>hh77</v>
      </c>
      <c r="O431" s="78" t="str">
        <f>MID(A$5,((FIND(N431,A$4,1)-1)+1),4)</f>
        <v>d7eb</v>
      </c>
      <c r="P431" s="94" t="s">
        <v>0</v>
      </c>
      <c r="Q431" s="78" t="s">
        <v>0</v>
      </c>
      <c r="R431" s="103" t="s">
        <v>0</v>
      </c>
      <c r="S431" s="103" t="s">
        <v>0</v>
      </c>
      <c r="T431" s="42" t="s">
        <v>1</v>
      </c>
    </row>
    <row r="432" spans="1:20" ht="12.75">
      <c r="A432" s="44">
        <v>4159</v>
      </c>
      <c r="B432" s="886">
        <v>8318</v>
      </c>
      <c r="C432" s="886">
        <v>17297281</v>
      </c>
      <c r="D432" s="950" t="s">
        <v>2506</v>
      </c>
      <c r="E432" s="115">
        <f>B432-MOD(E$1-A432*3,B432)</f>
        <v>4399</v>
      </c>
      <c r="F432" s="644">
        <f>IF(MOD(E432,5)=0,B432,0)+E432</f>
        <v>4399</v>
      </c>
      <c r="G432" s="814">
        <f>IF(MOD(F432+$B432,5)=0,$B432,0)+$B432+F432</f>
        <v>12717</v>
      </c>
      <c r="H432" s="785">
        <f>IF(MOD(G432+$B432,5)=0,$B432,0)+$B432+G432</f>
        <v>29353</v>
      </c>
      <c r="I432" s="785">
        <f>IF(MOD(H432+$B432,5)=0,$B432,0)+$B432+H432</f>
        <v>37671</v>
      </c>
      <c r="J432" s="911">
        <v>439</v>
      </c>
      <c r="K432" s="892">
        <v>1271</v>
      </c>
      <c r="L432" s="785">
        <v>2935</v>
      </c>
      <c r="M432" s="785">
        <v>3767</v>
      </c>
      <c r="N432" s="23" t="str">
        <f>D432&amp;FIXED(MOD(F432,10),0)</f>
        <v>hh99</v>
      </c>
      <c r="O432" s="78" t="str">
        <f>MID(A$5,((FIND(N432,A$4,1)-1)+1),4)</f>
        <v>edb7</v>
      </c>
      <c r="P432" s="94" t="s">
        <v>0</v>
      </c>
      <c r="Q432" s="78" t="s">
        <v>0</v>
      </c>
      <c r="R432" s="103" t="s">
        <v>0</v>
      </c>
      <c r="S432" s="103" t="s">
        <v>0</v>
      </c>
      <c r="T432" s="42" t="s">
        <v>1</v>
      </c>
    </row>
    <row r="433" spans="1:20" ht="12.75">
      <c r="A433" s="44">
        <v>4177</v>
      </c>
      <c r="B433" s="886">
        <v>8354</v>
      </c>
      <c r="C433" s="886">
        <v>17447329</v>
      </c>
      <c r="D433" s="950" t="s">
        <v>2501</v>
      </c>
      <c r="E433" s="115">
        <f>B433-MOD(E$1-A433*3,B433)</f>
        <v>377</v>
      </c>
      <c r="F433" s="644">
        <f>IF(MOD(E433,5)=0,B433,0)+E433</f>
        <v>377</v>
      </c>
      <c r="G433" s="814">
        <f>IF(MOD(F433+$B433,5)=0,$B433,0)+$B433+F433</f>
        <v>8731</v>
      </c>
      <c r="H433" s="785">
        <f>IF(MOD(G433+$B433,5)=0,$B433,0)+$B433+G433</f>
        <v>25439</v>
      </c>
      <c r="I433" s="785">
        <f>IF(MOD(H433+$B433,5)=0,$B433,0)+$B433+H433</f>
        <v>33793</v>
      </c>
      <c r="J433" s="911">
        <v>37</v>
      </c>
      <c r="K433" s="892">
        <v>873</v>
      </c>
      <c r="L433" s="785">
        <v>2543</v>
      </c>
      <c r="M433" s="785">
        <v>3379</v>
      </c>
      <c r="N433" s="23" t="str">
        <f>D433&amp;FIXED(MOD(F433,10),0)</f>
        <v>hh77</v>
      </c>
      <c r="O433" s="78" t="str">
        <f>MID(A$5,((FIND(N433,A$4,1)-1)+1),4)</f>
        <v>d7eb</v>
      </c>
      <c r="P433" s="94" t="s">
        <v>0</v>
      </c>
      <c r="Q433" s="78" t="s">
        <v>0</v>
      </c>
      <c r="R433" s="103" t="s">
        <v>0</v>
      </c>
      <c r="S433" s="103" t="s">
        <v>0</v>
      </c>
      <c r="T433" s="42" t="s">
        <v>1</v>
      </c>
    </row>
    <row r="434" spans="1:20" ht="12.75">
      <c r="A434" s="44">
        <v>4201</v>
      </c>
      <c r="B434" s="886">
        <v>8402</v>
      </c>
      <c r="C434" s="886">
        <v>17648401</v>
      </c>
      <c r="D434" s="950" t="s">
        <v>2490</v>
      </c>
      <c r="E434" s="115">
        <f>B434-MOD(E$1-A434*3,B434)</f>
        <v>8327</v>
      </c>
      <c r="F434" s="644">
        <f>IF(MOD(E434,5)=0,B434,0)+E434</f>
        <v>8327</v>
      </c>
      <c r="G434" s="785">
        <f>IF(MOD(F434+$B434,5)=0,$B434,0)+$B434+F434</f>
        <v>16729</v>
      </c>
      <c r="H434" s="785">
        <f>IF(MOD(G434+$B434,5)=0,$B434,0)+$B434+G434</f>
        <v>25131</v>
      </c>
      <c r="I434" s="785">
        <f>IF(MOD(H434+$B434,5)=0,$B434,0)+$B434+H434</f>
        <v>33533</v>
      </c>
      <c r="J434" s="911">
        <v>832</v>
      </c>
      <c r="K434" s="785">
        <v>1672</v>
      </c>
      <c r="L434" s="785">
        <v>2513</v>
      </c>
      <c r="M434" s="785">
        <v>3353</v>
      </c>
      <c r="N434" s="23" t="str">
        <f>D434&amp;FIXED(MOD(F434,10),0)</f>
        <v>hh17</v>
      </c>
      <c r="O434" s="78" t="str">
        <f>MID(A$5,((FIND(N434,A$4,1)-1)+1),4)</f>
        <v>de7b</v>
      </c>
      <c r="P434" s="94" t="s">
        <v>0</v>
      </c>
      <c r="Q434" s="219" t="s">
        <v>0</v>
      </c>
      <c r="R434" s="103" t="s">
        <v>0</v>
      </c>
      <c r="S434" s="103" t="s">
        <v>0</v>
      </c>
      <c r="T434" s="42" t="s">
        <v>1</v>
      </c>
    </row>
    <row r="435" spans="1:20" ht="12.75">
      <c r="A435" s="44">
        <v>4211</v>
      </c>
      <c r="B435" s="886">
        <v>8422</v>
      </c>
      <c r="C435" s="886">
        <v>17732521</v>
      </c>
      <c r="D435" s="950" t="s">
        <v>2490</v>
      </c>
      <c r="E435" s="115">
        <f>B435-MOD(E$1-A435*3,B435)</f>
        <v>5913</v>
      </c>
      <c r="F435" s="644">
        <f>IF(MOD(E435,5)=0,B435,0)+E435</f>
        <v>5913</v>
      </c>
      <c r="G435" s="785">
        <f>IF(MOD(F435+$B435,5)=0,$B435,0)+$B435+F435</f>
        <v>22757</v>
      </c>
      <c r="H435" s="785">
        <f>IF(MOD(G435+$B435,5)=0,$B435,0)+$B435+G435</f>
        <v>31179</v>
      </c>
      <c r="I435" s="785">
        <f>IF(MOD(H435+$B435,5)=0,$B435,0)+$B435+H435</f>
        <v>39601</v>
      </c>
      <c r="J435" s="911">
        <v>591</v>
      </c>
      <c r="K435" s="785">
        <v>2275</v>
      </c>
      <c r="L435" s="785">
        <v>3117</v>
      </c>
      <c r="M435" s="785">
        <v>3960</v>
      </c>
      <c r="N435" s="23" t="str">
        <f>D435&amp;FIXED(MOD(F435,10),0)</f>
        <v>hh13</v>
      </c>
      <c r="O435" s="78" t="str">
        <f>MID(A$5,((FIND(N435,A$4,1)-1)+1),4)</f>
        <v>bde7</v>
      </c>
      <c r="P435" s="76" t="s">
        <v>0</v>
      </c>
      <c r="Q435" s="219" t="s">
        <v>0</v>
      </c>
      <c r="R435" s="103" t="s">
        <v>0</v>
      </c>
      <c r="S435" s="103" t="s">
        <v>0</v>
      </c>
      <c r="T435" s="42" t="s">
        <v>1</v>
      </c>
    </row>
    <row r="436" spans="1:20" ht="12.75">
      <c r="A436" s="44">
        <v>4217</v>
      </c>
      <c r="B436" s="886">
        <v>8434</v>
      </c>
      <c r="C436" s="886">
        <v>17783089</v>
      </c>
      <c r="D436" s="950" t="s">
        <v>2501</v>
      </c>
      <c r="E436" s="115">
        <f>B436-MOD(E$1-A436*3,B436)</f>
        <v>4179</v>
      </c>
      <c r="F436" s="644">
        <f>IF(MOD(E436,5)=0,B436,0)+E436</f>
        <v>4179</v>
      </c>
      <c r="G436" s="785">
        <f>IF(MOD(F436+$B436,5)=0,$B436,0)+$B436+F436</f>
        <v>12613</v>
      </c>
      <c r="H436" s="785">
        <f>IF(MOD(G436+$B436,5)=0,$B436,0)+$B436+G436</f>
        <v>21047</v>
      </c>
      <c r="I436" s="785">
        <f>IF(MOD(H436+$B436,5)=0,$B436,0)+$B436+H436</f>
        <v>29481</v>
      </c>
      <c r="J436" s="911">
        <v>417</v>
      </c>
      <c r="K436" s="785">
        <v>1261</v>
      </c>
      <c r="L436" s="785">
        <v>2104</v>
      </c>
      <c r="M436" s="785">
        <v>2948</v>
      </c>
      <c r="N436" s="23" t="str">
        <f>D436&amp;FIXED(MOD(F436,10),0)</f>
        <v>hh79</v>
      </c>
      <c r="O436" s="78" t="str">
        <f>MID(A$5,((FIND(N436,A$4,1)-1)+1),4)</f>
        <v>ebd7</v>
      </c>
      <c r="P436" s="76" t="s">
        <v>0</v>
      </c>
      <c r="Q436" s="219" t="s">
        <v>0</v>
      </c>
      <c r="R436" s="103" t="s">
        <v>0</v>
      </c>
      <c r="S436" s="103" t="s">
        <v>0</v>
      </c>
      <c r="T436" s="42" t="s">
        <v>1</v>
      </c>
    </row>
    <row r="437" spans="1:20" ht="12.75">
      <c r="A437" s="44">
        <v>4219</v>
      </c>
      <c r="B437" s="886">
        <v>8438</v>
      </c>
      <c r="C437" s="886">
        <v>17799961</v>
      </c>
      <c r="D437" s="950" t="s">
        <v>2506</v>
      </c>
      <c r="E437" s="115">
        <f>B437-MOD(E$1-A437*3,B437)</f>
        <v>4177</v>
      </c>
      <c r="F437" s="644">
        <f>IF(MOD(E437,5)=0,B437,0)+E437</f>
        <v>4177</v>
      </c>
      <c r="G437" s="785">
        <f>IF(MOD(F437+$B437,5)=0,$B437,0)+$B437+F437</f>
        <v>21053</v>
      </c>
      <c r="H437" s="785">
        <f>IF(MOD(G437+$B437,5)=0,$B437,0)+$B437+G437</f>
        <v>29491</v>
      </c>
      <c r="I437" s="785">
        <f>IF(MOD(H437+$B437,5)=0,$B437,0)+$B437+H437</f>
        <v>37929</v>
      </c>
      <c r="J437" s="911">
        <v>417</v>
      </c>
      <c r="K437" s="785">
        <v>2105</v>
      </c>
      <c r="L437" s="785">
        <v>2949</v>
      </c>
      <c r="M437" s="785">
        <v>3792</v>
      </c>
      <c r="N437" s="23" t="str">
        <f>D437&amp;FIXED(MOD(F437,10),0)</f>
        <v>hh97</v>
      </c>
      <c r="O437" s="78" t="str">
        <f>MID(A$5,((FIND(N437,A$4,1)-1)+1),4)</f>
        <v>db7e</v>
      </c>
      <c r="P437" s="76" t="s">
        <v>0</v>
      </c>
      <c r="Q437" s="219" t="s">
        <v>0</v>
      </c>
      <c r="R437" s="103" t="s">
        <v>0</v>
      </c>
      <c r="S437" s="103" t="s">
        <v>0</v>
      </c>
      <c r="T437" s="42" t="s">
        <v>1</v>
      </c>
    </row>
    <row r="438" spans="1:20" ht="12.75">
      <c r="A438" s="44">
        <v>4229</v>
      </c>
      <c r="B438" s="886">
        <v>8458</v>
      </c>
      <c r="C438" s="886">
        <v>17884441</v>
      </c>
      <c r="D438" s="950" t="s">
        <v>2506</v>
      </c>
      <c r="E438" s="115">
        <f>B438-MOD(E$1-A438*3,B438)</f>
        <v>393</v>
      </c>
      <c r="F438" s="644">
        <f>IF(MOD(E438,5)=0,B438,0)+E438</f>
        <v>393</v>
      </c>
      <c r="G438" s="785">
        <f>IF(MOD(F438+$B438,5)=0,$B438,0)+$B438+F438</f>
        <v>8851</v>
      </c>
      <c r="H438" s="785">
        <f>IF(MOD(G438+$B438,5)=0,$B438,0)+$B438+G438</f>
        <v>17309</v>
      </c>
      <c r="I438" s="785">
        <f>IF(MOD(H438+$B438,5)=0,$B438,0)+$B438+H438</f>
        <v>25767</v>
      </c>
      <c r="J438" s="911">
        <v>39</v>
      </c>
      <c r="K438" s="785">
        <v>885</v>
      </c>
      <c r="L438" s="785">
        <v>1730</v>
      </c>
      <c r="M438" s="785">
        <v>2576</v>
      </c>
      <c r="N438" s="23" t="str">
        <f>D438&amp;FIXED(MOD(F438,10),0)</f>
        <v>hh93</v>
      </c>
      <c r="O438" s="78" t="str">
        <f>MID(A$5,((FIND(N438,A$4,1)-1)+1),4)</f>
        <v>b7ed</v>
      </c>
      <c r="P438" s="76" t="s">
        <v>0</v>
      </c>
      <c r="Q438" s="219" t="s">
        <v>0</v>
      </c>
      <c r="R438" s="103" t="s">
        <v>0</v>
      </c>
      <c r="S438" s="103" t="s">
        <v>0</v>
      </c>
      <c r="T438" s="42" t="s">
        <v>1</v>
      </c>
    </row>
    <row r="439" spans="1:20" ht="12.75">
      <c r="A439" s="44">
        <v>4231</v>
      </c>
      <c r="B439" s="886">
        <v>8462</v>
      </c>
      <c r="C439" s="886">
        <v>17901361</v>
      </c>
      <c r="D439" s="950" t="s">
        <v>2490</v>
      </c>
      <c r="E439" s="115">
        <f>B439-MOD(E$1-A439*3,B439)</f>
        <v>3245</v>
      </c>
      <c r="F439" s="644">
        <f>IF(MOD(E439,5)=0,B439,0)+E439</f>
        <v>11707</v>
      </c>
      <c r="G439" s="785">
        <f>IF(MOD(F439+$B439,5)=0,$B439,0)+$B439+F439</f>
        <v>20169</v>
      </c>
      <c r="H439" s="785">
        <f>IF(MOD(G439+$B439,5)=0,$B439,0)+$B439+G439</f>
        <v>28631</v>
      </c>
      <c r="I439" s="785">
        <f>IF(MOD(H439+$B439,5)=0,$B439,0)+$B439+H439</f>
        <v>37093</v>
      </c>
      <c r="J439" s="911">
        <v>1170</v>
      </c>
      <c r="K439" s="785">
        <v>2016</v>
      </c>
      <c r="L439" s="785">
        <v>2863</v>
      </c>
      <c r="M439" s="785">
        <v>3709</v>
      </c>
      <c r="N439" s="23" t="str">
        <f>D439&amp;FIXED(MOD(F439,10),0)</f>
        <v>hh17</v>
      </c>
      <c r="O439" s="78" t="str">
        <f>MID(A$5,((FIND(N439,A$4,1)-1)+1),4)</f>
        <v>de7b</v>
      </c>
      <c r="P439" s="76" t="s">
        <v>0</v>
      </c>
      <c r="Q439" s="219" t="s">
        <v>0</v>
      </c>
      <c r="R439" s="103" t="s">
        <v>0</v>
      </c>
      <c r="S439" s="103" t="s">
        <v>0</v>
      </c>
      <c r="T439" s="42" t="s">
        <v>1</v>
      </c>
    </row>
    <row r="440" spans="1:20" ht="12.75">
      <c r="A440" s="44">
        <v>4241</v>
      </c>
      <c r="B440" s="886">
        <v>8482</v>
      </c>
      <c r="C440" s="886">
        <v>17986081</v>
      </c>
      <c r="D440" s="950" t="s">
        <v>2490</v>
      </c>
      <c r="E440" s="115">
        <f>B440-MOD(E$1-A440*3,B440)</f>
        <v>5689</v>
      </c>
      <c r="F440" s="644">
        <f>IF(MOD(E440,5)=0,B440,0)+E440</f>
        <v>5689</v>
      </c>
      <c r="G440" s="785">
        <f>IF(MOD(F440+$B440,5)=0,$B440,0)+$B440+F440</f>
        <v>14171</v>
      </c>
      <c r="H440" s="785">
        <f>IF(MOD(G440+$B440,5)=0,$B440,0)+$B440+G440</f>
        <v>22653</v>
      </c>
      <c r="I440" s="785">
        <f>IF(MOD(H440+$B440,5)=0,$B440,0)+$B440+H440</f>
        <v>39617</v>
      </c>
      <c r="J440" s="911">
        <v>568</v>
      </c>
      <c r="K440" s="785">
        <v>1417</v>
      </c>
      <c r="L440" s="785">
        <v>2265</v>
      </c>
      <c r="M440" s="785">
        <v>3961</v>
      </c>
      <c r="N440" s="23" t="str">
        <f>D440&amp;FIXED(MOD(F440,10),0)</f>
        <v>hh19</v>
      </c>
      <c r="O440" s="78" t="str">
        <f>MID(A$5,((FIND(N440,A$4,1)-1)+1),4)</f>
        <v>e7bd</v>
      </c>
      <c r="P440" s="76" t="s">
        <v>0</v>
      </c>
      <c r="Q440" s="219" t="s">
        <v>0</v>
      </c>
      <c r="R440" s="103" t="s">
        <v>0</v>
      </c>
      <c r="S440" s="103" t="s">
        <v>0</v>
      </c>
      <c r="T440" s="42" t="s">
        <v>1</v>
      </c>
    </row>
    <row r="441" spans="1:20" ht="12.75">
      <c r="A441" s="44">
        <v>4243</v>
      </c>
      <c r="B441" s="886">
        <v>8486</v>
      </c>
      <c r="C441" s="886">
        <v>18003049</v>
      </c>
      <c r="D441" s="950" t="s">
        <v>2496</v>
      </c>
      <c r="E441" s="115">
        <f>B441-MOD(E$1-A441*3,B441)</f>
        <v>8155</v>
      </c>
      <c r="F441" s="644">
        <f>IF(MOD(E441,5)=0,B441,0)+E441</f>
        <v>16641</v>
      </c>
      <c r="G441" s="785">
        <f>IF(MOD(F441+$B441,5)=0,$B441,0)+$B441+F441</f>
        <v>25127</v>
      </c>
      <c r="H441" s="785">
        <f>IF(MOD(G441+$B441,5)=0,$B441,0)+$B441+G441</f>
        <v>33613</v>
      </c>
      <c r="I441" s="785">
        <f>IF(MOD(H441+$B441,5)=0,$B441,0)+$B441+H441</f>
        <v>42099</v>
      </c>
      <c r="J441" s="911">
        <v>1664</v>
      </c>
      <c r="K441" s="785">
        <v>2512</v>
      </c>
      <c r="L441" s="785">
        <v>3361</v>
      </c>
      <c r="M441" s="785">
        <v>4209</v>
      </c>
      <c r="N441" s="23" t="str">
        <f>D441&amp;FIXED(MOD(F441,10),0)</f>
        <v>hh31</v>
      </c>
      <c r="O441" s="78" t="str">
        <f>MID(A$5,((FIND(N441,A$4,1)-1)+1),4)</f>
        <v>7dbe</v>
      </c>
      <c r="P441" s="76" t="s">
        <v>0</v>
      </c>
      <c r="Q441" s="219" t="s">
        <v>0</v>
      </c>
      <c r="R441" s="103" t="s">
        <v>0</v>
      </c>
      <c r="S441" s="103" t="s">
        <v>0</v>
      </c>
      <c r="T441" s="42" t="s">
        <v>1</v>
      </c>
    </row>
    <row r="442" spans="1:20" ht="12.75">
      <c r="A442" s="44">
        <v>4253</v>
      </c>
      <c r="B442" s="886">
        <v>8506</v>
      </c>
      <c r="C442" s="886">
        <v>18088009</v>
      </c>
      <c r="D442" s="950" t="s">
        <v>2496</v>
      </c>
      <c r="E442" s="115">
        <f>B442-MOD(E$1-A442*3,B442)</f>
        <v>147</v>
      </c>
      <c r="F442" s="644">
        <f>IF(MOD(E442,5)=0,B442,0)+E442</f>
        <v>147</v>
      </c>
      <c r="G442" s="785">
        <f>IF(MOD(F442+$B442,5)=0,$B442,0)+$B442+F442</f>
        <v>8653</v>
      </c>
      <c r="H442" s="785">
        <f>IF(MOD(G442+$B442,5)=0,$B442,0)+$B442+G442</f>
        <v>17159</v>
      </c>
      <c r="I442" s="785">
        <f>IF(MOD(H442+$B442,5)=0,$B442,0)+$B442+H442</f>
        <v>34171</v>
      </c>
      <c r="J442" s="911">
        <v>14</v>
      </c>
      <c r="K442" s="785">
        <v>865</v>
      </c>
      <c r="L442" s="785">
        <v>1715</v>
      </c>
      <c r="M442" s="785">
        <v>3417</v>
      </c>
      <c r="N442" s="23" t="str">
        <f>D442&amp;FIXED(MOD(F442,10),0)</f>
        <v>hh37</v>
      </c>
      <c r="O442" s="78" t="str">
        <f>MID(A$5,((FIND(N442,A$4,1)-1)+1),4)</f>
        <v>dbe7</v>
      </c>
      <c r="P442" s="76" t="s">
        <v>0</v>
      </c>
      <c r="Q442" s="219" t="s">
        <v>0</v>
      </c>
      <c r="R442" s="103" t="s">
        <v>0</v>
      </c>
      <c r="S442" s="103" t="s">
        <v>0</v>
      </c>
      <c r="T442" s="42" t="s">
        <v>1</v>
      </c>
    </row>
    <row r="443" spans="1:20" ht="12.75">
      <c r="A443" s="44">
        <v>4259</v>
      </c>
      <c r="B443" s="886">
        <v>8518</v>
      </c>
      <c r="C443" s="886">
        <v>18139081</v>
      </c>
      <c r="D443" s="950" t="s">
        <v>2506</v>
      </c>
      <c r="E443" s="115">
        <f>B443-MOD(E$1-A443*3,B443)</f>
        <v>2743</v>
      </c>
      <c r="F443" s="644">
        <f>IF(MOD(E443,5)=0,B443,0)+E443</f>
        <v>2743</v>
      </c>
      <c r="G443" s="785">
        <f>IF(MOD(F443+$B443,5)=0,$B443,0)+$B443+F443</f>
        <v>11261</v>
      </c>
      <c r="H443" s="785">
        <f>IF(MOD(G443+$B443,5)=0,$B443,0)+$B443+G443</f>
        <v>19779</v>
      </c>
      <c r="I443" s="785">
        <f>IF(MOD(H443+$B443,5)=0,$B443,0)+$B443+H443</f>
        <v>28297</v>
      </c>
      <c r="J443" s="911">
        <v>274</v>
      </c>
      <c r="K443" s="785">
        <v>1126</v>
      </c>
      <c r="L443" s="785">
        <v>1977</v>
      </c>
      <c r="M443" s="785">
        <v>2829</v>
      </c>
      <c r="N443" s="23" t="str">
        <f>D443&amp;FIXED(MOD(F443,10),0)</f>
        <v>hh93</v>
      </c>
      <c r="O443" s="78" t="str">
        <f>MID(A$5,((FIND(N443,A$4,1)-1)+1),4)</f>
        <v>b7ed</v>
      </c>
      <c r="P443" s="76" t="s">
        <v>0</v>
      </c>
      <c r="Q443" s="219" t="s">
        <v>0</v>
      </c>
      <c r="R443" s="103" t="s">
        <v>0</v>
      </c>
      <c r="S443" s="103" t="s">
        <v>0</v>
      </c>
      <c r="T443" s="42" t="s">
        <v>1</v>
      </c>
    </row>
    <row r="444" spans="1:20" ht="12.75">
      <c r="A444" s="44">
        <v>4261</v>
      </c>
      <c r="B444" s="886">
        <v>8522</v>
      </c>
      <c r="C444" s="886">
        <v>18156121</v>
      </c>
      <c r="D444" s="950" t="s">
        <v>2490</v>
      </c>
      <c r="E444" s="115">
        <f>B444-MOD(E$1-A444*3,B444)</f>
        <v>273</v>
      </c>
      <c r="F444" s="644">
        <f>IF(MOD(E444,5)=0,B444,0)+E444</f>
        <v>273</v>
      </c>
      <c r="G444" s="785">
        <f>IF(MOD(F444+$B444,5)=0,$B444,0)+$B444+F444</f>
        <v>17317</v>
      </c>
      <c r="H444" s="785">
        <f>IF(MOD(G444+$B444,5)=0,$B444,0)+$B444+G444</f>
        <v>25839</v>
      </c>
      <c r="I444" s="785">
        <f>IF(MOD(H444+$B444,5)=0,$B444,0)+$B444+H444</f>
        <v>34361</v>
      </c>
      <c r="J444" s="911">
        <v>27</v>
      </c>
      <c r="K444" s="785">
        <v>1731</v>
      </c>
      <c r="L444" s="785">
        <v>2583</v>
      </c>
      <c r="M444" s="785">
        <v>3436</v>
      </c>
      <c r="N444" s="23" t="str">
        <f>D444&amp;FIXED(MOD(F444,10),0)</f>
        <v>hh13</v>
      </c>
      <c r="O444" s="78" t="str">
        <f>MID(A$5,((FIND(N444,A$4,1)-1)+1),4)</f>
        <v>bde7</v>
      </c>
      <c r="P444" s="76" t="s">
        <v>0</v>
      </c>
      <c r="Q444" s="219" t="s">
        <v>0</v>
      </c>
      <c r="R444" s="103" t="s">
        <v>0</v>
      </c>
      <c r="S444" s="103" t="s">
        <v>0</v>
      </c>
      <c r="T444" s="42" t="s">
        <v>1</v>
      </c>
    </row>
    <row r="445" spans="1:20" ht="12.75">
      <c r="A445" s="44">
        <v>4271</v>
      </c>
      <c r="B445" s="886">
        <v>8542</v>
      </c>
      <c r="C445" s="886">
        <v>18241441</v>
      </c>
      <c r="D445" s="950" t="s">
        <v>2490</v>
      </c>
      <c r="E445" s="115">
        <f>B445-MOD(E$1-A445*3,B445)</f>
        <v>913</v>
      </c>
      <c r="F445" s="644">
        <f>IF(MOD(E445,5)=0,B445,0)+E445</f>
        <v>913</v>
      </c>
      <c r="G445" s="785">
        <f>IF(MOD(F445+$B445,5)=0,$B445,0)+$B445+F445</f>
        <v>17997</v>
      </c>
      <c r="H445" s="785">
        <f>IF(MOD(G445+$B445,5)=0,$B445,0)+$B445+G445</f>
        <v>26539</v>
      </c>
      <c r="I445" s="785">
        <f>IF(MOD(H445+$B445,5)=0,$B445,0)+$B445+H445</f>
        <v>35081</v>
      </c>
      <c r="J445" s="911">
        <v>91</v>
      </c>
      <c r="K445" s="785">
        <v>1799</v>
      </c>
      <c r="L445" s="785">
        <v>2653</v>
      </c>
      <c r="M445" s="785">
        <v>3508</v>
      </c>
      <c r="N445" s="23" t="str">
        <f>D445&amp;FIXED(MOD(F445,10),0)</f>
        <v>hh13</v>
      </c>
      <c r="O445" s="78" t="str">
        <f>MID(A$5,((FIND(N445,A$4,1)-1)+1),4)</f>
        <v>bde7</v>
      </c>
      <c r="P445" s="76" t="s">
        <v>0</v>
      </c>
      <c r="Q445" s="219" t="s">
        <v>0</v>
      </c>
      <c r="R445" s="103" t="s">
        <v>0</v>
      </c>
      <c r="S445" s="103" t="s">
        <v>0</v>
      </c>
      <c r="T445" s="42" t="s">
        <v>1</v>
      </c>
    </row>
    <row r="446" spans="1:20" ht="12.75">
      <c r="A446" s="44">
        <v>4273</v>
      </c>
      <c r="B446" s="886">
        <v>8546</v>
      </c>
      <c r="C446" s="886">
        <v>18258529</v>
      </c>
      <c r="D446" s="950" t="s">
        <v>2496</v>
      </c>
      <c r="E446" s="115">
        <f>B446-MOD(E$1-A446*3,B446)</f>
        <v>6243</v>
      </c>
      <c r="F446" s="644">
        <f>IF(MOD(E446,5)=0,B446,0)+E446</f>
        <v>6243</v>
      </c>
      <c r="G446" s="785">
        <f>IF(MOD(F446+$B446,5)=0,$B446,0)+$B446+F446</f>
        <v>14789</v>
      </c>
      <c r="H446" s="785">
        <f>IF(MOD(G446+$B446,5)=0,$B446,0)+$B446+G446</f>
        <v>31881</v>
      </c>
      <c r="I446" s="785">
        <f>IF(MOD(H446+$B446,5)=0,$B446,0)+$B446+H446</f>
        <v>40427</v>
      </c>
      <c r="J446" s="911">
        <v>624</v>
      </c>
      <c r="K446" s="785">
        <v>1478</v>
      </c>
      <c r="L446" s="785">
        <v>3188</v>
      </c>
      <c r="M446" s="785">
        <v>4042</v>
      </c>
      <c r="N446" s="23" t="str">
        <f>D446&amp;FIXED(MOD(F446,10),0)</f>
        <v>hh33</v>
      </c>
      <c r="O446" s="78" t="str">
        <f>MID(A$5,((FIND(N446,A$4,1)-1)+1),4)</f>
        <v>be7d</v>
      </c>
      <c r="P446" s="76" t="s">
        <v>0</v>
      </c>
      <c r="Q446" s="219" t="s">
        <v>0</v>
      </c>
      <c r="R446" s="103" t="s">
        <v>0</v>
      </c>
      <c r="S446" s="103" t="s">
        <v>0</v>
      </c>
      <c r="T446" s="42" t="s">
        <v>1</v>
      </c>
    </row>
    <row r="447" spans="1:20" ht="12.75">
      <c r="A447" s="44">
        <v>4283</v>
      </c>
      <c r="B447" s="886">
        <v>8566</v>
      </c>
      <c r="C447" s="886">
        <v>18344089</v>
      </c>
      <c r="D447" s="950" t="s">
        <v>2496</v>
      </c>
      <c r="E447" s="115">
        <f>B447-MOD(E$1-A447*3,B447)</f>
        <v>2269</v>
      </c>
      <c r="F447" s="644">
        <f>IF(MOD(E447,5)=0,B447,0)+E447</f>
        <v>2269</v>
      </c>
      <c r="G447" s="785">
        <f>IF(MOD(F447+$B447,5)=0,$B447,0)+$B447+F447</f>
        <v>19401</v>
      </c>
      <c r="H447" s="785">
        <f>IF(MOD(G447+$B447,5)=0,$B447,0)+$B447+G447</f>
        <v>27967</v>
      </c>
      <c r="I447" s="785">
        <f>IF(MOD(H447+$B447,5)=0,$B447,0)+$B447+H447</f>
        <v>36533</v>
      </c>
      <c r="J447" s="911">
        <v>226</v>
      </c>
      <c r="K447" s="785">
        <v>1940</v>
      </c>
      <c r="L447" s="785">
        <v>2796</v>
      </c>
      <c r="M447" s="785">
        <v>3653</v>
      </c>
      <c r="N447" s="23" t="str">
        <f>D447&amp;FIXED(MOD(F447,10),0)</f>
        <v>hh39</v>
      </c>
      <c r="O447" s="78" t="str">
        <f>MID(A$5,((FIND(N447,A$4,1)-1)+1),4)</f>
        <v>e7db</v>
      </c>
      <c r="P447" s="76" t="s">
        <v>0</v>
      </c>
      <c r="Q447" s="219" t="s">
        <v>0</v>
      </c>
      <c r="R447" s="103" t="s">
        <v>0</v>
      </c>
      <c r="S447" s="103" t="s">
        <v>0</v>
      </c>
      <c r="T447" s="42" t="s">
        <v>1</v>
      </c>
    </row>
    <row r="448" spans="1:20" ht="12.75">
      <c r="A448" s="44">
        <v>4289</v>
      </c>
      <c r="B448" s="886">
        <v>8578</v>
      </c>
      <c r="C448" s="886">
        <v>18395521</v>
      </c>
      <c r="D448" s="950" t="s">
        <v>2506</v>
      </c>
      <c r="E448" s="115">
        <f>B448-MOD(E$1-A448*3,B448)</f>
        <v>2243</v>
      </c>
      <c r="F448" s="644">
        <f>IF(MOD(E448,5)=0,B448,0)+E448</f>
        <v>2243</v>
      </c>
      <c r="G448" s="785">
        <f>IF(MOD(F448+$B448,5)=0,$B448,0)+$B448+F448</f>
        <v>10821</v>
      </c>
      <c r="H448" s="785">
        <f>IF(MOD(G448+$B448,5)=0,$B448,0)+$B448+G448</f>
        <v>19399</v>
      </c>
      <c r="I448" s="785">
        <f>IF(MOD(H448+$B448,5)=0,$B448,0)+$B448+H448</f>
        <v>27977</v>
      </c>
      <c r="J448" s="911">
        <v>224</v>
      </c>
      <c r="K448" s="785">
        <v>1082</v>
      </c>
      <c r="L448" s="785">
        <v>1939</v>
      </c>
      <c r="M448" s="785">
        <v>2797</v>
      </c>
      <c r="N448" s="23" t="str">
        <f>D448&amp;FIXED(MOD(F448,10),0)</f>
        <v>hh93</v>
      </c>
      <c r="O448" s="78" t="str">
        <f>MID(A$5,((FIND(N448,A$4,1)-1)+1),4)</f>
        <v>b7ed</v>
      </c>
      <c r="P448" s="76" t="s">
        <v>0</v>
      </c>
      <c r="Q448" s="219" t="s">
        <v>0</v>
      </c>
      <c r="R448" s="103" t="s">
        <v>0</v>
      </c>
      <c r="S448" s="103" t="s">
        <v>0</v>
      </c>
      <c r="T448" s="42" t="s">
        <v>1</v>
      </c>
    </row>
    <row r="449" spans="1:20" ht="12.75">
      <c r="A449" s="44">
        <v>4297</v>
      </c>
      <c r="B449" s="886">
        <v>8594</v>
      </c>
      <c r="C449" s="886">
        <v>18464209</v>
      </c>
      <c r="D449" s="950" t="s">
        <v>2501</v>
      </c>
      <c r="E449" s="115">
        <f>B449-MOD(E$1-A449*3,B449)</f>
        <v>1415</v>
      </c>
      <c r="F449" s="644">
        <f>IF(MOD(E449,5)=0,B449,0)+E449</f>
        <v>10009</v>
      </c>
      <c r="G449" s="785">
        <f>IF(MOD(F449+$B449,5)=0,$B449,0)+$B449+F449</f>
        <v>18603</v>
      </c>
      <c r="H449" s="785">
        <f>IF(MOD(G449+$B449,5)=0,$B449,0)+$B449+G449</f>
        <v>27197</v>
      </c>
      <c r="I449" s="785">
        <f>IF(MOD(H449+$B449,5)=0,$B449,0)+$B449+H449</f>
        <v>35791</v>
      </c>
      <c r="J449" s="911">
        <v>1000</v>
      </c>
      <c r="K449" s="785">
        <v>1860</v>
      </c>
      <c r="L449" s="785">
        <v>2719</v>
      </c>
      <c r="M449" s="785">
        <v>3579</v>
      </c>
      <c r="N449" s="23" t="str">
        <f>D449&amp;FIXED(MOD(F449,10),0)</f>
        <v>hh79</v>
      </c>
      <c r="O449" s="78" t="str">
        <f>MID(A$5,((FIND(N449,A$4,1)-1)+1),4)</f>
        <v>ebd7</v>
      </c>
      <c r="P449" s="76" t="s">
        <v>0</v>
      </c>
      <c r="Q449" s="219" t="s">
        <v>0</v>
      </c>
      <c r="R449" s="103" t="s">
        <v>0</v>
      </c>
      <c r="S449" s="103" t="s">
        <v>0</v>
      </c>
      <c r="T449" s="42" t="s">
        <v>1</v>
      </c>
    </row>
    <row r="450" spans="1:20" ht="12.75">
      <c r="A450" s="44">
        <v>4327</v>
      </c>
      <c r="B450" s="886">
        <v>8654</v>
      </c>
      <c r="C450" s="886">
        <v>18722929</v>
      </c>
      <c r="D450" s="950" t="s">
        <v>2501</v>
      </c>
      <c r="E450" s="115">
        <f>B450-MOD(E$1-A450*3,B450)</f>
        <v>7147</v>
      </c>
      <c r="F450" s="644">
        <f>IF(MOD(E450,5)=0,B450,0)+E450</f>
        <v>7147</v>
      </c>
      <c r="G450" s="785">
        <f>IF(MOD(F450+$B450,5)=0,$B450,0)+$B450+F450</f>
        <v>15801</v>
      </c>
      <c r="H450" s="785">
        <f>IF(MOD(G450+$B450,5)=0,$B450,0)+$B450+G450</f>
        <v>33109</v>
      </c>
      <c r="I450" s="785">
        <f>IF(MOD(H450+$B450,5)=0,$B450,0)+$B450+H450</f>
        <v>41763</v>
      </c>
      <c r="J450" s="911">
        <v>714</v>
      </c>
      <c r="K450" s="785">
        <v>1580</v>
      </c>
      <c r="L450" s="785">
        <v>3310</v>
      </c>
      <c r="M450" s="785">
        <v>4176</v>
      </c>
      <c r="N450" s="23" t="str">
        <f>D450&amp;FIXED(MOD(F450,10),0)</f>
        <v>hh77</v>
      </c>
      <c r="O450" s="78" t="str">
        <f>MID(A$5,((FIND(N450,A$4,1)-1)+1),4)</f>
        <v>d7eb</v>
      </c>
      <c r="P450" s="76" t="s">
        <v>0</v>
      </c>
      <c r="Q450" s="219" t="s">
        <v>0</v>
      </c>
      <c r="R450" s="103" t="s">
        <v>0</v>
      </c>
      <c r="S450" s="103" t="s">
        <v>0</v>
      </c>
      <c r="T450" s="42" t="s">
        <v>1</v>
      </c>
    </row>
    <row r="451" spans="1:20" ht="12.75">
      <c r="A451" s="44">
        <v>4337</v>
      </c>
      <c r="B451" s="886">
        <v>8674</v>
      </c>
      <c r="C451" s="886">
        <v>18809569</v>
      </c>
      <c r="D451" s="950" t="s">
        <v>2501</v>
      </c>
      <c r="E451" s="115">
        <f>B451-MOD(E$1-A451*3,B451)</f>
        <v>6603</v>
      </c>
      <c r="F451" s="644">
        <f>IF(MOD(E451,5)=0,B451,0)+E451</f>
        <v>6603</v>
      </c>
      <c r="G451" s="785">
        <f>IF(MOD(F451+$B451,5)=0,$B451,0)+$B451+F451</f>
        <v>15277</v>
      </c>
      <c r="H451" s="785">
        <f>IF(MOD(G451+$B451,5)=0,$B451,0)+$B451+G451</f>
        <v>23951</v>
      </c>
      <c r="I451" s="785">
        <f>IF(MOD(H451+$B451,5)=0,$B451,0)+$B451+H451</f>
        <v>41299</v>
      </c>
      <c r="J451" s="911">
        <v>660</v>
      </c>
      <c r="K451" s="785">
        <v>1527</v>
      </c>
      <c r="L451" s="785">
        <v>2395</v>
      </c>
      <c r="M451" s="785">
        <v>4129</v>
      </c>
      <c r="N451" s="23" t="str">
        <f>D451&amp;FIXED(MOD(F451,10),0)</f>
        <v>hh73</v>
      </c>
      <c r="O451" s="78" t="str">
        <f>MID(A$5,((FIND(N451,A$4,1)-1)+1),4)</f>
        <v>bd7e</v>
      </c>
      <c r="P451" s="76" t="s">
        <v>0</v>
      </c>
      <c r="Q451" s="219" t="s">
        <v>0</v>
      </c>
      <c r="R451" s="103" t="s">
        <v>0</v>
      </c>
      <c r="S451" s="103" t="s">
        <v>0</v>
      </c>
      <c r="T451" s="42" t="s">
        <v>1</v>
      </c>
    </row>
    <row r="452" spans="1:20" ht="12.75">
      <c r="A452" s="44">
        <v>4339</v>
      </c>
      <c r="B452" s="886">
        <v>8678</v>
      </c>
      <c r="C452" s="886">
        <v>18826921</v>
      </c>
      <c r="D452" s="950" t="s">
        <v>2506</v>
      </c>
      <c r="E452" s="115">
        <f>B452-MOD(E$1-A452*3,B452)</f>
        <v>6193</v>
      </c>
      <c r="F452" s="644">
        <f>IF(MOD(E452,5)=0,B452,0)+E452</f>
        <v>6193</v>
      </c>
      <c r="G452" s="785">
        <f>IF(MOD(F452+$B452,5)=0,$B452,0)+$B452+F452</f>
        <v>14871</v>
      </c>
      <c r="H452" s="785">
        <f>IF(MOD(G452+$B452,5)=0,$B452,0)+$B452+G452</f>
        <v>23549</v>
      </c>
      <c r="I452" s="785">
        <f>IF(MOD(H452+$B452,5)=0,$B452,0)+$B452+H452</f>
        <v>32227</v>
      </c>
      <c r="J452" s="911">
        <v>619</v>
      </c>
      <c r="K452" s="785">
        <v>1487</v>
      </c>
      <c r="L452" s="785">
        <v>2354</v>
      </c>
      <c r="M452" s="785">
        <v>3222</v>
      </c>
      <c r="N452" s="23" t="str">
        <f>D452&amp;FIXED(MOD(F452,10),0)</f>
        <v>hh93</v>
      </c>
      <c r="O452" s="78" t="str">
        <f>MID(A$5,((FIND(N452,A$4,1)-1)+1),4)</f>
        <v>b7ed</v>
      </c>
      <c r="P452" s="76" t="s">
        <v>0</v>
      </c>
      <c r="Q452" s="219" t="s">
        <v>0</v>
      </c>
      <c r="R452" s="103" t="s">
        <v>0</v>
      </c>
      <c r="S452" s="103" t="s">
        <v>0</v>
      </c>
      <c r="T452" s="42" t="s">
        <v>1</v>
      </c>
    </row>
    <row r="453" spans="1:20" ht="12.75">
      <c r="A453" s="44">
        <v>4349</v>
      </c>
      <c r="B453" s="886">
        <v>8698</v>
      </c>
      <c r="C453" s="886">
        <v>18913801</v>
      </c>
      <c r="D453" s="950" t="s">
        <v>2506</v>
      </c>
      <c r="E453" s="115">
        <f>B453-MOD(E$1-A453*3,B453)</f>
        <v>4645</v>
      </c>
      <c r="F453" s="644">
        <f>IF(MOD(E453,5)=0,B453,0)+E453</f>
        <v>13343</v>
      </c>
      <c r="G453" s="785">
        <f>IF(MOD(F453+$B453,5)=0,$B453,0)+$B453+F453</f>
        <v>22041</v>
      </c>
      <c r="H453" s="785">
        <f>IF(MOD(G453+$B453,5)=0,$B453,0)+$B453+G453</f>
        <v>30739</v>
      </c>
      <c r="I453" s="785">
        <f>IF(MOD(H453+$B453,5)=0,$B453,0)+$B453+H453</f>
        <v>39437</v>
      </c>
      <c r="J453" s="911">
        <v>1334</v>
      </c>
      <c r="K453" s="785">
        <v>2204</v>
      </c>
      <c r="L453" s="785">
        <v>3073</v>
      </c>
      <c r="M453" s="785">
        <v>3943</v>
      </c>
      <c r="N453" s="23" t="str">
        <f>D453&amp;FIXED(MOD(F453,10),0)</f>
        <v>hh93</v>
      </c>
      <c r="O453" s="78" t="str">
        <f>MID(A$5,((FIND(N453,A$4,1)-1)+1),4)</f>
        <v>b7ed</v>
      </c>
      <c r="P453" s="76" t="s">
        <v>0</v>
      </c>
      <c r="Q453" s="219" t="s">
        <v>0</v>
      </c>
      <c r="R453" s="103" t="s">
        <v>0</v>
      </c>
      <c r="S453" s="103" t="s">
        <v>0</v>
      </c>
      <c r="T453" s="42" t="s">
        <v>1</v>
      </c>
    </row>
    <row r="454" spans="1:20" ht="12.75">
      <c r="A454" s="44">
        <v>4357</v>
      </c>
      <c r="B454" s="886">
        <v>8714</v>
      </c>
      <c r="C454" s="886">
        <v>18983449</v>
      </c>
      <c r="D454" s="950" t="s">
        <v>2501</v>
      </c>
      <c r="E454" s="115">
        <f>B454-MOD(E$1-A454*3,B454)</f>
        <v>7653</v>
      </c>
      <c r="F454" s="644">
        <f>IF(MOD(E454,5)=0,B454,0)+E454</f>
        <v>7653</v>
      </c>
      <c r="G454" s="785">
        <f>IF(MOD(F454+$B454,5)=0,$B454,0)+$B454+F454</f>
        <v>16367</v>
      </c>
      <c r="H454" s="785">
        <f>IF(MOD(G454+$B454,5)=0,$B454,0)+$B454+G454</f>
        <v>25081</v>
      </c>
      <c r="I454" s="785">
        <f>IF(MOD(H454+$B454,5)=0,$B454,0)+$B454+H454</f>
        <v>42509</v>
      </c>
      <c r="J454" s="911">
        <v>765</v>
      </c>
      <c r="K454" s="785">
        <v>1636</v>
      </c>
      <c r="L454" s="785">
        <v>2508</v>
      </c>
      <c r="M454" s="785">
        <v>4250</v>
      </c>
      <c r="N454" s="23" t="str">
        <f>D454&amp;FIXED(MOD(F454,10),0)</f>
        <v>hh73</v>
      </c>
      <c r="O454" s="78" t="str">
        <f>MID(A$5,((FIND(N454,A$4,1)-1)+1),4)</f>
        <v>bd7e</v>
      </c>
      <c r="P454" s="76" t="s">
        <v>0</v>
      </c>
      <c r="Q454" s="219" t="s">
        <v>0</v>
      </c>
      <c r="R454" s="103" t="s">
        <v>0</v>
      </c>
      <c r="S454" s="103" t="s">
        <v>0</v>
      </c>
      <c r="T454" s="42" t="s">
        <v>1</v>
      </c>
    </row>
    <row r="455" spans="1:20" ht="12.75">
      <c r="A455" s="44">
        <v>4363</v>
      </c>
      <c r="B455" s="886">
        <v>8726</v>
      </c>
      <c r="C455" s="886">
        <v>19035769</v>
      </c>
      <c r="D455" s="950" t="s">
        <v>2496</v>
      </c>
      <c r="E455" s="115">
        <f>B455-MOD(E$1-A455*3,B455)</f>
        <v>8465</v>
      </c>
      <c r="F455" s="644">
        <f>IF(MOD(E455,5)=0,B455,0)+E455</f>
        <v>17191</v>
      </c>
      <c r="G455" s="785">
        <f>IF(MOD(F455+$B455,5)=0,$B455,0)+$B455+F455</f>
        <v>25917</v>
      </c>
      <c r="H455" s="785">
        <f>IF(MOD(G455+$B455,5)=0,$B455,0)+$B455+G455</f>
        <v>34643</v>
      </c>
      <c r="I455" s="785">
        <f>IF(MOD(H455+$B455,5)=0,$B455,0)+$B455+H455</f>
        <v>43369</v>
      </c>
      <c r="J455" s="911">
        <v>1719</v>
      </c>
      <c r="K455" s="785">
        <v>2591</v>
      </c>
      <c r="L455" s="785">
        <v>3464</v>
      </c>
      <c r="M455" s="785">
        <v>4336</v>
      </c>
      <c r="N455" s="23" t="str">
        <f>D455&amp;FIXED(MOD(F455,10),0)</f>
        <v>hh31</v>
      </c>
      <c r="O455" s="78" t="str">
        <f>MID(A$5,((FIND(N455,A$4,1)-1)+1),4)</f>
        <v>7dbe</v>
      </c>
      <c r="P455" s="76" t="s">
        <v>0</v>
      </c>
      <c r="Q455" s="219" t="s">
        <v>0</v>
      </c>
      <c r="R455" s="103" t="s">
        <v>0</v>
      </c>
      <c r="S455" s="103" t="s">
        <v>0</v>
      </c>
      <c r="T455" s="42" t="s">
        <v>1</v>
      </c>
    </row>
    <row r="456" spans="1:20" ht="12.75">
      <c r="A456" s="44">
        <v>4373</v>
      </c>
      <c r="B456" s="886">
        <v>8746</v>
      </c>
      <c r="C456" s="886">
        <v>19123129</v>
      </c>
      <c r="D456" s="950" t="s">
        <v>2496</v>
      </c>
      <c r="E456" s="115">
        <f>B456-MOD(E$1-A456*3,B456)</f>
        <v>2377</v>
      </c>
      <c r="F456" s="644">
        <f>IF(MOD(E456,5)=0,B456,0)+E456</f>
        <v>2377</v>
      </c>
      <c r="G456" s="785">
        <f>IF(MOD(F456+$B456,5)=0,$B456,0)+$B456+F456</f>
        <v>11123</v>
      </c>
      <c r="H456" s="785">
        <f>IF(MOD(G456+$B456,5)=0,$B456,0)+$B456+G456</f>
        <v>19869</v>
      </c>
      <c r="I456" s="785">
        <f>IF(MOD(H456+$B456,5)=0,$B456,0)+$B456+H456</f>
        <v>37361</v>
      </c>
      <c r="J456" s="911">
        <v>237</v>
      </c>
      <c r="K456" s="785">
        <v>1112</v>
      </c>
      <c r="L456" s="785">
        <v>1986</v>
      </c>
      <c r="M456" s="785">
        <v>3736</v>
      </c>
      <c r="N456" s="23" t="str">
        <f>D456&amp;FIXED(MOD(F456,10),0)</f>
        <v>hh37</v>
      </c>
      <c r="O456" s="78" t="str">
        <f>MID(A$5,((FIND(N456,A$4,1)-1)+1),4)</f>
        <v>dbe7</v>
      </c>
      <c r="P456" s="76" t="s">
        <v>0</v>
      </c>
      <c r="Q456" s="219" t="s">
        <v>0</v>
      </c>
      <c r="R456" s="103" t="s">
        <v>0</v>
      </c>
      <c r="S456" s="103" t="s">
        <v>0</v>
      </c>
      <c r="T456" s="42" t="s">
        <v>1</v>
      </c>
    </row>
    <row r="457" spans="1:20" ht="12.75">
      <c r="A457" s="44">
        <v>4391</v>
      </c>
      <c r="B457" s="886">
        <v>8782</v>
      </c>
      <c r="C457" s="886">
        <v>19280881</v>
      </c>
      <c r="D457" s="950" t="s">
        <v>2490</v>
      </c>
      <c r="E457" s="115">
        <f>B457-MOD(E$1-A457*3,B457)</f>
        <v>4273</v>
      </c>
      <c r="F457" s="644">
        <f>IF(MOD(E457,5)=0,B457,0)+E457</f>
        <v>4273</v>
      </c>
      <c r="G457" s="785">
        <f>IF(MOD(F457+$B457,5)=0,$B457,0)+$B457+F457</f>
        <v>21837</v>
      </c>
      <c r="H457" s="785">
        <f>IF(MOD(G457+$B457,5)=0,$B457,0)+$B457+G457</f>
        <v>30619</v>
      </c>
      <c r="I457" s="785">
        <f>IF(MOD(H457+$B457,5)=0,$B457,0)+$B457+H457</f>
        <v>39401</v>
      </c>
      <c r="J457" s="911">
        <v>427</v>
      </c>
      <c r="K457" s="785">
        <v>2183</v>
      </c>
      <c r="L457" s="785">
        <v>3061</v>
      </c>
      <c r="M457" s="785">
        <v>3940</v>
      </c>
      <c r="N457" s="23" t="str">
        <f>D457&amp;FIXED(MOD(F457,10),0)</f>
        <v>hh13</v>
      </c>
      <c r="O457" s="78" t="str">
        <f>MID(A$5,((FIND(N457,A$4,1)-1)+1),4)</f>
        <v>bde7</v>
      </c>
      <c r="P457" s="76" t="s">
        <v>0</v>
      </c>
      <c r="Q457" s="219" t="s">
        <v>0</v>
      </c>
      <c r="R457" s="103" t="s">
        <v>0</v>
      </c>
      <c r="S457" s="103" t="s">
        <v>0</v>
      </c>
      <c r="T457" s="42" t="s">
        <v>1</v>
      </c>
    </row>
    <row r="458" spans="1:20" ht="12.75">
      <c r="A458" s="44">
        <v>4397</v>
      </c>
      <c r="B458" s="886">
        <v>8794</v>
      </c>
      <c r="C458" s="886">
        <v>19333609</v>
      </c>
      <c r="D458" s="950" t="s">
        <v>2501</v>
      </c>
      <c r="E458" s="115">
        <f>B458-MOD(E$1-A458*3,B458)</f>
        <v>8671</v>
      </c>
      <c r="F458" s="644">
        <f>IF(MOD(E458,5)=0,B458,0)+E458</f>
        <v>8671</v>
      </c>
      <c r="G458" s="785">
        <f>IF(MOD(F458+$B458,5)=0,$B458,0)+$B458+F458</f>
        <v>26259</v>
      </c>
      <c r="H458" s="785">
        <f>IF(MOD(G458+$B458,5)=0,$B458,0)+$B458+G458</f>
        <v>35053</v>
      </c>
      <c r="I458" s="785">
        <f>IF(MOD(H458+$B458,5)=0,$B458,0)+$B458+H458</f>
        <v>43847</v>
      </c>
      <c r="J458" s="911">
        <v>867</v>
      </c>
      <c r="K458" s="785">
        <v>2625</v>
      </c>
      <c r="L458" s="785">
        <v>3505</v>
      </c>
      <c r="M458" s="785">
        <v>4384</v>
      </c>
      <c r="N458" s="23" t="str">
        <f>D458&amp;FIXED(MOD(F458,10),0)</f>
        <v>hh71</v>
      </c>
      <c r="O458" s="78" t="str">
        <f>MID(A$5,((FIND(N458,A$4,1)-1)+1),4)</f>
        <v>7ebd</v>
      </c>
      <c r="P458" s="76" t="s">
        <v>0</v>
      </c>
      <c r="Q458" s="219" t="s">
        <v>0</v>
      </c>
      <c r="R458" s="103" t="s">
        <v>0</v>
      </c>
      <c r="S458" s="103" t="s">
        <v>0</v>
      </c>
      <c r="T458" s="42" t="s">
        <v>1</v>
      </c>
    </row>
    <row r="459" spans="1:20" ht="12.75">
      <c r="A459" s="44">
        <v>4409</v>
      </c>
      <c r="B459" s="886">
        <v>8818</v>
      </c>
      <c r="C459" s="886">
        <v>19439281</v>
      </c>
      <c r="D459" s="950" t="s">
        <v>2506</v>
      </c>
      <c r="E459" s="115">
        <f>B459-MOD(E$1-A459*3,B459)</f>
        <v>3351</v>
      </c>
      <c r="F459" s="644">
        <f>IF(MOD(E459,5)=0,B459,0)+E459</f>
        <v>3351</v>
      </c>
      <c r="G459" s="785">
        <f>IF(MOD(F459+$B459,5)=0,$B459,0)+$B459+F459</f>
        <v>12169</v>
      </c>
      <c r="H459" s="785">
        <f>IF(MOD(G459+$B459,5)=0,$B459,0)+$B459+G459</f>
        <v>20987</v>
      </c>
      <c r="I459" s="785">
        <f>IF(MOD(H459+$B459,5)=0,$B459,0)+$B459+H459</f>
        <v>38623</v>
      </c>
      <c r="J459" s="911">
        <v>335</v>
      </c>
      <c r="K459" s="785">
        <v>1216</v>
      </c>
      <c r="L459" s="785">
        <v>2098</v>
      </c>
      <c r="M459" s="785">
        <v>3862</v>
      </c>
      <c r="N459" s="23" t="str">
        <f>D459&amp;FIXED(MOD(F459,10),0)</f>
        <v>hh91</v>
      </c>
      <c r="O459" s="78" t="str">
        <f>MID(A$5,((FIND(N459,A$4,1)-1)+1),4)</f>
        <v>7edb</v>
      </c>
      <c r="P459" s="76" t="s">
        <v>0</v>
      </c>
      <c r="Q459" s="219" t="s">
        <v>0</v>
      </c>
      <c r="R459" s="103" t="s">
        <v>0</v>
      </c>
      <c r="S459" s="103" t="s">
        <v>0</v>
      </c>
      <c r="T459" s="42" t="s">
        <v>1</v>
      </c>
    </row>
    <row r="460" spans="1:20" ht="12.75">
      <c r="A460" s="44">
        <v>4421</v>
      </c>
      <c r="B460" s="886">
        <v>8842</v>
      </c>
      <c r="C460" s="886">
        <v>19545241</v>
      </c>
      <c r="D460" s="950" t="s">
        <v>2490</v>
      </c>
      <c r="E460" s="115">
        <f>B460-MOD(E$1-A460*3,B460)</f>
        <v>7429</v>
      </c>
      <c r="F460" s="644">
        <f>IF(MOD(E460,5)=0,B460,0)+E460</f>
        <v>7429</v>
      </c>
      <c r="G460" s="785">
        <f>IF(MOD(F460+$B460,5)=0,$B460,0)+$B460+F460</f>
        <v>16271</v>
      </c>
      <c r="H460" s="785">
        <f>IF(MOD(G460+$B460,5)=0,$B460,0)+$B460+G460</f>
        <v>25113</v>
      </c>
      <c r="I460" s="785">
        <f>IF(MOD(H460+$B460,5)=0,$B460,0)+$B460+H460</f>
        <v>42797</v>
      </c>
      <c r="J460" s="911">
        <v>742</v>
      </c>
      <c r="K460" s="785">
        <v>1627</v>
      </c>
      <c r="L460" s="785">
        <v>2511</v>
      </c>
      <c r="M460" s="785">
        <v>4279</v>
      </c>
      <c r="N460" s="23" t="str">
        <f>D460&amp;FIXED(MOD(F460,10),0)</f>
        <v>hh19</v>
      </c>
      <c r="O460" s="78" t="str">
        <f>MID(A$5,((FIND(N460,A$4,1)-1)+1),4)</f>
        <v>e7bd</v>
      </c>
      <c r="P460" s="76" t="s">
        <v>0</v>
      </c>
      <c r="Q460" s="219" t="s">
        <v>0</v>
      </c>
      <c r="R460" s="103" t="s">
        <v>0</v>
      </c>
      <c r="S460" s="103" t="s">
        <v>0</v>
      </c>
      <c r="T460" s="42" t="s">
        <v>1</v>
      </c>
    </row>
    <row r="461" spans="1:20" ht="12.75">
      <c r="A461" s="44">
        <v>4423</v>
      </c>
      <c r="B461" s="886">
        <v>8846</v>
      </c>
      <c r="C461" s="886">
        <v>19562929</v>
      </c>
      <c r="D461" s="950" t="s">
        <v>2496</v>
      </c>
      <c r="E461" s="115">
        <f>B461-MOD(E$1-A461*3,B461)</f>
        <v>4653</v>
      </c>
      <c r="F461" s="644">
        <f>IF(MOD(E461,5)=0,B461,0)+E461</f>
        <v>4653</v>
      </c>
      <c r="G461" s="785">
        <f>IF(MOD(F461+$B461,5)=0,$B461,0)+$B461+F461</f>
        <v>13499</v>
      </c>
      <c r="H461" s="785">
        <f>IF(MOD(G461+$B461,5)=0,$B461,0)+$B461+G461</f>
        <v>31191</v>
      </c>
      <c r="I461" s="785">
        <f>IF(MOD(H461+$B461,5)=0,$B461,0)+$B461+H461</f>
        <v>40037</v>
      </c>
      <c r="J461" s="911">
        <v>465</v>
      </c>
      <c r="K461" s="785">
        <v>1349</v>
      </c>
      <c r="L461" s="785">
        <v>3119</v>
      </c>
      <c r="M461" s="785">
        <v>4003</v>
      </c>
      <c r="N461" s="23" t="str">
        <f>D461&amp;FIXED(MOD(F461,10),0)</f>
        <v>hh33</v>
      </c>
      <c r="O461" s="78" t="str">
        <f>MID(A$5,((FIND(N461,A$4,1)-1)+1),4)</f>
        <v>be7d</v>
      </c>
      <c r="P461" s="76" t="s">
        <v>0</v>
      </c>
      <c r="Q461" s="219" t="s">
        <v>0</v>
      </c>
      <c r="R461" s="103" t="s">
        <v>0</v>
      </c>
      <c r="S461" s="103" t="s">
        <v>0</v>
      </c>
      <c r="T461" s="42" t="s">
        <v>1</v>
      </c>
    </row>
    <row r="462" spans="1:20" ht="12.75">
      <c r="A462" s="44">
        <v>4441</v>
      </c>
      <c r="B462" s="886">
        <v>8882</v>
      </c>
      <c r="C462" s="886">
        <v>19722481</v>
      </c>
      <c r="D462" s="950" t="s">
        <v>2490</v>
      </c>
      <c r="E462" s="115">
        <f>B462-MOD(E$1-A462*3,B462)</f>
        <v>6037</v>
      </c>
      <c r="F462" s="644">
        <f>IF(MOD(E462,5)=0,B462,0)+E462</f>
        <v>6037</v>
      </c>
      <c r="G462" s="785">
        <f>IF(MOD(F462+$B462,5)=0,$B462,0)+$B462+F462</f>
        <v>14919</v>
      </c>
      <c r="H462" s="785">
        <f>IF(MOD(G462+$B462,5)=0,$B462,0)+$B462+G462</f>
        <v>23801</v>
      </c>
      <c r="I462" s="785">
        <f>IF(MOD(H462+$B462,5)=0,$B462,0)+$B462+H462</f>
        <v>32683</v>
      </c>
      <c r="J462" s="911">
        <v>603</v>
      </c>
      <c r="K462" s="785">
        <v>1491</v>
      </c>
      <c r="L462" s="785">
        <v>2380</v>
      </c>
      <c r="M462" s="785">
        <v>3268</v>
      </c>
      <c r="N462" s="23" t="str">
        <f>D462&amp;FIXED(MOD(F462,10),0)</f>
        <v>hh17</v>
      </c>
      <c r="O462" s="78" t="str">
        <f>MID(A$5,((FIND(N462,A$4,1)-1)+1),4)</f>
        <v>de7b</v>
      </c>
      <c r="P462" s="76" t="s">
        <v>0</v>
      </c>
      <c r="Q462" s="219" t="s">
        <v>0</v>
      </c>
      <c r="R462" s="103" t="s">
        <v>0</v>
      </c>
      <c r="S462" s="103" t="s">
        <v>0</v>
      </c>
      <c r="T462" s="42" t="s">
        <v>1</v>
      </c>
    </row>
    <row r="463" spans="1:20" ht="12.75">
      <c r="A463" s="44">
        <v>4447</v>
      </c>
      <c r="B463" s="886">
        <v>8894</v>
      </c>
      <c r="C463" s="886">
        <v>19775809</v>
      </c>
      <c r="D463" s="950" t="s">
        <v>2501</v>
      </c>
      <c r="E463" s="115">
        <f>B463-MOD(E$1-A463*3,B463)</f>
        <v>4973</v>
      </c>
      <c r="F463" s="644">
        <f>IF(MOD(E463,5)=0,B463,0)+E463</f>
        <v>4973</v>
      </c>
      <c r="G463" s="785">
        <f>IF(MOD(F463+$B463,5)=0,$B463,0)+$B463+F463</f>
        <v>13867</v>
      </c>
      <c r="H463" s="785">
        <f>IF(MOD(G463+$B463,5)=0,$B463,0)+$B463+G463</f>
        <v>22761</v>
      </c>
      <c r="I463" s="785">
        <f>IF(MOD(H463+$B463,5)=0,$B463,0)+$B463+H463</f>
        <v>40549</v>
      </c>
      <c r="J463" s="911">
        <v>497</v>
      </c>
      <c r="K463" s="785">
        <v>1386</v>
      </c>
      <c r="L463" s="785">
        <v>2276</v>
      </c>
      <c r="M463" s="785">
        <v>4054</v>
      </c>
      <c r="N463" s="23" t="str">
        <f>D463&amp;FIXED(MOD(F463,10),0)</f>
        <v>hh73</v>
      </c>
      <c r="O463" s="78" t="str">
        <f>MID(A$5,((FIND(N463,A$4,1)-1)+1),4)</f>
        <v>bd7e</v>
      </c>
      <c r="P463" s="76" t="s">
        <v>0</v>
      </c>
      <c r="Q463" s="219" t="s">
        <v>0</v>
      </c>
      <c r="R463" s="103" t="s">
        <v>0</v>
      </c>
      <c r="S463" s="103" t="s">
        <v>0</v>
      </c>
      <c r="T463" s="42" t="s">
        <v>1</v>
      </c>
    </row>
    <row r="464" spans="1:20" ht="12.75">
      <c r="A464" s="44">
        <v>4451</v>
      </c>
      <c r="B464" s="886">
        <v>8902</v>
      </c>
      <c r="C464" s="886">
        <v>19811401</v>
      </c>
      <c r="D464" s="950" t="s">
        <v>2490</v>
      </c>
      <c r="E464" s="115">
        <f>B464-MOD(E$1-A464*3,B464)</f>
        <v>8217</v>
      </c>
      <c r="F464" s="644">
        <f>IF(MOD(E464,5)=0,B464,0)+E464</f>
        <v>8217</v>
      </c>
      <c r="G464" s="785">
        <f>IF(MOD(F464+$B464,5)=0,$B464,0)+$B464+F464</f>
        <v>17119</v>
      </c>
      <c r="H464" s="785">
        <f>IF(MOD(G464+$B464,5)=0,$B464,0)+$B464+G464</f>
        <v>26021</v>
      </c>
      <c r="I464" s="785">
        <f>IF(MOD(H464+$B464,5)=0,$B464,0)+$B464+H464</f>
        <v>34923</v>
      </c>
      <c r="J464" s="911">
        <v>821</v>
      </c>
      <c r="K464" s="785">
        <v>1711</v>
      </c>
      <c r="L464" s="785">
        <v>2602</v>
      </c>
      <c r="M464" s="785">
        <v>3492</v>
      </c>
      <c r="N464" s="23" t="str">
        <f>D464&amp;FIXED(MOD(F464,10),0)</f>
        <v>hh17</v>
      </c>
      <c r="O464" s="78" t="str">
        <f>MID(A$5,((FIND(N464,A$4,1)-1)+1),4)</f>
        <v>de7b</v>
      </c>
      <c r="P464" s="76" t="s">
        <v>0</v>
      </c>
      <c r="Q464" s="219" t="s">
        <v>0</v>
      </c>
      <c r="R464" s="103" t="s">
        <v>0</v>
      </c>
      <c r="S464" s="103" t="s">
        <v>0</v>
      </c>
      <c r="T464" s="42" t="s">
        <v>1</v>
      </c>
    </row>
    <row r="465" spans="1:20" ht="12.75">
      <c r="A465" s="44">
        <v>4457</v>
      </c>
      <c r="B465" s="886">
        <v>8914</v>
      </c>
      <c r="C465" s="886">
        <v>19864849</v>
      </c>
      <c r="D465" s="950" t="s">
        <v>2501</v>
      </c>
      <c r="E465" s="115">
        <f>B465-MOD(E$1-A465*3,B465)</f>
        <v>7745</v>
      </c>
      <c r="F465" s="644">
        <f>IF(MOD(E465,5)=0,B465,0)+E465</f>
        <v>16659</v>
      </c>
      <c r="G465" s="785">
        <f>IF(MOD(F465+$B465,5)=0,$B465,0)+$B465+F465</f>
        <v>25573</v>
      </c>
      <c r="H465" s="785">
        <f>IF(MOD(G465+$B465,5)=0,$B465,0)+$B465+G465</f>
        <v>34487</v>
      </c>
      <c r="I465" s="785">
        <f>IF(MOD(H465+$B465,5)=0,$B465,0)+$B465+H465</f>
        <v>43401</v>
      </c>
      <c r="J465" s="911">
        <v>1665</v>
      </c>
      <c r="K465" s="785">
        <v>2557</v>
      </c>
      <c r="L465" s="785">
        <v>3448</v>
      </c>
      <c r="M465" s="785">
        <v>4340</v>
      </c>
      <c r="N465" s="23" t="str">
        <f>D465&amp;FIXED(MOD(F465,10),0)</f>
        <v>hh79</v>
      </c>
      <c r="O465" s="78" t="str">
        <f>MID(A$5,((FIND(N465,A$4,1)-1)+1),4)</f>
        <v>ebd7</v>
      </c>
      <c r="P465" s="76" t="s">
        <v>0</v>
      </c>
      <c r="Q465" s="219" t="s">
        <v>0</v>
      </c>
      <c r="R465" s="103" t="s">
        <v>0</v>
      </c>
      <c r="S465" s="103" t="s">
        <v>0</v>
      </c>
      <c r="T465" s="42" t="s">
        <v>1</v>
      </c>
    </row>
    <row r="466" spans="1:20" ht="12.75">
      <c r="A466" s="44">
        <v>4463</v>
      </c>
      <c r="B466" s="886">
        <v>8926</v>
      </c>
      <c r="C466" s="886">
        <v>19918369</v>
      </c>
      <c r="D466" s="950" t="s">
        <v>2496</v>
      </c>
      <c r="E466" s="115">
        <f>B466-MOD(E$1-A466*3,B466)</f>
        <v>3307</v>
      </c>
      <c r="F466" s="644">
        <f>IF(MOD(E466,5)=0,B466,0)+E466</f>
        <v>3307</v>
      </c>
      <c r="G466" s="785">
        <f>IF(MOD(F466+$B466,5)=0,$B466,0)+$B466+F466</f>
        <v>12233</v>
      </c>
      <c r="H466" s="785">
        <f>IF(MOD(G466+$B466,5)=0,$B466,0)+$B466+G466</f>
        <v>21159</v>
      </c>
      <c r="I466" s="785">
        <f>IF(MOD(H466+$B466,5)=0,$B466,0)+$B466+H466</f>
        <v>39011</v>
      </c>
      <c r="J466" s="911">
        <v>330</v>
      </c>
      <c r="K466" s="785">
        <v>1223</v>
      </c>
      <c r="L466" s="785">
        <v>2115</v>
      </c>
      <c r="M466" s="785">
        <v>3901</v>
      </c>
      <c r="N466" s="23" t="str">
        <f>D466&amp;FIXED(MOD(F466,10),0)</f>
        <v>hh37</v>
      </c>
      <c r="O466" s="78" t="str">
        <f>MID(A$5,((FIND(N466,A$4,1)-1)+1),4)</f>
        <v>dbe7</v>
      </c>
      <c r="P466" s="76" t="s">
        <v>0</v>
      </c>
      <c r="Q466" s="219" t="s">
        <v>0</v>
      </c>
      <c r="R466" s="103" t="s">
        <v>0</v>
      </c>
      <c r="S466" s="103" t="s">
        <v>0</v>
      </c>
      <c r="T466" s="42" t="s">
        <v>1</v>
      </c>
    </row>
    <row r="467" spans="1:20" ht="12.75">
      <c r="A467" s="44">
        <v>4481</v>
      </c>
      <c r="B467" s="886">
        <v>8962</v>
      </c>
      <c r="C467" s="886">
        <v>20079361</v>
      </c>
      <c r="D467" s="950" t="s">
        <v>2490</v>
      </c>
      <c r="E467" s="115">
        <f>B467-MOD(E$1-A467*3,B467)</f>
        <v>8867</v>
      </c>
      <c r="F467" s="644">
        <f>IF(MOD(E467,5)=0,B467,0)+E467</f>
        <v>8867</v>
      </c>
      <c r="G467" s="785">
        <f>IF(MOD(F467+$B467,5)=0,$B467,0)+$B467+F467</f>
        <v>17829</v>
      </c>
      <c r="H467" s="785">
        <f>IF(MOD(G467+$B467,5)=0,$B467,0)+$B467+G467</f>
        <v>26791</v>
      </c>
      <c r="I467" s="785">
        <f>IF(MOD(H467+$B467,5)=0,$B467,0)+$B467+H467</f>
        <v>35753</v>
      </c>
      <c r="J467" s="911">
        <v>886</v>
      </c>
      <c r="K467" s="785">
        <v>1782</v>
      </c>
      <c r="L467" s="785">
        <v>2679</v>
      </c>
      <c r="M467" s="785">
        <v>3575</v>
      </c>
      <c r="N467" s="23" t="str">
        <f>D467&amp;FIXED(MOD(F467,10),0)</f>
        <v>hh17</v>
      </c>
      <c r="O467" s="78" t="str">
        <f>MID(A$5,((FIND(N467,A$4,1)-1)+1),4)</f>
        <v>de7b</v>
      </c>
      <c r="P467" s="76" t="s">
        <v>0</v>
      </c>
      <c r="Q467" s="219" t="s">
        <v>0</v>
      </c>
      <c r="R467" s="103" t="s">
        <v>0</v>
      </c>
      <c r="S467" s="103" t="s">
        <v>0</v>
      </c>
      <c r="T467" s="42" t="s">
        <v>1</v>
      </c>
    </row>
    <row r="468" spans="1:20" ht="12.75">
      <c r="A468" s="44">
        <v>4483</v>
      </c>
      <c r="B468" s="886">
        <v>8966</v>
      </c>
      <c r="C468" s="886">
        <v>20097289</v>
      </c>
      <c r="D468" s="950" t="s">
        <v>2496</v>
      </c>
      <c r="E468" s="115">
        <f>B468-MOD(E$1-A468*3,B468)</f>
        <v>3451</v>
      </c>
      <c r="F468" s="644">
        <f>IF(MOD(E468,5)=0,B468,0)+E468</f>
        <v>3451</v>
      </c>
      <c r="G468" s="785">
        <f>IF(MOD(F468+$B468,5)=0,$B468,0)+$B468+F468</f>
        <v>12417</v>
      </c>
      <c r="H468" s="785">
        <f>IF(MOD(G468+$B468,5)=0,$B468,0)+$B468+G468</f>
        <v>21383</v>
      </c>
      <c r="I468" s="785">
        <f>IF(MOD(H468+$B468,5)=0,$B468,0)+$B468+H468</f>
        <v>30349</v>
      </c>
      <c r="J468" s="911">
        <v>345</v>
      </c>
      <c r="K468" s="785">
        <v>1241</v>
      </c>
      <c r="L468" s="785">
        <v>2138</v>
      </c>
      <c r="M468" s="785">
        <v>3034</v>
      </c>
      <c r="N468" s="23" t="str">
        <f>D468&amp;FIXED(MOD(F468,10),0)</f>
        <v>hh31</v>
      </c>
      <c r="O468" s="78" t="str">
        <f>MID(A$5,((FIND(N468,A$4,1)-1)+1),4)</f>
        <v>7dbe</v>
      </c>
      <c r="P468" s="76" t="s">
        <v>0</v>
      </c>
      <c r="Q468" s="219" t="s">
        <v>0</v>
      </c>
      <c r="R468" s="103" t="s">
        <v>0</v>
      </c>
      <c r="S468" s="103" t="s">
        <v>0</v>
      </c>
      <c r="T468" s="42" t="s">
        <v>1</v>
      </c>
    </row>
    <row r="469" spans="1:20" ht="12.75">
      <c r="A469" s="44">
        <v>4493</v>
      </c>
      <c r="B469" s="886">
        <v>8986</v>
      </c>
      <c r="C469" s="886">
        <v>20187049</v>
      </c>
      <c r="D469" s="950" t="s">
        <v>2496</v>
      </c>
      <c r="E469" s="115">
        <f>B469-MOD(E$1-A469*3,B469)</f>
        <v>3157</v>
      </c>
      <c r="F469" s="644">
        <f>IF(MOD(E469,5)=0,B469,0)+E469</f>
        <v>3157</v>
      </c>
      <c r="G469" s="785">
        <f>IF(MOD(F469+$B469,5)=0,$B469,0)+$B469+F469</f>
        <v>12143</v>
      </c>
      <c r="H469" s="785">
        <f>IF(MOD(G469+$B469,5)=0,$B469,0)+$B469+G469</f>
        <v>21129</v>
      </c>
      <c r="I469" s="785">
        <f>IF(MOD(H469+$B469,5)=0,$B469,0)+$B469+H469</f>
        <v>39101</v>
      </c>
      <c r="J469" s="911">
        <v>315</v>
      </c>
      <c r="K469" s="785">
        <v>1214</v>
      </c>
      <c r="L469" s="785">
        <v>2112</v>
      </c>
      <c r="M469" s="785">
        <v>3910</v>
      </c>
      <c r="N469" s="23" t="str">
        <f>D469&amp;FIXED(MOD(F469,10),0)</f>
        <v>hh37</v>
      </c>
      <c r="O469" s="78" t="str">
        <f>MID(A$5,((FIND(N469,A$4,1)-1)+1),4)</f>
        <v>dbe7</v>
      </c>
      <c r="P469" s="76" t="s">
        <v>0</v>
      </c>
      <c r="Q469" s="219" t="s">
        <v>0</v>
      </c>
      <c r="R469" s="103" t="s">
        <v>0</v>
      </c>
      <c r="S469" s="103" t="s">
        <v>0</v>
      </c>
      <c r="T469" s="42" t="s">
        <v>1</v>
      </c>
    </row>
    <row r="470" spans="1:20" ht="12.75">
      <c r="A470" s="44">
        <v>4507</v>
      </c>
      <c r="B470" s="886">
        <v>9014</v>
      </c>
      <c r="C470" s="886">
        <v>20313049</v>
      </c>
      <c r="D470" s="950" t="s">
        <v>2501</v>
      </c>
      <c r="E470" s="115">
        <f>B470-MOD(E$1-A470*3,B470)</f>
        <v>8133</v>
      </c>
      <c r="F470" s="644">
        <f>IF(MOD(E470,5)=0,B470,0)+E470</f>
        <v>8133</v>
      </c>
      <c r="G470" s="785">
        <f>IF(MOD(F470+$B470,5)=0,$B470,0)+$B470+F470</f>
        <v>17147</v>
      </c>
      <c r="H470" s="785">
        <f>IF(MOD(G470+$B470,5)=0,$B470,0)+$B470+G470</f>
        <v>26161</v>
      </c>
      <c r="I470" s="785">
        <f>IF(MOD(H470+$B470,5)=0,$B470,0)+$B470+H470</f>
        <v>44189</v>
      </c>
      <c r="J470" s="911">
        <v>813</v>
      </c>
      <c r="K470" s="785">
        <v>1714</v>
      </c>
      <c r="L470" s="785">
        <v>2616</v>
      </c>
      <c r="M470" s="785">
        <v>4418</v>
      </c>
      <c r="N470" s="23" t="str">
        <f>D470&amp;FIXED(MOD(F470,10),0)</f>
        <v>hh73</v>
      </c>
      <c r="O470" s="78" t="str">
        <f>MID(A$5,((FIND(N470,A$4,1)-1)+1),4)</f>
        <v>bd7e</v>
      </c>
      <c r="P470" s="76" t="s">
        <v>0</v>
      </c>
      <c r="Q470" s="219" t="s">
        <v>0</v>
      </c>
      <c r="R470" s="103" t="s">
        <v>0</v>
      </c>
      <c r="S470" s="103" t="s">
        <v>0</v>
      </c>
      <c r="T470" s="42" t="s">
        <v>1</v>
      </c>
    </row>
    <row r="471" spans="1:20" ht="12.75">
      <c r="A471" s="44">
        <v>4513</v>
      </c>
      <c r="B471" s="886">
        <v>9026</v>
      </c>
      <c r="C471" s="886">
        <v>20367169</v>
      </c>
      <c r="D471" s="950" t="s">
        <v>2496</v>
      </c>
      <c r="E471" s="115">
        <f>B471-MOD(E$1-A471*3,B471)</f>
        <v>3065</v>
      </c>
      <c r="F471" s="644">
        <f>IF(MOD(E471,5)=0,B471,0)+E471</f>
        <v>12091</v>
      </c>
      <c r="G471" s="785">
        <f>IF(MOD(F471+$B471,5)=0,$B471,0)+$B471+F471</f>
        <v>21117</v>
      </c>
      <c r="H471" s="785">
        <f>IF(MOD(G471+$B471,5)=0,$B471,0)+$B471+G471</f>
        <v>30143</v>
      </c>
      <c r="I471" s="785">
        <f>IF(MOD(H471+$B471,5)=0,$B471,0)+$B471+H471</f>
        <v>39169</v>
      </c>
      <c r="J471" s="911">
        <v>1209</v>
      </c>
      <c r="K471" s="785">
        <v>2111</v>
      </c>
      <c r="L471" s="785">
        <v>3014</v>
      </c>
      <c r="M471" s="785">
        <v>3916</v>
      </c>
      <c r="N471" s="23" t="str">
        <f>D471&amp;FIXED(MOD(F471,10),0)</f>
        <v>hh31</v>
      </c>
      <c r="O471" s="78" t="str">
        <f>MID(A$5,((FIND(N471,A$4,1)-1)+1),4)</f>
        <v>7dbe</v>
      </c>
      <c r="P471" s="76" t="s">
        <v>0</v>
      </c>
      <c r="Q471" s="219" t="s">
        <v>0</v>
      </c>
      <c r="R471" s="103" t="s">
        <v>0</v>
      </c>
      <c r="S471" s="103" t="s">
        <v>0</v>
      </c>
      <c r="T471" s="42" t="s">
        <v>1</v>
      </c>
    </row>
    <row r="472" spans="1:20" ht="12.75">
      <c r="A472" s="44">
        <v>4517</v>
      </c>
      <c r="B472" s="886">
        <v>9034</v>
      </c>
      <c r="C472" s="886">
        <v>20403289</v>
      </c>
      <c r="D472" s="950" t="s">
        <v>2501</v>
      </c>
      <c r="E472" s="115">
        <f>B472-MOD(E$1-A472*3,B472)</f>
        <v>8725</v>
      </c>
      <c r="F472" s="644">
        <f>IF(MOD(E472,5)=0,B472,0)+E472</f>
        <v>17759</v>
      </c>
      <c r="G472" s="785">
        <f>IF(MOD(F472+$B472,5)=0,$B472,0)+$B472+F472</f>
        <v>26793</v>
      </c>
      <c r="H472" s="785">
        <f>IF(MOD(G472+$B472,5)=0,$B472,0)+$B472+G472</f>
        <v>35827</v>
      </c>
      <c r="I472" s="785">
        <f>IF(MOD(H472+$B472,5)=0,$B472,0)+$B472+H472</f>
        <v>44861</v>
      </c>
      <c r="J472" s="911">
        <v>1775</v>
      </c>
      <c r="K472" s="785">
        <v>2679</v>
      </c>
      <c r="L472" s="785">
        <v>3582</v>
      </c>
      <c r="M472" s="785">
        <v>4486</v>
      </c>
      <c r="N472" s="23" t="str">
        <f>D472&amp;FIXED(MOD(F472,10),0)</f>
        <v>hh79</v>
      </c>
      <c r="O472" s="78" t="str">
        <f>MID(A$5,((FIND(N472,A$4,1)-1)+1),4)</f>
        <v>ebd7</v>
      </c>
      <c r="P472" s="76" t="s">
        <v>0</v>
      </c>
      <c r="Q472" s="219" t="s">
        <v>0</v>
      </c>
      <c r="R472" s="103" t="s">
        <v>0</v>
      </c>
      <c r="S472" s="103" t="s">
        <v>0</v>
      </c>
      <c r="T472" s="42" t="s">
        <v>1</v>
      </c>
    </row>
    <row r="473" spans="1:20" ht="12.75">
      <c r="A473" s="44">
        <v>4519</v>
      </c>
      <c r="B473" s="886">
        <v>9038</v>
      </c>
      <c r="C473" s="886">
        <v>20421361</v>
      </c>
      <c r="D473" s="950" t="s">
        <v>2506</v>
      </c>
      <c r="E473" s="115">
        <f>B473-MOD(E$1-A473*3,B473)</f>
        <v>2559</v>
      </c>
      <c r="F473" s="644">
        <f>IF(MOD(E473,5)=0,B473,0)+E473</f>
        <v>2559</v>
      </c>
      <c r="G473" s="785">
        <f>IF(MOD(F473+$B473,5)=0,$B473,0)+$B473+F473</f>
        <v>11597</v>
      </c>
      <c r="H473" s="785">
        <f>IF(MOD(G473+$B473,5)=0,$B473,0)+$B473+G473</f>
        <v>29673</v>
      </c>
      <c r="I473" s="785">
        <f>IF(MOD(H473+$B473,5)=0,$B473,0)+$B473+H473</f>
        <v>38711</v>
      </c>
      <c r="J473" s="911">
        <v>255</v>
      </c>
      <c r="K473" s="785">
        <v>1159</v>
      </c>
      <c r="L473" s="785">
        <v>2967</v>
      </c>
      <c r="M473" s="785">
        <v>3871</v>
      </c>
      <c r="N473" s="23" t="str">
        <f>D473&amp;FIXED(MOD(F473,10),0)</f>
        <v>hh99</v>
      </c>
      <c r="O473" s="78" t="str">
        <f>MID(A$5,((FIND(N473,A$4,1)-1)+1),4)</f>
        <v>edb7</v>
      </c>
      <c r="P473" s="76" t="s">
        <v>0</v>
      </c>
      <c r="Q473" s="219" t="s">
        <v>0</v>
      </c>
      <c r="R473" s="103" t="s">
        <v>0</v>
      </c>
      <c r="S473" s="103" t="s">
        <v>0</v>
      </c>
      <c r="T473" s="42" t="s">
        <v>1</v>
      </c>
    </row>
    <row r="474" spans="1:20" ht="12.75">
      <c r="A474" s="44">
        <v>4523</v>
      </c>
      <c r="B474" s="886">
        <v>9046</v>
      </c>
      <c r="C474" s="886">
        <v>20457529</v>
      </c>
      <c r="D474" s="950" t="s">
        <v>2496</v>
      </c>
      <c r="E474" s="115">
        <f>B474-MOD(E$1-A474*3,B474)</f>
        <v>893</v>
      </c>
      <c r="F474" s="644">
        <f>IF(MOD(E474,5)=0,B474,0)+E474</f>
        <v>893</v>
      </c>
      <c r="G474" s="785">
        <f>IF(MOD(F474+$B474,5)=0,$B474,0)+$B474+F474</f>
        <v>9939</v>
      </c>
      <c r="H474" s="785">
        <f>IF(MOD(G474+$B474,5)=0,$B474,0)+$B474+G474</f>
        <v>28031</v>
      </c>
      <c r="I474" s="785">
        <f>IF(MOD(H474+$B474,5)=0,$B474,0)+$B474+H474</f>
        <v>37077</v>
      </c>
      <c r="J474" s="911">
        <v>89</v>
      </c>
      <c r="K474" s="785">
        <v>993</v>
      </c>
      <c r="L474" s="785">
        <v>2803</v>
      </c>
      <c r="M474" s="785">
        <v>3707</v>
      </c>
      <c r="N474" s="23" t="str">
        <f>D474&amp;FIXED(MOD(F474,10),0)</f>
        <v>hh33</v>
      </c>
      <c r="O474" s="78" t="str">
        <f>MID(A$5,((FIND(N474,A$4,1)-1)+1),4)</f>
        <v>be7d</v>
      </c>
      <c r="P474" s="76" t="s">
        <v>0</v>
      </c>
      <c r="Q474" s="219" t="s">
        <v>0</v>
      </c>
      <c r="R474" s="103" t="s">
        <v>0</v>
      </c>
      <c r="S474" s="103" t="s">
        <v>0</v>
      </c>
      <c r="T474" s="42" t="s">
        <v>1</v>
      </c>
    </row>
    <row r="475" spans="1:20" ht="12.75">
      <c r="A475" s="44">
        <v>4547</v>
      </c>
      <c r="B475" s="886">
        <v>9094</v>
      </c>
      <c r="C475" s="886">
        <v>20675209</v>
      </c>
      <c r="D475" s="950" t="s">
        <v>2501</v>
      </c>
      <c r="E475" s="115">
        <f>B475-MOD(E$1-A475*3,B475)</f>
        <v>3941</v>
      </c>
      <c r="F475" s="644">
        <f>IF(MOD(E475,5)=0,B475,0)+E475</f>
        <v>3941</v>
      </c>
      <c r="G475" s="785">
        <f>IF(MOD(F475+$B475,5)=0,$B475,0)+$B475+F475</f>
        <v>22129</v>
      </c>
      <c r="H475" s="785">
        <f>IF(MOD(G475+$B475,5)=0,$B475,0)+$B475+G475</f>
        <v>31223</v>
      </c>
      <c r="I475" s="785">
        <f>IF(MOD(H475+$B475,5)=0,$B475,0)+$B475+H475</f>
        <v>40317</v>
      </c>
      <c r="J475" s="911">
        <v>394</v>
      </c>
      <c r="K475" s="785">
        <v>2212</v>
      </c>
      <c r="L475" s="785">
        <v>3122</v>
      </c>
      <c r="M475" s="785">
        <v>4031</v>
      </c>
      <c r="N475" s="23" t="str">
        <f>D475&amp;FIXED(MOD(F475,10),0)</f>
        <v>hh71</v>
      </c>
      <c r="O475" s="78" t="str">
        <f>MID(A$5,((FIND(N475,A$4,1)-1)+1),4)</f>
        <v>7ebd</v>
      </c>
      <c r="P475" s="76" t="s">
        <v>0</v>
      </c>
      <c r="Q475" s="219" t="s">
        <v>0</v>
      </c>
      <c r="R475" s="103" t="s">
        <v>0</v>
      </c>
      <c r="S475" s="103" t="s">
        <v>0</v>
      </c>
      <c r="T475" s="42" t="s">
        <v>1</v>
      </c>
    </row>
    <row r="476" spans="1:20" ht="12.75">
      <c r="A476" s="44">
        <v>4549</v>
      </c>
      <c r="B476" s="886">
        <v>9098</v>
      </c>
      <c r="C476" s="886">
        <v>20693401</v>
      </c>
      <c r="D476" s="950" t="s">
        <v>2506</v>
      </c>
      <c r="E476" s="115">
        <f>B476-MOD(E$1-A476*3,B476)</f>
        <v>639</v>
      </c>
      <c r="F476" s="644">
        <f>IF(MOD(E476,5)=0,B476,0)+E476</f>
        <v>639</v>
      </c>
      <c r="G476" s="785">
        <f>IF(MOD(F476+$B476,5)=0,$B476,0)+$B476+F476</f>
        <v>9737</v>
      </c>
      <c r="H476" s="785">
        <f>IF(MOD(G476+$B476,5)=0,$B476,0)+$B476+G476</f>
        <v>27933</v>
      </c>
      <c r="I476" s="785">
        <f>IF(MOD(H476+$B476,5)=0,$B476,0)+$B476+H476</f>
        <v>37031</v>
      </c>
      <c r="J476" s="911">
        <v>63</v>
      </c>
      <c r="K476" s="785">
        <v>973</v>
      </c>
      <c r="L476" s="785">
        <v>2793</v>
      </c>
      <c r="M476" s="785">
        <v>3703</v>
      </c>
      <c r="N476" s="23" t="str">
        <f>D476&amp;FIXED(MOD(F476,10),0)</f>
        <v>hh99</v>
      </c>
      <c r="O476" s="78" t="str">
        <f>MID(A$5,((FIND(N476,A$4,1)-1)+1),4)</f>
        <v>edb7</v>
      </c>
      <c r="P476" s="76" t="s">
        <v>0</v>
      </c>
      <c r="Q476" s="219" t="s">
        <v>0</v>
      </c>
      <c r="R476" s="103" t="s">
        <v>0</v>
      </c>
      <c r="S476" s="103" t="s">
        <v>0</v>
      </c>
      <c r="T476" s="42" t="s">
        <v>1</v>
      </c>
    </row>
    <row r="477" spans="1:20" ht="12.75">
      <c r="A477" s="44">
        <v>4561</v>
      </c>
      <c r="B477" s="886">
        <v>9122</v>
      </c>
      <c r="C477" s="886">
        <v>20802721</v>
      </c>
      <c r="D477" s="950" t="s">
        <v>2490</v>
      </c>
      <c r="E477" s="115">
        <f>B477-MOD(E$1-A477*3,B477)</f>
        <v>7291</v>
      </c>
      <c r="F477" s="644">
        <f>IF(MOD(E477,5)=0,B477,0)+E477</f>
        <v>7291</v>
      </c>
      <c r="G477" s="785">
        <f>IF(MOD(F477+$B477,5)=0,$B477,0)+$B477+F477</f>
        <v>16413</v>
      </c>
      <c r="H477" s="785">
        <f>IF(MOD(G477+$B477,5)=0,$B477,0)+$B477+G477</f>
        <v>34657</v>
      </c>
      <c r="I477" s="785">
        <f>IF(MOD(H477+$B477,5)=0,$B477,0)+$B477+H477</f>
        <v>43779</v>
      </c>
      <c r="J477" s="911">
        <v>729</v>
      </c>
      <c r="K477" s="785">
        <v>1641</v>
      </c>
      <c r="L477" s="785">
        <v>3465</v>
      </c>
      <c r="M477" s="785">
        <v>4377</v>
      </c>
      <c r="N477" s="23" t="str">
        <f>D477&amp;FIXED(MOD(F477,10),0)</f>
        <v>hh11</v>
      </c>
      <c r="O477" s="78" t="str">
        <f>MID(A$5,((FIND(N477,A$4,1)-1)+1),4)</f>
        <v>7bde</v>
      </c>
      <c r="P477" s="76" t="s">
        <v>0</v>
      </c>
      <c r="Q477" s="219" t="s">
        <v>0</v>
      </c>
      <c r="R477" s="103" t="s">
        <v>0</v>
      </c>
      <c r="S477" s="103" t="s">
        <v>0</v>
      </c>
      <c r="T477" s="42" t="s">
        <v>1</v>
      </c>
    </row>
    <row r="478" spans="1:20" ht="12.75">
      <c r="A478" s="44">
        <v>4567</v>
      </c>
      <c r="B478" s="886">
        <v>9134</v>
      </c>
      <c r="C478" s="886">
        <v>20857489</v>
      </c>
      <c r="D478" s="950" t="s">
        <v>2501</v>
      </c>
      <c r="E478" s="115">
        <f>B478-MOD(E$1-A478*3,B478)</f>
        <v>8791</v>
      </c>
      <c r="F478" s="644">
        <f>IF(MOD(E478,5)=0,B478,0)+E478</f>
        <v>8791</v>
      </c>
      <c r="G478" s="785">
        <f>IF(MOD(F478+$B478,5)=0,$B478,0)+$B478+F478</f>
        <v>27059</v>
      </c>
      <c r="H478" s="785">
        <f>IF(MOD(G478+$B478,5)=0,$B478,0)+$B478+G478</f>
        <v>36193</v>
      </c>
      <c r="I478" s="785">
        <f>IF(MOD(H478+$B478,5)=0,$B478,0)+$B478+H478</f>
        <v>45327</v>
      </c>
      <c r="J478" s="911">
        <v>879</v>
      </c>
      <c r="K478" s="785">
        <v>2705</v>
      </c>
      <c r="L478" s="785">
        <v>3619</v>
      </c>
      <c r="M478" s="785">
        <v>4532</v>
      </c>
      <c r="N478" s="23" t="str">
        <f>D478&amp;FIXED(MOD(F478,10),0)</f>
        <v>hh71</v>
      </c>
      <c r="O478" s="78" t="str">
        <f>MID(A$5,((FIND(N478,A$4,1)-1)+1),4)</f>
        <v>7ebd</v>
      </c>
      <c r="P478" s="76" t="s">
        <v>0</v>
      </c>
      <c r="Q478" s="219" t="s">
        <v>0</v>
      </c>
      <c r="R478" s="103" t="s">
        <v>0</v>
      </c>
      <c r="S478" s="103" t="s">
        <v>0</v>
      </c>
      <c r="T478" s="42" t="s">
        <v>1</v>
      </c>
    </row>
    <row r="479" spans="1:20" ht="12.75">
      <c r="A479" s="44">
        <v>4583</v>
      </c>
      <c r="B479" s="886">
        <v>9166</v>
      </c>
      <c r="C479" s="886">
        <v>21003889</v>
      </c>
      <c r="D479" s="950" t="s">
        <v>2496</v>
      </c>
      <c r="E479" s="115">
        <f>B479-MOD(E$1-A479*3,B479)</f>
        <v>5353</v>
      </c>
      <c r="F479" s="644">
        <f>IF(MOD(E479,5)=0,B479,0)+E479</f>
        <v>5353</v>
      </c>
      <c r="G479" s="785">
        <f>IF(MOD(F479+$B479,5)=0,$B479,0)+$B479+F479</f>
        <v>14519</v>
      </c>
      <c r="H479" s="785">
        <f>IF(MOD(G479+$B479,5)=0,$B479,0)+$B479+G479</f>
        <v>32851</v>
      </c>
      <c r="I479" s="785">
        <f>IF(MOD(H479+$B479,5)=0,$B479,0)+$B479+H479</f>
        <v>42017</v>
      </c>
      <c r="J479" s="911">
        <v>535</v>
      </c>
      <c r="K479" s="785">
        <v>1451</v>
      </c>
      <c r="L479" s="785">
        <v>3285</v>
      </c>
      <c r="M479" s="785">
        <v>4201</v>
      </c>
      <c r="N479" s="23" t="str">
        <f>D479&amp;FIXED(MOD(F479,10),0)</f>
        <v>hh33</v>
      </c>
      <c r="O479" s="78" t="str">
        <f>MID(A$5,((FIND(N479,A$4,1)-1)+1),4)</f>
        <v>be7d</v>
      </c>
      <c r="P479" s="76" t="s">
        <v>0</v>
      </c>
      <c r="Q479" s="219" t="s">
        <v>0</v>
      </c>
      <c r="R479" s="103" t="s">
        <v>0</v>
      </c>
      <c r="S479" s="103" t="s">
        <v>0</v>
      </c>
      <c r="T479" s="42" t="s">
        <v>1</v>
      </c>
    </row>
    <row r="480" spans="1:20" ht="12.75">
      <c r="A480" s="44">
        <v>4591</v>
      </c>
      <c r="B480" s="886">
        <v>9182</v>
      </c>
      <c r="C480" s="886">
        <v>21077281</v>
      </c>
      <c r="D480" s="950" t="s">
        <v>2490</v>
      </c>
      <c r="E480" s="115">
        <f>B480-MOD(E$1-A480*3,B480)</f>
        <v>6877</v>
      </c>
      <c r="F480" s="644">
        <f>IF(MOD(E480,5)=0,B480,0)+E480</f>
        <v>6877</v>
      </c>
      <c r="G480" s="785">
        <f>IF(MOD(F480+$B480,5)=0,$B480,0)+$B480+F480</f>
        <v>16059</v>
      </c>
      <c r="H480" s="785">
        <f>IF(MOD(G480+$B480,5)=0,$B480,0)+$B480+G480</f>
        <v>25241</v>
      </c>
      <c r="I480" s="785">
        <f>IF(MOD(H480+$B480,5)=0,$B480,0)+$B480+H480</f>
        <v>34423</v>
      </c>
      <c r="J480" s="911">
        <v>687</v>
      </c>
      <c r="K480" s="785">
        <v>1605</v>
      </c>
      <c r="L480" s="785">
        <v>2524</v>
      </c>
      <c r="M480" s="785">
        <v>3442</v>
      </c>
      <c r="N480" s="23" t="str">
        <f>D480&amp;FIXED(MOD(F480,10),0)</f>
        <v>hh17</v>
      </c>
      <c r="O480" s="78" t="str">
        <f>MID(A$5,((FIND(N480,A$4,1)-1)+1),4)</f>
        <v>de7b</v>
      </c>
      <c r="P480" s="76" t="s">
        <v>0</v>
      </c>
      <c r="Q480" s="219" t="s">
        <v>0</v>
      </c>
      <c r="R480" s="103" t="s">
        <v>0</v>
      </c>
      <c r="S480" s="103" t="s">
        <v>0</v>
      </c>
      <c r="T480" s="42" t="s">
        <v>1</v>
      </c>
    </row>
    <row r="481" spans="1:20" ht="12.75">
      <c r="A481" s="44">
        <v>4597</v>
      </c>
      <c r="B481" s="886">
        <v>9194</v>
      </c>
      <c r="C481" s="886">
        <v>21132409</v>
      </c>
      <c r="D481" s="950" t="s">
        <v>2501</v>
      </c>
      <c r="E481" s="115">
        <f>B481-MOD(E$1-A481*3,B481)</f>
        <v>3601</v>
      </c>
      <c r="F481" s="644">
        <f>IF(MOD(E481,5)=0,B481,0)+E481</f>
        <v>3601</v>
      </c>
      <c r="G481" s="785">
        <f>IF(MOD(F481+$B481,5)=0,$B481,0)+$B481+F481</f>
        <v>21989</v>
      </c>
      <c r="H481" s="785">
        <f>IF(MOD(G481+$B481,5)=0,$B481,0)+$B481+G481</f>
        <v>31183</v>
      </c>
      <c r="I481" s="785">
        <f>IF(MOD(H481+$B481,5)=0,$B481,0)+$B481+H481</f>
        <v>40377</v>
      </c>
      <c r="J481" s="911">
        <v>360</v>
      </c>
      <c r="K481" s="785">
        <v>2198</v>
      </c>
      <c r="L481" s="785">
        <v>3118</v>
      </c>
      <c r="M481" s="785">
        <v>4037</v>
      </c>
      <c r="N481" s="23" t="str">
        <f>D481&amp;FIXED(MOD(F481,10),0)</f>
        <v>hh71</v>
      </c>
      <c r="O481" s="78" t="str">
        <f>MID(A$5,((FIND(N481,A$4,1)-1)+1),4)</f>
        <v>7ebd</v>
      </c>
      <c r="P481" s="76" t="s">
        <v>0</v>
      </c>
      <c r="Q481" s="219" t="s">
        <v>0</v>
      </c>
      <c r="R481" s="103" t="s">
        <v>0</v>
      </c>
      <c r="S481" s="103" t="s">
        <v>0</v>
      </c>
      <c r="T481" s="42" t="s">
        <v>1</v>
      </c>
    </row>
    <row r="482" spans="1:20" ht="12.75">
      <c r="A482" s="44">
        <v>4603</v>
      </c>
      <c r="B482" s="886">
        <v>9206</v>
      </c>
      <c r="C482" s="886">
        <v>21187609</v>
      </c>
      <c r="D482" s="950" t="s">
        <v>2496</v>
      </c>
      <c r="E482" s="115">
        <f>B482-MOD(E$1-A482*3,B482)</f>
        <v>1489</v>
      </c>
      <c r="F482" s="644">
        <f>IF(MOD(E482,5)=0,B482,0)+E482</f>
        <v>1489</v>
      </c>
      <c r="G482" s="785">
        <f>IF(MOD(F482+$B482,5)=0,$B482,0)+$B482+F482</f>
        <v>19901</v>
      </c>
      <c r="H482" s="785">
        <f>IF(MOD(G482+$B482,5)=0,$B482,0)+$B482+G482</f>
        <v>29107</v>
      </c>
      <c r="I482" s="785">
        <f>IF(MOD(H482+$B482,5)=0,$B482,0)+$B482+H482</f>
        <v>38313</v>
      </c>
      <c r="J482" s="911">
        <v>148</v>
      </c>
      <c r="K482" s="785">
        <v>1990</v>
      </c>
      <c r="L482" s="785">
        <v>2910</v>
      </c>
      <c r="M482" s="785">
        <v>3831</v>
      </c>
      <c r="N482" s="23" t="str">
        <f>D482&amp;FIXED(MOD(F482,10),0)</f>
        <v>hh39</v>
      </c>
      <c r="O482" s="78" t="str">
        <f>MID(A$5,((FIND(N482,A$4,1)-1)+1),4)</f>
        <v>e7db</v>
      </c>
      <c r="P482" s="76" t="s">
        <v>0</v>
      </c>
      <c r="Q482" s="219" t="s">
        <v>0</v>
      </c>
      <c r="R482" s="103" t="s">
        <v>0</v>
      </c>
      <c r="S482" s="103" t="s">
        <v>0</v>
      </c>
      <c r="T482" s="42" t="s">
        <v>1</v>
      </c>
    </row>
    <row r="483" spans="1:20" ht="12.75">
      <c r="A483" s="44">
        <v>4621</v>
      </c>
      <c r="B483" s="886">
        <v>9242</v>
      </c>
      <c r="C483" s="886">
        <v>21353641</v>
      </c>
      <c r="D483" s="950" t="s">
        <v>2490</v>
      </c>
      <c r="E483" s="115">
        <f>B483-MOD(E$1-A483*3,B483)</f>
        <v>8121</v>
      </c>
      <c r="F483" s="644">
        <f>IF(MOD(E483,5)=0,B483,0)+E483</f>
        <v>8121</v>
      </c>
      <c r="G483" s="785">
        <f>IF(MOD(F483+$B483,5)=0,$B483,0)+$B483+F483</f>
        <v>17363</v>
      </c>
      <c r="H483" s="785">
        <f>IF(MOD(G483+$B483,5)=0,$B483,0)+$B483+G483</f>
        <v>35847</v>
      </c>
      <c r="I483" s="785">
        <f>IF(MOD(H483+$B483,5)=0,$B483,0)+$B483+H483</f>
        <v>45089</v>
      </c>
      <c r="J483" s="911">
        <v>812</v>
      </c>
      <c r="K483" s="785">
        <v>1736</v>
      </c>
      <c r="L483" s="785">
        <v>3584</v>
      </c>
      <c r="M483" s="785">
        <v>4508</v>
      </c>
      <c r="N483" s="23" t="str">
        <f>D483&amp;FIXED(MOD(F483,10),0)</f>
        <v>hh11</v>
      </c>
      <c r="O483" s="78" t="str">
        <f>MID(A$5,((FIND(N483,A$4,1)-1)+1),4)</f>
        <v>7bde</v>
      </c>
      <c r="P483" s="76" t="s">
        <v>0</v>
      </c>
      <c r="Q483" s="219" t="s">
        <v>0</v>
      </c>
      <c r="R483" s="103" t="s">
        <v>0</v>
      </c>
      <c r="S483" s="103" t="s">
        <v>0</v>
      </c>
      <c r="T483" s="42" t="s">
        <v>1</v>
      </c>
    </row>
    <row r="484" spans="1:20" ht="12.75">
      <c r="A484" s="44">
        <v>4637</v>
      </c>
      <c r="B484" s="886">
        <v>9274</v>
      </c>
      <c r="C484" s="886">
        <v>21501769</v>
      </c>
      <c r="D484" s="950" t="s">
        <v>2501</v>
      </c>
      <c r="E484" s="115">
        <f>B484-MOD(E$1-A484*3,B484)</f>
        <v>4695</v>
      </c>
      <c r="F484" s="644">
        <f>IF(MOD(E484,5)=0,B484,0)+E484</f>
        <v>13969</v>
      </c>
      <c r="G484" s="785">
        <f>IF(MOD(F484+$B484,5)=0,$B484,0)+$B484+F484</f>
        <v>23243</v>
      </c>
      <c r="H484" s="785">
        <f>IF(MOD(G484+$B484,5)=0,$B484,0)+$B484+G484</f>
        <v>32517</v>
      </c>
      <c r="I484" s="785">
        <f>IF(MOD(H484+$B484,5)=0,$B484,0)+$B484+H484</f>
        <v>41791</v>
      </c>
      <c r="J484" s="911">
        <v>1396</v>
      </c>
      <c r="K484" s="785">
        <v>2324</v>
      </c>
      <c r="L484" s="785">
        <v>3251</v>
      </c>
      <c r="M484" s="785">
        <v>4179</v>
      </c>
      <c r="N484" s="23" t="str">
        <f>D484&amp;FIXED(MOD(F484,10),0)</f>
        <v>hh79</v>
      </c>
      <c r="O484" s="78" t="str">
        <f>MID(A$5,((FIND(N484,A$4,1)-1)+1),4)</f>
        <v>ebd7</v>
      </c>
      <c r="P484" s="76" t="s">
        <v>0</v>
      </c>
      <c r="Q484" s="219" t="s">
        <v>0</v>
      </c>
      <c r="R484" s="103" t="s">
        <v>0</v>
      </c>
      <c r="S484" s="103" t="s">
        <v>0</v>
      </c>
      <c r="T484" s="42" t="s">
        <v>1</v>
      </c>
    </row>
    <row r="485" spans="1:20" ht="12.75">
      <c r="A485" s="44">
        <v>4639</v>
      </c>
      <c r="B485" s="886">
        <v>9278</v>
      </c>
      <c r="C485" s="886">
        <v>21520321</v>
      </c>
      <c r="D485" s="950" t="s">
        <v>2506</v>
      </c>
      <c r="E485" s="115">
        <f>B485-MOD(E$1-A485*3,B485)</f>
        <v>6191</v>
      </c>
      <c r="F485" s="644">
        <f>IF(MOD(E485,5)=0,B485,0)+E485</f>
        <v>6191</v>
      </c>
      <c r="G485" s="785">
        <f>IF(MOD(F485+$B485,5)=0,$B485,0)+$B485+F485</f>
        <v>15469</v>
      </c>
      <c r="H485" s="785">
        <f>IF(MOD(G485+$B485,5)=0,$B485,0)+$B485+G485</f>
        <v>24747</v>
      </c>
      <c r="I485" s="785">
        <f>IF(MOD(H485+$B485,5)=0,$B485,0)+$B485+H485</f>
        <v>43303</v>
      </c>
      <c r="J485" s="911">
        <v>619</v>
      </c>
      <c r="K485" s="785">
        <v>1546</v>
      </c>
      <c r="L485" s="785">
        <v>2474</v>
      </c>
      <c r="M485" s="785">
        <v>4330</v>
      </c>
      <c r="N485" s="23" t="str">
        <f>D485&amp;FIXED(MOD(F485,10),0)</f>
        <v>hh91</v>
      </c>
      <c r="O485" s="78" t="str">
        <f>MID(A$5,((FIND(N485,A$4,1)-1)+1),4)</f>
        <v>7edb</v>
      </c>
      <c r="P485" s="76" t="s">
        <v>0</v>
      </c>
      <c r="Q485" s="219" t="s">
        <v>0</v>
      </c>
      <c r="R485" s="103" t="s">
        <v>0</v>
      </c>
      <c r="S485" s="103" t="s">
        <v>0</v>
      </c>
      <c r="T485" s="42" t="s">
        <v>1</v>
      </c>
    </row>
    <row r="486" spans="1:20" ht="12.75">
      <c r="A486" s="44">
        <v>4643</v>
      </c>
      <c r="B486" s="886">
        <v>9286</v>
      </c>
      <c r="C486" s="886">
        <v>21557449</v>
      </c>
      <c r="D486" s="950" t="s">
        <v>2496</v>
      </c>
      <c r="E486" s="115">
        <f>B486-MOD(E$1-A486*3,B486)</f>
        <v>497</v>
      </c>
      <c r="F486" s="644">
        <f>IF(MOD(E486,5)=0,B486,0)+E486</f>
        <v>497</v>
      </c>
      <c r="G486" s="785">
        <f>IF(MOD(F486+$B486,5)=0,$B486,0)+$B486+F486</f>
        <v>9783</v>
      </c>
      <c r="H486" s="785">
        <f>IF(MOD(G486+$B486,5)=0,$B486,0)+$B486+G486</f>
        <v>19069</v>
      </c>
      <c r="I486" s="785">
        <f>IF(MOD(H486+$B486,5)=0,$B486,0)+$B486+H486</f>
        <v>37641</v>
      </c>
      <c r="J486" s="911">
        <v>49</v>
      </c>
      <c r="K486" s="785">
        <v>978</v>
      </c>
      <c r="L486" s="785">
        <v>1906</v>
      </c>
      <c r="M486" s="785">
        <v>3764</v>
      </c>
      <c r="N486" s="23" t="str">
        <f>D486&amp;FIXED(MOD(F486,10),0)</f>
        <v>hh37</v>
      </c>
      <c r="O486" s="78" t="str">
        <f>MID(A$5,((FIND(N486,A$4,1)-1)+1),4)</f>
        <v>dbe7</v>
      </c>
      <c r="P486" s="76" t="s">
        <v>0</v>
      </c>
      <c r="Q486" s="219" t="s">
        <v>0</v>
      </c>
      <c r="R486" s="103" t="s">
        <v>0</v>
      </c>
      <c r="S486" s="103" t="s">
        <v>0</v>
      </c>
      <c r="T486" s="42" t="s">
        <v>1</v>
      </c>
    </row>
    <row r="487" spans="1:20" ht="12.75">
      <c r="A487" s="44">
        <v>4649</v>
      </c>
      <c r="B487" s="886">
        <v>9298</v>
      </c>
      <c r="C487" s="886">
        <v>21613201</v>
      </c>
      <c r="D487" s="950" t="s">
        <v>2506</v>
      </c>
      <c r="E487" s="115">
        <f>B487-MOD(E$1-A487*3,B487)</f>
        <v>2395</v>
      </c>
      <c r="F487" s="644">
        <f>IF(MOD(E487,5)=0,B487,0)+E487</f>
        <v>11693</v>
      </c>
      <c r="G487" s="785">
        <f>IF(MOD(F487+$B487,5)=0,$B487,0)+$B487+F487</f>
        <v>20991</v>
      </c>
      <c r="H487" s="785">
        <f>IF(MOD(G487+$B487,5)=0,$B487,0)+$B487+G487</f>
        <v>30289</v>
      </c>
      <c r="I487" s="785">
        <f>IF(MOD(H487+$B487,5)=0,$B487,0)+$B487+H487</f>
        <v>39587</v>
      </c>
      <c r="J487" s="911">
        <v>1169</v>
      </c>
      <c r="K487" s="785">
        <v>2099</v>
      </c>
      <c r="L487" s="785">
        <v>3028</v>
      </c>
      <c r="M487" s="785">
        <v>3958</v>
      </c>
      <c r="N487" s="23" t="str">
        <f>D487&amp;FIXED(MOD(F487,10),0)</f>
        <v>hh93</v>
      </c>
      <c r="O487" s="78" t="str">
        <f>MID(A$5,((FIND(N487,A$4,1)-1)+1),4)</f>
        <v>b7ed</v>
      </c>
      <c r="P487" s="76" t="s">
        <v>0</v>
      </c>
      <c r="Q487" s="219" t="s">
        <v>0</v>
      </c>
      <c r="R487" s="103" t="s">
        <v>0</v>
      </c>
      <c r="S487" s="103" t="s">
        <v>0</v>
      </c>
      <c r="T487" s="42" t="s">
        <v>1</v>
      </c>
    </row>
    <row r="488" spans="1:20" ht="12.75">
      <c r="A488" s="44">
        <v>4651</v>
      </c>
      <c r="B488" s="886">
        <v>9302</v>
      </c>
      <c r="C488" s="886">
        <v>21631801</v>
      </c>
      <c r="D488" s="950" t="s">
        <v>2490</v>
      </c>
      <c r="E488" s="115">
        <f>B488-MOD(E$1-A488*3,B488)</f>
        <v>8827</v>
      </c>
      <c r="F488" s="644">
        <f>IF(MOD(E488,5)=0,B488,0)+E488</f>
        <v>8827</v>
      </c>
      <c r="G488" s="785">
        <f>IF(MOD(F488+$B488,5)=0,$B488,0)+$B488+F488</f>
        <v>18129</v>
      </c>
      <c r="H488" s="785">
        <f>IF(MOD(G488+$B488,5)=0,$B488,0)+$B488+G488</f>
        <v>27431</v>
      </c>
      <c r="I488" s="785">
        <f>IF(MOD(H488+$B488,5)=0,$B488,0)+$B488+H488</f>
        <v>36733</v>
      </c>
      <c r="J488" s="911">
        <v>882</v>
      </c>
      <c r="K488" s="785">
        <v>1812</v>
      </c>
      <c r="L488" s="785">
        <v>2743</v>
      </c>
      <c r="M488" s="785">
        <v>3673</v>
      </c>
      <c r="N488" s="23" t="str">
        <f>D488&amp;FIXED(MOD(F488,10),0)</f>
        <v>hh17</v>
      </c>
      <c r="O488" s="78" t="str">
        <f>MID(A$5,((FIND(N488,A$4,1)-1)+1),4)</f>
        <v>de7b</v>
      </c>
      <c r="P488" s="76" t="s">
        <v>0</v>
      </c>
      <c r="Q488" s="219" t="s">
        <v>0</v>
      </c>
      <c r="R488" s="103" t="s">
        <v>0</v>
      </c>
      <c r="S488" s="103" t="s">
        <v>0</v>
      </c>
      <c r="T488" s="42" t="s">
        <v>1</v>
      </c>
    </row>
    <row r="489" spans="1:20" ht="12.75">
      <c r="A489" s="44">
        <v>4657</v>
      </c>
      <c r="B489" s="886">
        <v>9314</v>
      </c>
      <c r="C489" s="886">
        <v>21687649</v>
      </c>
      <c r="D489" s="950" t="s">
        <v>2501</v>
      </c>
      <c r="E489" s="115">
        <f>B489-MOD(E$1-A489*3,B489)</f>
        <v>3011</v>
      </c>
      <c r="F489" s="644">
        <f>IF(MOD(E489,5)=0,B489,0)+E489</f>
        <v>3011</v>
      </c>
      <c r="G489" s="785">
        <f>IF(MOD(F489+$B489,5)=0,$B489,0)+$B489+F489</f>
        <v>21639</v>
      </c>
      <c r="H489" s="785">
        <f>IF(MOD(G489+$B489,5)=0,$B489,0)+$B489+G489</f>
        <v>30953</v>
      </c>
      <c r="I489" s="785">
        <f>IF(MOD(H489+$B489,5)=0,$B489,0)+$B489+H489</f>
        <v>40267</v>
      </c>
      <c r="J489" s="911">
        <v>301</v>
      </c>
      <c r="K489" s="785">
        <v>2163</v>
      </c>
      <c r="L489" s="785">
        <v>3095</v>
      </c>
      <c r="M489" s="785">
        <v>4026</v>
      </c>
      <c r="N489" s="23" t="str">
        <f>D489&amp;FIXED(MOD(F489,10),0)</f>
        <v>hh71</v>
      </c>
      <c r="O489" s="78" t="str">
        <f>MID(A$5,((FIND(N489,A$4,1)-1)+1),4)</f>
        <v>7ebd</v>
      </c>
      <c r="P489" s="76" t="s">
        <v>0</v>
      </c>
      <c r="Q489" s="219" t="s">
        <v>0</v>
      </c>
      <c r="R489" s="103" t="s">
        <v>0</v>
      </c>
      <c r="S489" s="103" t="s">
        <v>0</v>
      </c>
      <c r="T489" s="42" t="s">
        <v>1</v>
      </c>
    </row>
    <row r="490" spans="1:20" ht="12.75">
      <c r="A490" s="44">
        <v>4663</v>
      </c>
      <c r="B490" s="886">
        <v>9326</v>
      </c>
      <c r="C490" s="886">
        <v>21743569</v>
      </c>
      <c r="D490" s="950" t="s">
        <v>2496</v>
      </c>
      <c r="E490" s="115">
        <f>B490-MOD(E$1-A490*3,B490)</f>
        <v>2711</v>
      </c>
      <c r="F490" s="644">
        <f>IF(MOD(E490,5)=0,B490,0)+E490</f>
        <v>2711</v>
      </c>
      <c r="G490" s="785">
        <f>IF(MOD(F490+$B490,5)=0,$B490,0)+$B490+F490</f>
        <v>12037</v>
      </c>
      <c r="H490" s="785">
        <f>IF(MOD(G490+$B490,5)=0,$B490,0)+$B490+G490</f>
        <v>21363</v>
      </c>
      <c r="I490" s="785">
        <f>IF(MOD(H490+$B490,5)=0,$B490,0)+$B490+H490</f>
        <v>30689</v>
      </c>
      <c r="J490" s="911">
        <v>271</v>
      </c>
      <c r="K490" s="785">
        <v>1203</v>
      </c>
      <c r="L490" s="785">
        <v>2136</v>
      </c>
      <c r="M490" s="785">
        <v>3068</v>
      </c>
      <c r="N490" s="23" t="str">
        <f>D490&amp;FIXED(MOD(F490,10),0)</f>
        <v>hh31</v>
      </c>
      <c r="O490" s="78" t="str">
        <f>MID(A$5,((FIND(N490,A$4,1)-1)+1),4)</f>
        <v>7dbe</v>
      </c>
      <c r="P490" s="76" t="s">
        <v>0</v>
      </c>
      <c r="Q490" s="219" t="s">
        <v>0</v>
      </c>
      <c r="R490" s="103" t="s">
        <v>0</v>
      </c>
      <c r="S490" s="103" t="s">
        <v>0</v>
      </c>
      <c r="T490" s="42" t="s">
        <v>1</v>
      </c>
    </row>
    <row r="491" spans="1:20" ht="12.75">
      <c r="A491" s="44">
        <v>4673</v>
      </c>
      <c r="B491" s="886">
        <v>9346</v>
      </c>
      <c r="C491" s="886">
        <v>21836929</v>
      </c>
      <c r="D491" s="950" t="s">
        <v>2496</v>
      </c>
      <c r="E491" s="115">
        <f>B491-MOD(E$1-A491*3,B491)</f>
        <v>2163</v>
      </c>
      <c r="F491" s="644">
        <f>IF(MOD(E491,5)=0,B491,0)+E491</f>
        <v>2163</v>
      </c>
      <c r="G491" s="785">
        <f>IF(MOD(F491+$B491,5)=0,$B491,0)+$B491+F491</f>
        <v>11509</v>
      </c>
      <c r="H491" s="785">
        <f>IF(MOD(G491+$B491,5)=0,$B491,0)+$B491+G491</f>
        <v>30201</v>
      </c>
      <c r="I491" s="785">
        <f>IF(MOD(H491+$B491,5)=0,$B491,0)+$B491+H491</f>
        <v>39547</v>
      </c>
      <c r="J491" s="911">
        <v>216</v>
      </c>
      <c r="K491" s="785">
        <v>1150</v>
      </c>
      <c r="L491" s="785">
        <v>3020</v>
      </c>
      <c r="M491" s="785">
        <v>3954</v>
      </c>
      <c r="N491" s="23" t="str">
        <f>D491&amp;FIXED(MOD(F491,10),0)</f>
        <v>hh33</v>
      </c>
      <c r="O491" s="78" t="str">
        <f>MID(A$5,((FIND(N491,A$4,1)-1)+1),4)</f>
        <v>be7d</v>
      </c>
      <c r="P491" s="76" t="s">
        <v>0</v>
      </c>
      <c r="Q491" s="219" t="s">
        <v>0</v>
      </c>
      <c r="R491" s="103" t="s">
        <v>0</v>
      </c>
      <c r="S491" s="103" t="s">
        <v>0</v>
      </c>
      <c r="T491" s="42" t="s">
        <v>1</v>
      </c>
    </row>
    <row r="492" spans="1:20" ht="12.75">
      <c r="A492" s="44">
        <v>4679</v>
      </c>
      <c r="B492" s="886">
        <v>9358</v>
      </c>
      <c r="C492" s="886">
        <v>21893041</v>
      </c>
      <c r="D492" s="950" t="s">
        <v>2506</v>
      </c>
      <c r="E492" s="115">
        <f>B492-MOD(E$1-A492*3,B492)</f>
        <v>1165</v>
      </c>
      <c r="F492" s="644">
        <f>IF(MOD(E492,5)=0,B492,0)+E492</f>
        <v>10523</v>
      </c>
      <c r="G492" s="785">
        <f>IF(MOD(F492+$B492,5)=0,$B492,0)+$B492+F492</f>
        <v>19881</v>
      </c>
      <c r="H492" s="785">
        <f>IF(MOD(G492+$B492,5)=0,$B492,0)+$B492+G492</f>
        <v>29239</v>
      </c>
      <c r="I492" s="785">
        <f>IF(MOD(H492+$B492,5)=0,$B492,0)+$B492+H492</f>
        <v>38597</v>
      </c>
      <c r="J492" s="911">
        <v>1052</v>
      </c>
      <c r="K492" s="785">
        <v>1988</v>
      </c>
      <c r="L492" s="785">
        <v>2923</v>
      </c>
      <c r="M492" s="785">
        <v>3859</v>
      </c>
      <c r="N492" s="23" t="str">
        <f>D492&amp;FIXED(MOD(F492,10),0)</f>
        <v>hh93</v>
      </c>
      <c r="O492" s="78" t="str">
        <f>MID(A$5,((FIND(N492,A$4,1)-1)+1),4)</f>
        <v>b7ed</v>
      </c>
      <c r="P492" s="76" t="s">
        <v>0</v>
      </c>
      <c r="Q492" s="219" t="s">
        <v>0</v>
      </c>
      <c r="R492" s="103" t="s">
        <v>0</v>
      </c>
      <c r="S492" s="103" t="s">
        <v>0</v>
      </c>
      <c r="T492" s="42" t="s">
        <v>1</v>
      </c>
    </row>
    <row r="493" spans="1:20" ht="12.75">
      <c r="A493" s="44">
        <v>4691</v>
      </c>
      <c r="B493" s="886">
        <v>9382</v>
      </c>
      <c r="C493" s="886">
        <v>22005481</v>
      </c>
      <c r="D493" s="950" t="s">
        <v>2490</v>
      </c>
      <c r="E493" s="115">
        <f>B493-MOD(E$1-A493*3,B493)</f>
        <v>4555</v>
      </c>
      <c r="F493" s="644">
        <f>IF(MOD(E493,5)=0,B493,0)+E493</f>
        <v>13937</v>
      </c>
      <c r="G493" s="785">
        <f>IF(MOD(F493+$B493,5)=0,$B493,0)+$B493+F493</f>
        <v>23319</v>
      </c>
      <c r="H493" s="785">
        <f>IF(MOD(G493+$B493,5)=0,$B493,0)+$B493+G493</f>
        <v>32701</v>
      </c>
      <c r="I493" s="785">
        <f>IF(MOD(H493+$B493,5)=0,$B493,0)+$B493+H493</f>
        <v>42083</v>
      </c>
      <c r="J493" s="911">
        <v>1393</v>
      </c>
      <c r="K493" s="785">
        <v>2331</v>
      </c>
      <c r="L493" s="785">
        <v>3270</v>
      </c>
      <c r="M493" s="785">
        <v>4208</v>
      </c>
      <c r="N493" s="23" t="str">
        <f>D493&amp;FIXED(MOD(F493,10),0)</f>
        <v>hh17</v>
      </c>
      <c r="O493" s="78" t="str">
        <f>MID(A$5,((FIND(N493,A$4,1)-1)+1),4)</f>
        <v>de7b</v>
      </c>
      <c r="P493" s="76" t="s">
        <v>0</v>
      </c>
      <c r="Q493" s="219" t="s">
        <v>0</v>
      </c>
      <c r="R493" s="103" t="s">
        <v>0</v>
      </c>
      <c r="S493" s="103" t="s">
        <v>0</v>
      </c>
      <c r="T493" s="42" t="s">
        <v>1</v>
      </c>
    </row>
    <row r="494" spans="1:20" ht="12.75">
      <c r="A494" s="44">
        <v>4703</v>
      </c>
      <c r="B494" s="886">
        <v>9406</v>
      </c>
      <c r="C494" s="886">
        <v>22118209</v>
      </c>
      <c r="D494" s="950" t="s">
        <v>2496</v>
      </c>
      <c r="E494" s="115">
        <f>B494-MOD(E$1-A494*3,B494)</f>
        <v>6035</v>
      </c>
      <c r="F494" s="644">
        <f>IF(MOD(E494,5)=0,B494,0)+E494</f>
        <v>15441</v>
      </c>
      <c r="G494" s="785">
        <f>IF(MOD(F494+$B494,5)=0,$B494,0)+$B494+F494</f>
        <v>24847</v>
      </c>
      <c r="H494" s="785">
        <f>IF(MOD(G494+$B494,5)=0,$B494,0)+$B494+G494</f>
        <v>34253</v>
      </c>
      <c r="I494" s="785">
        <f>IF(MOD(H494+$B494,5)=0,$B494,0)+$B494+H494</f>
        <v>43659</v>
      </c>
      <c r="J494" s="911">
        <v>1544</v>
      </c>
      <c r="K494" s="785">
        <v>2484</v>
      </c>
      <c r="L494" s="785">
        <v>3425</v>
      </c>
      <c r="M494" s="785">
        <v>4365</v>
      </c>
      <c r="N494" s="23" t="str">
        <f>D494&amp;FIXED(MOD(F494,10),0)</f>
        <v>hh31</v>
      </c>
      <c r="O494" s="78" t="str">
        <f>MID(A$5,((FIND(N494,A$4,1)-1)+1),4)</f>
        <v>7dbe</v>
      </c>
      <c r="P494" s="76" t="s">
        <v>0</v>
      </c>
      <c r="Q494" s="219" t="s">
        <v>0</v>
      </c>
      <c r="R494" s="103" t="s">
        <v>0</v>
      </c>
      <c r="S494" s="103" t="s">
        <v>0</v>
      </c>
      <c r="T494" s="42" t="s">
        <v>1</v>
      </c>
    </row>
    <row r="495" spans="1:20" ht="12.75">
      <c r="A495" s="44">
        <v>4721</v>
      </c>
      <c r="B495" s="886">
        <v>9442</v>
      </c>
      <c r="C495" s="886">
        <v>22287841</v>
      </c>
      <c r="D495" s="950" t="s">
        <v>2490</v>
      </c>
      <c r="E495" s="115">
        <f>B495-MOD(E$1-A495*3,B495)</f>
        <v>7539</v>
      </c>
      <c r="F495" s="644">
        <f>IF(MOD(E495,5)=0,B495,0)+E495</f>
        <v>7539</v>
      </c>
      <c r="G495" s="785">
        <f>IF(MOD(F495+$B495,5)=0,$B495,0)+$B495+F495</f>
        <v>16981</v>
      </c>
      <c r="H495" s="785">
        <f>IF(MOD(G495+$B495,5)=0,$B495,0)+$B495+G495</f>
        <v>26423</v>
      </c>
      <c r="I495" s="785">
        <f>IF(MOD(H495+$B495,5)=0,$B495,0)+$B495+H495</f>
        <v>45307</v>
      </c>
      <c r="J495" s="911">
        <v>753</v>
      </c>
      <c r="K495" s="785">
        <v>1698</v>
      </c>
      <c r="L495" s="785">
        <v>2642</v>
      </c>
      <c r="M495" s="785">
        <v>4530</v>
      </c>
      <c r="N495" s="23" t="str">
        <f>D495&amp;FIXED(MOD(F495,10),0)</f>
        <v>hh19</v>
      </c>
      <c r="O495" s="78" t="str">
        <f>MID(A$5,((FIND(N495,A$4,1)-1)+1),4)</f>
        <v>e7bd</v>
      </c>
      <c r="P495" s="76" t="s">
        <v>0</v>
      </c>
      <c r="Q495" s="219" t="s">
        <v>0</v>
      </c>
      <c r="R495" s="103" t="s">
        <v>0</v>
      </c>
      <c r="S495" s="103" t="s">
        <v>0</v>
      </c>
      <c r="T495" s="42" t="s">
        <v>1</v>
      </c>
    </row>
    <row r="496" spans="1:20" ht="12.75">
      <c r="A496" s="44">
        <v>4723</v>
      </c>
      <c r="B496" s="886">
        <v>9446</v>
      </c>
      <c r="C496" s="886">
        <v>22306729</v>
      </c>
      <c r="D496" s="950" t="s">
        <v>2496</v>
      </c>
      <c r="E496" s="115">
        <f>B496-MOD(E$1-A496*3,B496)</f>
        <v>4865</v>
      </c>
      <c r="F496" s="644">
        <f>IF(MOD(E496,5)=0,B496,0)+E496</f>
        <v>14311</v>
      </c>
      <c r="G496" s="785">
        <f>IF(MOD(F496+$B496,5)=0,$B496,0)+$B496+F496</f>
        <v>23757</v>
      </c>
      <c r="H496" s="785">
        <f>IF(MOD(G496+$B496,5)=0,$B496,0)+$B496+G496</f>
        <v>33203</v>
      </c>
      <c r="I496" s="785">
        <f>IF(MOD(H496+$B496,5)=0,$B496,0)+$B496+H496</f>
        <v>42649</v>
      </c>
      <c r="J496" s="911">
        <v>1431</v>
      </c>
      <c r="K496" s="785">
        <v>2375</v>
      </c>
      <c r="L496" s="785">
        <v>3320</v>
      </c>
      <c r="M496" s="785">
        <v>4264</v>
      </c>
      <c r="N496" s="23" t="str">
        <f>D496&amp;FIXED(MOD(F496,10),0)</f>
        <v>hh31</v>
      </c>
      <c r="O496" s="78" t="str">
        <f>MID(A$5,((FIND(N496,A$4,1)-1)+1),4)</f>
        <v>7dbe</v>
      </c>
      <c r="P496" s="76" t="s">
        <v>0</v>
      </c>
      <c r="Q496" s="219" t="s">
        <v>0</v>
      </c>
      <c r="R496" s="103" t="s">
        <v>0</v>
      </c>
      <c r="S496" s="103" t="s">
        <v>0</v>
      </c>
      <c r="T496" s="42" t="s">
        <v>1</v>
      </c>
    </row>
    <row r="497" spans="1:20" ht="12.75">
      <c r="A497" s="44">
        <v>4729</v>
      </c>
      <c r="B497" s="886">
        <v>9458</v>
      </c>
      <c r="C497" s="886">
        <v>22363441</v>
      </c>
      <c r="D497" s="950" t="s">
        <v>2506</v>
      </c>
      <c r="E497" s="115">
        <f>B497-MOD(E$1-A497*3,B497)</f>
        <v>3693</v>
      </c>
      <c r="F497" s="644">
        <f>IF(MOD(E497,5)=0,B497,0)+E497</f>
        <v>3693</v>
      </c>
      <c r="G497" s="785">
        <f>IF(MOD(F497+$B497,5)=0,$B497,0)+$B497+F497</f>
        <v>13151</v>
      </c>
      <c r="H497" s="785">
        <f>IF(MOD(G497+$B497,5)=0,$B497,0)+$B497+G497</f>
        <v>22609</v>
      </c>
      <c r="I497" s="785">
        <f>IF(MOD(H497+$B497,5)=0,$B497,0)+$B497+H497</f>
        <v>32067</v>
      </c>
      <c r="J497" s="911">
        <v>369</v>
      </c>
      <c r="K497" s="785">
        <v>1315</v>
      </c>
      <c r="L497" s="785">
        <v>2260</v>
      </c>
      <c r="M497" s="785">
        <v>3206</v>
      </c>
      <c r="N497" s="23" t="str">
        <f>D497&amp;FIXED(MOD(F497,10),0)</f>
        <v>hh93</v>
      </c>
      <c r="O497" s="78" t="str">
        <f>MID(A$5,((FIND(N497,A$4,1)-1)+1),4)</f>
        <v>b7ed</v>
      </c>
      <c r="P497" s="76" t="s">
        <v>0</v>
      </c>
      <c r="Q497" s="219" t="s">
        <v>0</v>
      </c>
      <c r="R497" s="103" t="s">
        <v>0</v>
      </c>
      <c r="S497" s="103" t="s">
        <v>0</v>
      </c>
      <c r="T497" s="42" t="s">
        <v>1</v>
      </c>
    </row>
    <row r="498" spans="1:20" ht="12.75">
      <c r="A498" s="44">
        <v>4733</v>
      </c>
      <c r="B498" s="886">
        <v>9466</v>
      </c>
      <c r="C498" s="886">
        <v>22401289</v>
      </c>
      <c r="D498" s="950" t="s">
        <v>2496</v>
      </c>
      <c r="E498" s="115">
        <f>B498-MOD(E$1-A498*3,B498)</f>
        <v>6627</v>
      </c>
      <c r="F498" s="644">
        <f>IF(MOD(E498,5)=0,B498,0)+E498</f>
        <v>6627</v>
      </c>
      <c r="G498" s="785">
        <f>IF(MOD(F498+$B498,5)=0,$B498,0)+$B498+F498</f>
        <v>16093</v>
      </c>
      <c r="H498" s="785">
        <f>IF(MOD(G498+$B498,5)=0,$B498,0)+$B498+G498</f>
        <v>25559</v>
      </c>
      <c r="I498" s="785">
        <f>IF(MOD(H498+$B498,5)=0,$B498,0)+$B498+H498</f>
        <v>44491</v>
      </c>
      <c r="J498" s="911">
        <v>662</v>
      </c>
      <c r="K498" s="785">
        <v>1609</v>
      </c>
      <c r="L498" s="785">
        <v>2555</v>
      </c>
      <c r="M498" s="785">
        <v>4449</v>
      </c>
      <c r="N498" s="23" t="str">
        <f>D498&amp;FIXED(MOD(F498,10),0)</f>
        <v>hh37</v>
      </c>
      <c r="O498" s="78" t="str">
        <f>MID(A$5,((FIND(N498,A$4,1)-1)+1),4)</f>
        <v>dbe7</v>
      </c>
      <c r="P498" s="76" t="s">
        <v>0</v>
      </c>
      <c r="Q498" s="219" t="s">
        <v>0</v>
      </c>
      <c r="R498" s="103" t="s">
        <v>0</v>
      </c>
      <c r="S498" s="103" t="s">
        <v>0</v>
      </c>
      <c r="T498" s="42" t="s">
        <v>1</v>
      </c>
    </row>
    <row r="499" spans="1:20" ht="12.75">
      <c r="A499" s="44">
        <v>4751</v>
      </c>
      <c r="B499" s="886">
        <v>9502</v>
      </c>
      <c r="C499" s="886">
        <v>22572001</v>
      </c>
      <c r="D499" s="950" t="s">
        <v>2490</v>
      </c>
      <c r="E499" s="115">
        <f>B499-MOD(E$1-A499*3,B499)</f>
        <v>7505</v>
      </c>
      <c r="F499" s="644">
        <f>IF(MOD(E499,5)=0,B499,0)+E499</f>
        <v>17007</v>
      </c>
      <c r="G499" s="785">
        <f>IF(MOD(F499+$B499,5)=0,$B499,0)+$B499+F499</f>
        <v>26509</v>
      </c>
      <c r="H499" s="785">
        <f>IF(MOD(G499+$B499,5)=0,$B499,0)+$B499+G499</f>
        <v>36011</v>
      </c>
      <c r="I499" s="785">
        <f>IF(MOD(H499+$B499,5)=0,$B499,0)+$B499+H499</f>
        <v>45513</v>
      </c>
      <c r="J499" s="911">
        <v>1700</v>
      </c>
      <c r="K499" s="785">
        <v>2650</v>
      </c>
      <c r="L499" s="785">
        <v>3601</v>
      </c>
      <c r="M499" s="785">
        <v>4551</v>
      </c>
      <c r="N499" s="23" t="str">
        <f>D499&amp;FIXED(MOD(F499,10),0)</f>
        <v>hh17</v>
      </c>
      <c r="O499" s="78" t="str">
        <f>MID(A$5,((FIND(N499,A$4,1)-1)+1),4)</f>
        <v>de7b</v>
      </c>
      <c r="P499" s="76" t="s">
        <v>0</v>
      </c>
      <c r="Q499" s="219" t="s">
        <v>0</v>
      </c>
      <c r="R499" s="103" t="s">
        <v>0</v>
      </c>
      <c r="S499" s="103" t="s">
        <v>0</v>
      </c>
      <c r="T499" s="42" t="s">
        <v>1</v>
      </c>
    </row>
    <row r="500" spans="1:20" ht="12.75">
      <c r="A500" s="44">
        <v>4759</v>
      </c>
      <c r="B500" s="886">
        <v>9518</v>
      </c>
      <c r="C500" s="886">
        <v>22648081</v>
      </c>
      <c r="D500" s="950" t="s">
        <v>2506</v>
      </c>
      <c r="E500" s="115">
        <f>B500-MOD(E$1-A500*3,B500)</f>
        <v>749</v>
      </c>
      <c r="F500" s="644">
        <f>IF(MOD(E500,5)=0,B500,0)+E500</f>
        <v>749</v>
      </c>
      <c r="G500" s="785">
        <f>IF(MOD(F500+$B500,5)=0,$B500,0)+$B500+F500</f>
        <v>10267</v>
      </c>
      <c r="H500" s="785">
        <f>IF(MOD(G500+$B500,5)=0,$B500,0)+$B500+G500</f>
        <v>29303</v>
      </c>
      <c r="I500" s="785">
        <f>IF(MOD(H500+$B500,5)=0,$B500,0)+$B500+H500</f>
        <v>38821</v>
      </c>
      <c r="J500" s="911">
        <v>74</v>
      </c>
      <c r="K500" s="785">
        <v>1026</v>
      </c>
      <c r="L500" s="785">
        <v>2930</v>
      </c>
      <c r="M500" s="785">
        <v>3882</v>
      </c>
      <c r="N500" s="23" t="str">
        <f>D500&amp;FIXED(MOD(F500,10),0)</f>
        <v>hh99</v>
      </c>
      <c r="O500" s="78" t="str">
        <f>MID(A$5,((FIND(N500,A$4,1)-1)+1),4)</f>
        <v>edb7</v>
      </c>
      <c r="P500" s="76" t="s">
        <v>0</v>
      </c>
      <c r="Q500" s="219" t="s">
        <v>0</v>
      </c>
      <c r="R500" s="103" t="s">
        <v>0</v>
      </c>
      <c r="S500" s="103" t="s">
        <v>0</v>
      </c>
      <c r="T500" s="42" t="s">
        <v>1</v>
      </c>
    </row>
    <row r="501" spans="1:20" ht="12.75">
      <c r="A501" s="44">
        <v>4783</v>
      </c>
      <c r="B501" s="886">
        <v>9566</v>
      </c>
      <c r="C501" s="886">
        <v>22877089</v>
      </c>
      <c r="D501" s="950" t="s">
        <v>2496</v>
      </c>
      <c r="E501" s="115">
        <f>B501-MOD(E$1-A501*3,B501)</f>
        <v>9471</v>
      </c>
      <c r="F501" s="644">
        <f>IF(MOD(E501,5)=0,B501,0)+E501</f>
        <v>9471</v>
      </c>
      <c r="G501" s="785">
        <f>IF(MOD(F501+$B501,5)=0,$B501,0)+$B501+F501</f>
        <v>19037</v>
      </c>
      <c r="H501" s="785">
        <f>IF(MOD(G501+$B501,5)=0,$B501,0)+$B501+G501</f>
        <v>28603</v>
      </c>
      <c r="I501" s="785">
        <f>IF(MOD(H501+$B501,5)=0,$B501,0)+$B501+H501</f>
        <v>38169</v>
      </c>
      <c r="J501" s="911">
        <v>947</v>
      </c>
      <c r="K501" s="785">
        <v>1903</v>
      </c>
      <c r="L501" s="785">
        <v>2860</v>
      </c>
      <c r="M501" s="785">
        <v>3816</v>
      </c>
      <c r="N501" s="23" t="str">
        <f>D501&amp;FIXED(MOD(F501,10),0)</f>
        <v>hh31</v>
      </c>
      <c r="O501" s="78" t="str">
        <f>MID(A$5,((FIND(N501,A$4,1)-1)+1),4)</f>
        <v>7dbe</v>
      </c>
      <c r="P501" s="76" t="s">
        <v>0</v>
      </c>
      <c r="Q501" s="219" t="s">
        <v>0</v>
      </c>
      <c r="R501" s="103" t="s">
        <v>0</v>
      </c>
      <c r="S501" s="103" t="s">
        <v>0</v>
      </c>
      <c r="T501" s="42" t="s">
        <v>1</v>
      </c>
    </row>
    <row r="502" spans="1:20" ht="12.75">
      <c r="A502" s="44">
        <v>4787</v>
      </c>
      <c r="B502" s="886">
        <v>9574</v>
      </c>
      <c r="C502" s="886">
        <v>22915369</v>
      </c>
      <c r="D502" s="950" t="s">
        <v>2501</v>
      </c>
      <c r="E502" s="115">
        <f>B502-MOD(E$1-A502*3,B502)</f>
        <v>5793</v>
      </c>
      <c r="F502" s="644">
        <f>IF(MOD(E502,5)=0,B502,0)+E502</f>
        <v>5793</v>
      </c>
      <c r="G502" s="785">
        <f>IF(MOD(F502+$B502,5)=0,$B502,0)+$B502+F502</f>
        <v>15367</v>
      </c>
      <c r="H502" s="785">
        <f>IF(MOD(G502+$B502,5)=0,$B502,0)+$B502+G502</f>
        <v>24941</v>
      </c>
      <c r="I502" s="785">
        <f>IF(MOD(H502+$B502,5)=0,$B502,0)+$B502+H502</f>
        <v>44089</v>
      </c>
      <c r="J502" s="911">
        <v>579</v>
      </c>
      <c r="K502" s="785">
        <v>1536</v>
      </c>
      <c r="L502" s="785">
        <v>2494</v>
      </c>
      <c r="M502" s="785">
        <v>4408</v>
      </c>
      <c r="N502" s="23" t="str">
        <f>D502&amp;FIXED(MOD(F502,10),0)</f>
        <v>hh73</v>
      </c>
      <c r="O502" s="78" t="str">
        <f>MID(A$5,((FIND(N502,A$4,1)-1)+1),4)</f>
        <v>bd7e</v>
      </c>
      <c r="P502" s="76" t="s">
        <v>0</v>
      </c>
      <c r="Q502" s="219" t="s">
        <v>0</v>
      </c>
      <c r="R502" s="103" t="s">
        <v>0</v>
      </c>
      <c r="S502" s="103" t="s">
        <v>0</v>
      </c>
      <c r="T502" s="42" t="s">
        <v>1</v>
      </c>
    </row>
    <row r="503" spans="1:20" ht="12.75">
      <c r="A503" s="44">
        <v>4789</v>
      </c>
      <c r="B503" s="886">
        <v>9578</v>
      </c>
      <c r="C503" s="886">
        <v>22934521</v>
      </c>
      <c r="D503" s="950" t="s">
        <v>2506</v>
      </c>
      <c r="E503" s="115">
        <f>B503-MOD(E$1-A503*3,B503)</f>
        <v>1445</v>
      </c>
      <c r="F503" s="644">
        <f>IF(MOD(E503,5)=0,B503,0)+E503</f>
        <v>11023</v>
      </c>
      <c r="G503" s="785">
        <f>IF(MOD(F503+$B503,5)=0,$B503,0)+$B503+F503</f>
        <v>20601</v>
      </c>
      <c r="H503" s="785">
        <f>IF(MOD(G503+$B503,5)=0,$B503,0)+$B503+G503</f>
        <v>30179</v>
      </c>
      <c r="I503" s="785">
        <f>IF(MOD(H503+$B503,5)=0,$B503,0)+$B503+H503</f>
        <v>39757</v>
      </c>
      <c r="J503" s="911">
        <v>1102</v>
      </c>
      <c r="K503" s="785">
        <v>2060</v>
      </c>
      <c r="L503" s="785">
        <v>3017</v>
      </c>
      <c r="M503" s="785">
        <v>3975</v>
      </c>
      <c r="N503" s="23" t="str">
        <f>D503&amp;FIXED(MOD(F503,10),0)</f>
        <v>hh93</v>
      </c>
      <c r="O503" s="78" t="str">
        <f>MID(A$5,((FIND(N503,A$4,1)-1)+1),4)</f>
        <v>b7ed</v>
      </c>
      <c r="P503" s="76" t="s">
        <v>0</v>
      </c>
      <c r="Q503" s="219" t="s">
        <v>0</v>
      </c>
      <c r="R503" s="103" t="s">
        <v>0</v>
      </c>
      <c r="S503" s="103" t="s">
        <v>0</v>
      </c>
      <c r="T503" s="42" t="s">
        <v>1</v>
      </c>
    </row>
    <row r="504" spans="1:20" ht="12.75">
      <c r="A504" s="44">
        <v>4793</v>
      </c>
      <c r="B504" s="886">
        <v>9586</v>
      </c>
      <c r="C504" s="886">
        <v>22972849</v>
      </c>
      <c r="D504" s="950" t="s">
        <v>2496</v>
      </c>
      <c r="E504" s="115">
        <f>B504-MOD(E$1-A504*3,B504)</f>
        <v>8203</v>
      </c>
      <c r="F504" s="644">
        <f>IF(MOD(E504,5)=0,B504,0)+E504</f>
        <v>8203</v>
      </c>
      <c r="G504" s="785">
        <f>IF(MOD(F504+$B504,5)=0,$B504,0)+$B504+F504</f>
        <v>17789</v>
      </c>
      <c r="H504" s="785">
        <f>IF(MOD(G504+$B504,5)=0,$B504,0)+$B504+G504</f>
        <v>36961</v>
      </c>
      <c r="I504" s="785">
        <f>IF(MOD(H504+$B504,5)=0,$B504,0)+$B504+H504</f>
        <v>46547</v>
      </c>
      <c r="J504" s="911">
        <v>820</v>
      </c>
      <c r="K504" s="785">
        <v>1778</v>
      </c>
      <c r="L504" s="785">
        <v>3696</v>
      </c>
      <c r="M504" s="785">
        <v>4654</v>
      </c>
      <c r="N504" s="23" t="str">
        <f>D504&amp;FIXED(MOD(F504,10),0)</f>
        <v>hh33</v>
      </c>
      <c r="O504" s="78" t="str">
        <f>MID(A$5,((FIND(N504,A$4,1)-1)+1),4)</f>
        <v>be7d</v>
      </c>
      <c r="P504" s="76" t="s">
        <v>0</v>
      </c>
      <c r="Q504" s="219" t="s">
        <v>0</v>
      </c>
      <c r="R504" s="103" t="s">
        <v>0</v>
      </c>
      <c r="S504" s="103" t="s">
        <v>0</v>
      </c>
      <c r="T504" s="42" t="s">
        <v>1</v>
      </c>
    </row>
    <row r="505" spans="1:20" ht="12.75">
      <c r="A505" s="44">
        <v>4799</v>
      </c>
      <c r="B505" s="886">
        <v>9598</v>
      </c>
      <c r="C505" s="886">
        <v>23030401</v>
      </c>
      <c r="D505" s="950" t="s">
        <v>2506</v>
      </c>
      <c r="E505" s="115">
        <f>B505-MOD(E$1-A505*3,B505)</f>
        <v>3407</v>
      </c>
      <c r="F505" s="644">
        <f>IF(MOD(E505,5)=0,B505,0)+E505</f>
        <v>3407</v>
      </c>
      <c r="G505" s="785">
        <f>IF(MOD(F505+$B505,5)=0,$B505,0)+$B505+F505</f>
        <v>22603</v>
      </c>
      <c r="H505" s="785">
        <f>IF(MOD(G505+$B505,5)=0,$B505,0)+$B505+G505</f>
        <v>32201</v>
      </c>
      <c r="I505" s="785">
        <f>IF(MOD(H505+$B505,5)=0,$B505,0)+$B505+H505</f>
        <v>41799</v>
      </c>
      <c r="J505" s="911">
        <v>340</v>
      </c>
      <c r="K505" s="785">
        <v>2260</v>
      </c>
      <c r="L505" s="785">
        <v>3220</v>
      </c>
      <c r="M505" s="785">
        <v>4179</v>
      </c>
      <c r="N505" s="23" t="str">
        <f>D505&amp;FIXED(MOD(F505,10),0)</f>
        <v>hh97</v>
      </c>
      <c r="O505" s="78" t="str">
        <f>MID(A$5,((FIND(N505,A$4,1)-1)+1),4)</f>
        <v>db7e</v>
      </c>
      <c r="P505" s="76" t="s">
        <v>0</v>
      </c>
      <c r="Q505" s="219" t="s">
        <v>0</v>
      </c>
      <c r="R505" s="103" t="s">
        <v>0</v>
      </c>
      <c r="S505" s="103" t="s">
        <v>0</v>
      </c>
      <c r="T505" s="42" t="s">
        <v>1</v>
      </c>
    </row>
    <row r="506" spans="1:20" ht="12.75">
      <c r="A506" s="44">
        <v>4801</v>
      </c>
      <c r="B506" s="886">
        <v>9602</v>
      </c>
      <c r="C506" s="886">
        <v>23049601</v>
      </c>
      <c r="D506" s="950" t="s">
        <v>2490</v>
      </c>
      <c r="E506" s="115">
        <f>B506-MOD(E$1-A506*3,B506)</f>
        <v>4621</v>
      </c>
      <c r="F506" s="644">
        <f>IF(MOD(E506,5)=0,B506,0)+E506</f>
        <v>4621</v>
      </c>
      <c r="G506" s="785">
        <f>IF(MOD(F506+$B506,5)=0,$B506,0)+$B506+F506</f>
        <v>14223</v>
      </c>
      <c r="H506" s="785">
        <f>IF(MOD(G506+$B506,5)=0,$B506,0)+$B506+G506</f>
        <v>33427</v>
      </c>
      <c r="I506" s="785">
        <f>IF(MOD(H506+$B506,5)=0,$B506,0)+$B506+H506</f>
        <v>43029</v>
      </c>
      <c r="J506" s="911">
        <v>462</v>
      </c>
      <c r="K506" s="785">
        <v>1422</v>
      </c>
      <c r="L506" s="785">
        <v>3342</v>
      </c>
      <c r="M506" s="785">
        <v>4302</v>
      </c>
      <c r="N506" s="23" t="str">
        <f>D506&amp;FIXED(MOD(F506,10),0)</f>
        <v>hh11</v>
      </c>
      <c r="O506" s="78" t="str">
        <f>MID(A$5,((FIND(N506,A$4,1)-1)+1),4)</f>
        <v>7bde</v>
      </c>
      <c r="P506" s="76" t="s">
        <v>0</v>
      </c>
      <c r="Q506" s="219" t="s">
        <v>0</v>
      </c>
      <c r="R506" s="103" t="s">
        <v>0</v>
      </c>
      <c r="S506" s="103" t="s">
        <v>0</v>
      </c>
      <c r="T506" s="42" t="s">
        <v>1</v>
      </c>
    </row>
    <row r="507" spans="1:20" ht="12.75">
      <c r="A507" s="44">
        <v>4813</v>
      </c>
      <c r="B507" s="886">
        <v>9626</v>
      </c>
      <c r="C507" s="886">
        <v>23164969</v>
      </c>
      <c r="D507" s="950" t="s">
        <v>2496</v>
      </c>
      <c r="E507" s="115">
        <f>B507-MOD(E$1-A507*3,B507)</f>
        <v>6835</v>
      </c>
      <c r="F507" s="644">
        <f>IF(MOD(E507,5)=0,B507,0)+E507</f>
        <v>16461</v>
      </c>
      <c r="G507" s="785">
        <f>IF(MOD(F507+$B507,5)=0,$B507,0)+$B507+F507</f>
        <v>26087</v>
      </c>
      <c r="H507" s="785">
        <f>IF(MOD(G507+$B507,5)=0,$B507,0)+$B507+G507</f>
        <v>35713</v>
      </c>
      <c r="I507" s="785">
        <f>IF(MOD(H507+$B507,5)=0,$B507,0)+$B507+H507</f>
        <v>45339</v>
      </c>
      <c r="J507" s="911">
        <v>1646</v>
      </c>
      <c r="K507" s="785">
        <v>2608</v>
      </c>
      <c r="L507" s="785">
        <v>3571</v>
      </c>
      <c r="M507" s="785">
        <v>4533</v>
      </c>
      <c r="N507" s="23" t="str">
        <f>D507&amp;FIXED(MOD(F507,10),0)</f>
        <v>hh31</v>
      </c>
      <c r="O507" s="78" t="str">
        <f>MID(A$5,((FIND(N507,A$4,1)-1)+1),4)</f>
        <v>7dbe</v>
      </c>
      <c r="P507" s="76" t="s">
        <v>0</v>
      </c>
      <c r="Q507" s="219" t="s">
        <v>0</v>
      </c>
      <c r="R507" s="103" t="s">
        <v>0</v>
      </c>
      <c r="S507" s="103" t="s">
        <v>0</v>
      </c>
      <c r="T507" s="42" t="s">
        <v>1</v>
      </c>
    </row>
    <row r="508" spans="1:20" ht="12.75">
      <c r="A508" s="44">
        <v>4817</v>
      </c>
      <c r="B508" s="886">
        <v>9634</v>
      </c>
      <c r="C508" s="886">
        <v>23203489</v>
      </c>
      <c r="D508" s="950" t="s">
        <v>2501</v>
      </c>
      <c r="E508" s="115">
        <f>B508-MOD(E$1-A508*3,B508)</f>
        <v>6349</v>
      </c>
      <c r="F508" s="644">
        <f>IF(MOD(E508,5)=0,B508,0)+E508</f>
        <v>6349</v>
      </c>
      <c r="G508" s="785">
        <f>IF(MOD(F508+$B508,5)=0,$B508,0)+$B508+F508</f>
        <v>15983</v>
      </c>
      <c r="H508" s="785">
        <f>IF(MOD(G508+$B508,5)=0,$B508,0)+$B508+G508</f>
        <v>25617</v>
      </c>
      <c r="I508" s="785">
        <f>IF(MOD(H508+$B508,5)=0,$B508,0)+$B508+H508</f>
        <v>35251</v>
      </c>
      <c r="J508" s="911">
        <v>634</v>
      </c>
      <c r="K508" s="785">
        <v>1598</v>
      </c>
      <c r="L508" s="785">
        <v>2561</v>
      </c>
      <c r="M508" s="785">
        <v>3525</v>
      </c>
      <c r="N508" s="23" t="str">
        <f>D508&amp;FIXED(MOD(F508,10),0)</f>
        <v>hh79</v>
      </c>
      <c r="O508" s="78" t="str">
        <f>MID(A$5,((FIND(N508,A$4,1)-1)+1),4)</f>
        <v>ebd7</v>
      </c>
      <c r="P508" s="76" t="s">
        <v>0</v>
      </c>
      <c r="Q508" s="219" t="s">
        <v>0</v>
      </c>
      <c r="R508" s="103" t="s">
        <v>0</v>
      </c>
      <c r="S508" s="103" t="s">
        <v>0</v>
      </c>
      <c r="T508" s="42" t="s">
        <v>1</v>
      </c>
    </row>
    <row r="509" spans="1:20" ht="12.75">
      <c r="A509" s="44">
        <v>4831</v>
      </c>
      <c r="B509" s="886">
        <v>9662</v>
      </c>
      <c r="C509" s="886">
        <v>23338561</v>
      </c>
      <c r="D509" s="950" t="s">
        <v>2490</v>
      </c>
      <c r="E509" s="115">
        <f>B509-MOD(E$1-A509*3,B509)</f>
        <v>4231</v>
      </c>
      <c r="F509" s="644">
        <f>IF(MOD(E509,5)=0,B509,0)+E509</f>
        <v>4231</v>
      </c>
      <c r="G509" s="785">
        <f>IF(MOD(F509+$B509,5)=0,$B509,0)+$B509+F509</f>
        <v>13893</v>
      </c>
      <c r="H509" s="785">
        <f>IF(MOD(G509+$B509,5)=0,$B509,0)+$B509+G509</f>
        <v>33217</v>
      </c>
      <c r="I509" s="785">
        <f>IF(MOD(H509+$B509,5)=0,$B509,0)+$B509+H509</f>
        <v>42879</v>
      </c>
      <c r="J509" s="911">
        <v>423</v>
      </c>
      <c r="K509" s="785">
        <v>1389</v>
      </c>
      <c r="L509" s="785">
        <v>3321</v>
      </c>
      <c r="M509" s="785">
        <v>4287</v>
      </c>
      <c r="N509" s="23" t="str">
        <f>D509&amp;FIXED(MOD(F509,10),0)</f>
        <v>hh11</v>
      </c>
      <c r="O509" s="78" t="str">
        <f>MID(A$5,((FIND(N509,A$4,1)-1)+1),4)</f>
        <v>7bde</v>
      </c>
      <c r="P509" s="76" t="s">
        <v>0</v>
      </c>
      <c r="Q509" s="219" t="s">
        <v>0</v>
      </c>
      <c r="R509" s="103" t="s">
        <v>0</v>
      </c>
      <c r="S509" s="103" t="s">
        <v>0</v>
      </c>
      <c r="T509" s="42" t="s">
        <v>1</v>
      </c>
    </row>
    <row r="510" spans="1:20" ht="12.75">
      <c r="A510" s="44">
        <v>4861</v>
      </c>
      <c r="B510" s="886">
        <v>9722</v>
      </c>
      <c r="C510" s="886">
        <v>23629321</v>
      </c>
      <c r="D510" s="950" t="s">
        <v>2490</v>
      </c>
      <c r="E510" s="115">
        <f>B510-MOD(E$1-A510*3,B510)</f>
        <v>79</v>
      </c>
      <c r="F510" s="644">
        <f>IF(MOD(E510,5)=0,B510,0)+E510</f>
        <v>79</v>
      </c>
      <c r="G510" s="785">
        <f>IF(MOD(F510+$B510,5)=0,$B510,0)+$B510+F510</f>
        <v>9801</v>
      </c>
      <c r="H510" s="785">
        <f>IF(MOD(G510+$B510,5)=0,$B510,0)+$B510+G510</f>
        <v>19523</v>
      </c>
      <c r="I510" s="785">
        <f>IF(MOD(H510+$B510,5)=0,$B510,0)+$B510+H510</f>
        <v>38967</v>
      </c>
      <c r="J510" s="911">
        <v>7</v>
      </c>
      <c r="K510" s="785">
        <v>980</v>
      </c>
      <c r="L510" s="785">
        <v>1952</v>
      </c>
      <c r="M510" s="785">
        <v>3896</v>
      </c>
      <c r="N510" s="23" t="str">
        <f>D510&amp;FIXED(MOD(F510,10),0)</f>
        <v>hh19</v>
      </c>
      <c r="O510" s="78" t="str">
        <f>MID(A$5,((FIND(N510,A$4,1)-1)+1),4)</f>
        <v>e7bd</v>
      </c>
      <c r="P510" s="76" t="s">
        <v>0</v>
      </c>
      <c r="Q510" s="219" t="s">
        <v>0</v>
      </c>
      <c r="R510" s="103" t="s">
        <v>0</v>
      </c>
      <c r="S510" s="103" t="s">
        <v>0</v>
      </c>
      <c r="T510" s="42" t="s">
        <v>1</v>
      </c>
    </row>
    <row r="511" spans="1:20" ht="12.75">
      <c r="A511" s="44">
        <v>4871</v>
      </c>
      <c r="B511" s="886">
        <v>9742</v>
      </c>
      <c r="C511" s="886">
        <v>23726641</v>
      </c>
      <c r="D511" s="950" t="s">
        <v>2490</v>
      </c>
      <c r="E511" s="115">
        <f>B511-MOD(E$1-A511*3,B511)</f>
        <v>409</v>
      </c>
      <c r="F511" s="644">
        <f>IF(MOD(E511,5)=0,B511,0)+E511</f>
        <v>409</v>
      </c>
      <c r="G511" s="785">
        <f>IF(MOD(F511+$B511,5)=0,$B511,0)+$B511+F511</f>
        <v>10151</v>
      </c>
      <c r="H511" s="785">
        <f>IF(MOD(G511+$B511,5)=0,$B511,0)+$B511+G511</f>
        <v>19893</v>
      </c>
      <c r="I511" s="785">
        <f>IF(MOD(H511+$B511,5)=0,$B511,0)+$B511+H511</f>
        <v>39377</v>
      </c>
      <c r="J511" s="911">
        <v>40</v>
      </c>
      <c r="K511" s="785">
        <v>1015</v>
      </c>
      <c r="L511" s="785">
        <v>1989</v>
      </c>
      <c r="M511" s="785">
        <v>3937</v>
      </c>
      <c r="N511" s="23" t="str">
        <f>D511&amp;FIXED(MOD(F511,10),0)</f>
        <v>hh19</v>
      </c>
      <c r="O511" s="78" t="str">
        <f>MID(A$5,((FIND(N511,A$4,1)-1)+1),4)</f>
        <v>e7bd</v>
      </c>
      <c r="P511" s="76" t="s">
        <v>0</v>
      </c>
      <c r="Q511" s="219" t="s">
        <v>0</v>
      </c>
      <c r="R511" s="103" t="s">
        <v>0</v>
      </c>
      <c r="S511" s="103" t="s">
        <v>0</v>
      </c>
      <c r="T511" s="42" t="s">
        <v>1</v>
      </c>
    </row>
    <row r="512" spans="1:20" ht="12.75">
      <c r="A512" s="44">
        <v>4877</v>
      </c>
      <c r="B512" s="886">
        <v>9754</v>
      </c>
      <c r="C512" s="886">
        <v>23785129</v>
      </c>
      <c r="D512" s="950" t="s">
        <v>2501</v>
      </c>
      <c r="E512" s="115">
        <f>B512-MOD(E$1-A512*3,B512)</f>
        <v>1897</v>
      </c>
      <c r="F512" s="644">
        <f>IF(MOD(E512,5)=0,B512,0)+E512</f>
        <v>1897</v>
      </c>
      <c r="G512" s="785">
        <f>IF(MOD(F512+$B512,5)=0,$B512,0)+$B512+F512</f>
        <v>11651</v>
      </c>
      <c r="H512" s="785">
        <f>IF(MOD(G512+$B512,5)=0,$B512,0)+$B512+G512</f>
        <v>31159</v>
      </c>
      <c r="I512" s="785">
        <f>IF(MOD(H512+$B512,5)=0,$B512,0)+$B512+H512</f>
        <v>40913</v>
      </c>
      <c r="J512" s="911">
        <v>189</v>
      </c>
      <c r="K512" s="785">
        <v>1165</v>
      </c>
      <c r="L512" s="785">
        <v>3115</v>
      </c>
      <c r="M512" s="785">
        <v>4091</v>
      </c>
      <c r="N512" s="23" t="str">
        <f>D512&amp;FIXED(MOD(F512,10),0)</f>
        <v>hh77</v>
      </c>
      <c r="O512" s="78" t="str">
        <f>MID(A$5,((FIND(N512,A$4,1)-1)+1),4)</f>
        <v>d7eb</v>
      </c>
      <c r="P512" s="76" t="s">
        <v>0</v>
      </c>
      <c r="Q512" s="219" t="s">
        <v>0</v>
      </c>
      <c r="R512" s="103" t="s">
        <v>0</v>
      </c>
      <c r="S512" s="103" t="s">
        <v>0</v>
      </c>
      <c r="T512" s="42" t="s">
        <v>1</v>
      </c>
    </row>
    <row r="513" spans="1:20" ht="12.75">
      <c r="A513" s="44">
        <v>4889</v>
      </c>
      <c r="B513" s="886">
        <v>9778</v>
      </c>
      <c r="C513" s="886">
        <v>23902321</v>
      </c>
      <c r="D513" s="950" t="s">
        <v>2506</v>
      </c>
      <c r="E513" s="115">
        <f>B513-MOD(E$1-A513*3,B513)</f>
        <v>7371</v>
      </c>
      <c r="F513" s="644">
        <f>IF(MOD(E513,5)=0,B513,0)+E513</f>
        <v>7371</v>
      </c>
      <c r="G513" s="785">
        <f>IF(MOD(F513+$B513,5)=0,$B513,0)+$B513+F513</f>
        <v>17149</v>
      </c>
      <c r="H513" s="785">
        <f>IF(MOD(G513+$B513,5)=0,$B513,0)+$B513+G513</f>
        <v>26927</v>
      </c>
      <c r="I513" s="785">
        <f>IF(MOD(H513+$B513,5)=0,$B513,0)+$B513+H513</f>
        <v>46483</v>
      </c>
      <c r="J513" s="911">
        <v>737</v>
      </c>
      <c r="K513" s="785">
        <v>1714</v>
      </c>
      <c r="L513" s="785">
        <v>2692</v>
      </c>
      <c r="M513" s="785">
        <v>4648</v>
      </c>
      <c r="N513" s="23" t="str">
        <f>D513&amp;FIXED(MOD(F513,10),0)</f>
        <v>hh91</v>
      </c>
      <c r="O513" s="78" t="str">
        <f>MID(A$5,((FIND(N513,A$4,1)-1)+1),4)</f>
        <v>7edb</v>
      </c>
      <c r="P513" s="76" t="s">
        <v>0</v>
      </c>
      <c r="Q513" s="219" t="s">
        <v>0</v>
      </c>
      <c r="R513" s="103" t="s">
        <v>0</v>
      </c>
      <c r="S513" s="103" t="s">
        <v>0</v>
      </c>
      <c r="T513" s="42" t="s">
        <v>1</v>
      </c>
    </row>
    <row r="514" spans="1:20" ht="12.75">
      <c r="A514" s="44">
        <v>4903</v>
      </c>
      <c r="B514" s="886">
        <v>9806</v>
      </c>
      <c r="C514" s="886">
        <v>24039409</v>
      </c>
      <c r="D514" s="950" t="s">
        <v>2496</v>
      </c>
      <c r="E514" s="115">
        <f>B514-MOD(E$1-A514*3,B514)</f>
        <v>4677</v>
      </c>
      <c r="F514" s="644">
        <f>IF(MOD(E514,5)=0,B514,0)+E514</f>
        <v>4677</v>
      </c>
      <c r="G514" s="785">
        <f>IF(MOD(F514+$B514,5)=0,$B514,0)+$B514+F514</f>
        <v>14483</v>
      </c>
      <c r="H514" s="785">
        <f>IF(MOD(G514+$B514,5)=0,$B514,0)+$B514+G514</f>
        <v>24289</v>
      </c>
      <c r="I514" s="785">
        <f>IF(MOD(H514+$B514,5)=0,$B514,0)+$B514+H514</f>
        <v>43901</v>
      </c>
      <c r="J514" s="911">
        <v>467</v>
      </c>
      <c r="K514" s="785">
        <v>1448</v>
      </c>
      <c r="L514" s="785">
        <v>2428</v>
      </c>
      <c r="M514" s="785">
        <v>4390</v>
      </c>
      <c r="N514" s="23" t="str">
        <f>D514&amp;FIXED(MOD(F514,10),0)</f>
        <v>hh37</v>
      </c>
      <c r="O514" s="78" t="str">
        <f>MID(A$5,((FIND(N514,A$4,1)-1)+1),4)</f>
        <v>dbe7</v>
      </c>
      <c r="P514" s="76" t="s">
        <v>0</v>
      </c>
      <c r="Q514" s="219" t="s">
        <v>0</v>
      </c>
      <c r="R514" s="103" t="s">
        <v>0</v>
      </c>
      <c r="S514" s="103" t="s">
        <v>0</v>
      </c>
      <c r="T514" s="42" t="s">
        <v>1</v>
      </c>
    </row>
    <row r="515" spans="1:20" ht="12.75">
      <c r="A515" s="44">
        <v>4909</v>
      </c>
      <c r="B515" s="886">
        <v>9818</v>
      </c>
      <c r="C515" s="886">
        <v>24098281</v>
      </c>
      <c r="D515" s="950" t="s">
        <v>2506</v>
      </c>
      <c r="E515" s="115">
        <f>B515-MOD(E$1-A515*3,B515)</f>
        <v>4963</v>
      </c>
      <c r="F515" s="644">
        <f>IF(MOD(E515,5)=0,B515,0)+E515</f>
        <v>4963</v>
      </c>
      <c r="G515" s="785">
        <f>IF(MOD(F515+$B515,5)=0,$B515,0)+$B515+F515</f>
        <v>14781</v>
      </c>
      <c r="H515" s="785">
        <f>IF(MOD(G515+$B515,5)=0,$B515,0)+$B515+G515</f>
        <v>24599</v>
      </c>
      <c r="I515" s="785">
        <f>IF(MOD(H515+$B515,5)=0,$B515,0)+$B515+H515</f>
        <v>34417</v>
      </c>
      <c r="J515" s="911">
        <v>496</v>
      </c>
      <c r="K515" s="785">
        <v>1478</v>
      </c>
      <c r="L515" s="785">
        <v>2459</v>
      </c>
      <c r="M515" s="785">
        <v>3441</v>
      </c>
      <c r="N515" s="23" t="str">
        <f>D515&amp;FIXED(MOD(F515,10),0)</f>
        <v>hh93</v>
      </c>
      <c r="O515" s="78" t="str">
        <f>MID(A$5,((FIND(N515,A$4,1)-1)+1),4)</f>
        <v>b7ed</v>
      </c>
      <c r="P515" s="76" t="s">
        <v>0</v>
      </c>
      <c r="Q515" s="219" t="s">
        <v>0</v>
      </c>
      <c r="R515" s="103" t="s">
        <v>0</v>
      </c>
      <c r="S515" s="103" t="s">
        <v>0</v>
      </c>
      <c r="T515" s="42" t="s">
        <v>1</v>
      </c>
    </row>
    <row r="516" spans="1:20" ht="12.75">
      <c r="A516" s="44">
        <v>4919</v>
      </c>
      <c r="B516" s="886">
        <v>9838</v>
      </c>
      <c r="C516" s="886">
        <v>24196561</v>
      </c>
      <c r="D516" s="950" t="s">
        <v>2506</v>
      </c>
      <c r="E516" s="115">
        <f>B516-MOD(E$1-A516*3,B516)</f>
        <v>6497</v>
      </c>
      <c r="F516" s="644">
        <f>IF(MOD(E516,5)=0,B516,0)+E516</f>
        <v>6497</v>
      </c>
      <c r="G516" s="785">
        <f>IF(MOD(F516+$B516,5)=0,$B516,0)+$B516+F516</f>
        <v>26173</v>
      </c>
      <c r="H516" s="785">
        <f>IF(MOD(G516+$B516,5)=0,$B516,0)+$B516+G516</f>
        <v>36011</v>
      </c>
      <c r="I516" s="785">
        <f>IF(MOD(H516+$B516,5)=0,$B516,0)+$B516+H516</f>
        <v>45849</v>
      </c>
      <c r="J516" s="911">
        <v>649</v>
      </c>
      <c r="K516" s="785">
        <v>2617</v>
      </c>
      <c r="L516" s="785">
        <v>3601</v>
      </c>
      <c r="M516" s="785">
        <v>4584</v>
      </c>
      <c r="N516" s="23" t="str">
        <f>D516&amp;FIXED(MOD(F516,10),0)</f>
        <v>hh97</v>
      </c>
      <c r="O516" s="78" t="str">
        <f>MID(A$5,((FIND(N516,A$4,1)-1)+1),4)</f>
        <v>db7e</v>
      </c>
      <c r="P516" s="76" t="s">
        <v>0</v>
      </c>
      <c r="Q516" s="219" t="s">
        <v>0</v>
      </c>
      <c r="R516" s="103" t="s">
        <v>0</v>
      </c>
      <c r="S516" s="103" t="s">
        <v>0</v>
      </c>
      <c r="T516" s="42" t="s">
        <v>1</v>
      </c>
    </row>
    <row r="517" spans="1:20" ht="12.75">
      <c r="A517" s="44">
        <v>4931</v>
      </c>
      <c r="B517" s="886">
        <v>9862</v>
      </c>
      <c r="C517" s="886">
        <v>24314761</v>
      </c>
      <c r="D517" s="950" t="s">
        <v>2490</v>
      </c>
      <c r="E517" s="115">
        <f>B517-MOD(E$1-A517*3,B517)</f>
        <v>5067</v>
      </c>
      <c r="F517" s="644">
        <f>IF(MOD(E517,5)=0,B517,0)+E517</f>
        <v>5067</v>
      </c>
      <c r="G517" s="785">
        <f>IF(MOD(F517+$B517,5)=0,$B517,0)+$B517+F517</f>
        <v>14929</v>
      </c>
      <c r="H517" s="785">
        <f>IF(MOD(G517+$B517,5)=0,$B517,0)+$B517+G517</f>
        <v>24791</v>
      </c>
      <c r="I517" s="785">
        <f>IF(MOD(H517+$B517,5)=0,$B517,0)+$B517+H517</f>
        <v>34653</v>
      </c>
      <c r="J517" s="911">
        <v>506</v>
      </c>
      <c r="K517" s="785">
        <v>1492</v>
      </c>
      <c r="L517" s="785">
        <v>2479</v>
      </c>
      <c r="M517" s="785">
        <v>3465</v>
      </c>
      <c r="N517" s="23" t="str">
        <f>D517&amp;FIXED(MOD(F517,10),0)</f>
        <v>hh17</v>
      </c>
      <c r="O517" s="78" t="str">
        <f>MID(A$5,((FIND(N517,A$4,1)-1)+1),4)</f>
        <v>de7b</v>
      </c>
      <c r="P517" s="76" t="s">
        <v>0</v>
      </c>
      <c r="Q517" s="219" t="s">
        <v>0</v>
      </c>
      <c r="R517" s="103" t="s">
        <v>0</v>
      </c>
      <c r="S517" s="103" t="s">
        <v>0</v>
      </c>
      <c r="T517" s="42" t="s">
        <v>1</v>
      </c>
    </row>
    <row r="518" spans="1:20" ht="12.75">
      <c r="A518" s="44">
        <v>4933</v>
      </c>
      <c r="B518" s="886">
        <v>9866</v>
      </c>
      <c r="C518" s="886">
        <v>24334489</v>
      </c>
      <c r="D518" s="950" t="s">
        <v>2496</v>
      </c>
      <c r="E518" s="115">
        <f>B518-MOD(E$1-A518*3,B518)</f>
        <v>2657</v>
      </c>
      <c r="F518" s="644">
        <f>IF(MOD(E518,5)=0,B518,0)+E518</f>
        <v>2657</v>
      </c>
      <c r="G518" s="785">
        <f>IF(MOD(F518+$B518,5)=0,$B518,0)+$B518+F518</f>
        <v>12523</v>
      </c>
      <c r="H518" s="785">
        <f>IF(MOD(G518+$B518,5)=0,$B518,0)+$B518+G518</f>
        <v>22389</v>
      </c>
      <c r="I518" s="785">
        <f>IF(MOD(H518+$B518,5)=0,$B518,0)+$B518+H518</f>
        <v>42121</v>
      </c>
      <c r="J518" s="911">
        <v>265</v>
      </c>
      <c r="K518" s="785">
        <v>1252</v>
      </c>
      <c r="L518" s="785">
        <v>2238</v>
      </c>
      <c r="M518" s="785">
        <v>4212</v>
      </c>
      <c r="N518" s="23" t="str">
        <f>D518&amp;FIXED(MOD(F518,10),0)</f>
        <v>hh37</v>
      </c>
      <c r="O518" s="78" t="str">
        <f>MID(A$5,((FIND(N518,A$4,1)-1)+1),4)</f>
        <v>dbe7</v>
      </c>
      <c r="P518" s="76" t="s">
        <v>0</v>
      </c>
      <c r="Q518" s="219" t="s">
        <v>0</v>
      </c>
      <c r="R518" s="103" t="s">
        <v>0</v>
      </c>
      <c r="S518" s="103" t="s">
        <v>0</v>
      </c>
      <c r="T518" s="42" t="s">
        <v>1</v>
      </c>
    </row>
    <row r="519" spans="1:20" ht="12.75">
      <c r="A519" s="44">
        <v>4937</v>
      </c>
      <c r="B519" s="886">
        <v>9874</v>
      </c>
      <c r="C519" s="886">
        <v>24373969</v>
      </c>
      <c r="D519" s="950" t="s">
        <v>2501</v>
      </c>
      <c r="E519" s="115">
        <f>B519-MOD(E$1-A519*3,B519)</f>
        <v>9415</v>
      </c>
      <c r="F519" s="644">
        <f>IF(MOD(E519,5)=0,B519,0)+E519</f>
        <v>19289</v>
      </c>
      <c r="G519" s="785">
        <f>IF(MOD(F519+$B519,5)=0,$B519,0)+$B519+F519</f>
        <v>29163</v>
      </c>
      <c r="H519" s="785">
        <f>IF(MOD(G519+$B519,5)=0,$B519,0)+$B519+G519</f>
        <v>39037</v>
      </c>
      <c r="I519" s="785">
        <f>IF(MOD(H519+$B519,5)=0,$B519,0)+$B519+H519</f>
        <v>48911</v>
      </c>
      <c r="J519" s="911">
        <v>1928</v>
      </c>
      <c r="K519" s="785">
        <v>2916</v>
      </c>
      <c r="L519" s="785">
        <v>3903</v>
      </c>
      <c r="M519" s="785">
        <v>4891</v>
      </c>
      <c r="N519" s="23" t="str">
        <f>D519&amp;FIXED(MOD(F519,10),0)</f>
        <v>hh79</v>
      </c>
      <c r="O519" s="78" t="str">
        <f>MID(A$5,((FIND(N519,A$4,1)-1)+1),4)</f>
        <v>ebd7</v>
      </c>
      <c r="P519" s="76" t="s">
        <v>0</v>
      </c>
      <c r="Q519" s="219" t="s">
        <v>0</v>
      </c>
      <c r="R519" s="103" t="s">
        <v>0</v>
      </c>
      <c r="S519" s="103" t="s">
        <v>0</v>
      </c>
      <c r="T519" s="42" t="s">
        <v>1</v>
      </c>
    </row>
    <row r="520" spans="1:20" ht="12.75">
      <c r="A520" s="44">
        <v>4943</v>
      </c>
      <c r="B520" s="886">
        <v>9886</v>
      </c>
      <c r="C520" s="886">
        <v>24433249</v>
      </c>
      <c r="D520" s="950" t="s">
        <v>2496</v>
      </c>
      <c r="E520" s="115">
        <f>B520-MOD(E$1-A520*3,B520)</f>
        <v>2727</v>
      </c>
      <c r="F520" s="644">
        <f>IF(MOD(E520,5)=0,B520,0)+E520</f>
        <v>2727</v>
      </c>
      <c r="G520" s="785">
        <f>IF(MOD(F520+$B520,5)=0,$B520,0)+$B520+F520</f>
        <v>12613</v>
      </c>
      <c r="H520" s="785">
        <f>IF(MOD(G520+$B520,5)=0,$B520,0)+$B520+G520</f>
        <v>22499</v>
      </c>
      <c r="I520" s="785">
        <f>IF(MOD(H520+$B520,5)=0,$B520,0)+$B520+H520</f>
        <v>42271</v>
      </c>
      <c r="J520" s="911">
        <v>272</v>
      </c>
      <c r="K520" s="785">
        <v>1261</v>
      </c>
      <c r="L520" s="785">
        <v>2249</v>
      </c>
      <c r="M520" s="785">
        <v>4227</v>
      </c>
      <c r="N520" s="23" t="str">
        <f>D520&amp;FIXED(MOD(F520,10),0)</f>
        <v>hh37</v>
      </c>
      <c r="O520" s="78" t="str">
        <f>MID(A$5,((FIND(N520,A$4,1)-1)+1),4)</f>
        <v>dbe7</v>
      </c>
      <c r="P520" s="76" t="s">
        <v>0</v>
      </c>
      <c r="Q520" s="219" t="s">
        <v>0</v>
      </c>
      <c r="R520" s="103" t="s">
        <v>0</v>
      </c>
      <c r="S520" s="103" t="s">
        <v>0</v>
      </c>
      <c r="T520" s="42" t="s">
        <v>1</v>
      </c>
    </row>
    <row r="521" spans="1:20" ht="12.75">
      <c r="A521" s="44">
        <v>4951</v>
      </c>
      <c r="B521" s="886">
        <v>9902</v>
      </c>
      <c r="C521" s="886">
        <v>24512401</v>
      </c>
      <c r="D521" s="950" t="s">
        <v>2490</v>
      </c>
      <c r="E521" s="115">
        <f>B521-MOD(E$1-A521*3,B521)</f>
        <v>2021</v>
      </c>
      <c r="F521" s="644">
        <f>IF(MOD(E521,5)=0,B521,0)+E521</f>
        <v>2021</v>
      </c>
      <c r="G521" s="785">
        <f>IF(MOD(F521+$B521,5)=0,$B521,0)+$B521+F521</f>
        <v>11923</v>
      </c>
      <c r="H521" s="785">
        <f>IF(MOD(G521+$B521,5)=0,$B521,0)+$B521+G521</f>
        <v>31727</v>
      </c>
      <c r="I521" s="785">
        <f>IF(MOD(H521+$B521,5)=0,$B521,0)+$B521+H521</f>
        <v>41629</v>
      </c>
      <c r="J521" s="911">
        <v>202</v>
      </c>
      <c r="K521" s="785">
        <v>1192</v>
      </c>
      <c r="L521" s="785">
        <v>3172</v>
      </c>
      <c r="M521" s="785">
        <v>4162</v>
      </c>
      <c r="N521" s="23" t="str">
        <f>D521&amp;FIXED(MOD(F521,10),0)</f>
        <v>hh11</v>
      </c>
      <c r="O521" s="78" t="str">
        <f>MID(A$5,((FIND(N521,A$4,1)-1)+1),4)</f>
        <v>7bde</v>
      </c>
      <c r="P521" s="76" t="s">
        <v>0</v>
      </c>
      <c r="Q521" s="219" t="s">
        <v>0</v>
      </c>
      <c r="R521" s="103" t="s">
        <v>0</v>
      </c>
      <c r="S521" s="103" t="s">
        <v>0</v>
      </c>
      <c r="T521" s="42" t="s">
        <v>1</v>
      </c>
    </row>
    <row r="522" spans="1:20" ht="12.75">
      <c r="A522" s="44">
        <v>4957</v>
      </c>
      <c r="B522" s="886">
        <v>9914</v>
      </c>
      <c r="C522" s="886">
        <v>24571849</v>
      </c>
      <c r="D522" s="950" t="s">
        <v>2501</v>
      </c>
      <c r="E522" s="115">
        <f>B522-MOD(E$1-A522*3,B522)</f>
        <v>1129</v>
      </c>
      <c r="F522" s="644">
        <f>IF(MOD(E522,5)=0,B522,0)+E522</f>
        <v>1129</v>
      </c>
      <c r="G522" s="785">
        <f>IF(MOD(F522+$B522,5)=0,$B522,0)+$B522+F522</f>
        <v>11043</v>
      </c>
      <c r="H522" s="785">
        <f>IF(MOD(G522+$B522,5)=0,$B522,0)+$B522+G522</f>
        <v>20957</v>
      </c>
      <c r="I522" s="785">
        <f>IF(MOD(H522+$B522,5)=0,$B522,0)+$B522+H522</f>
        <v>30871</v>
      </c>
      <c r="J522" s="911">
        <v>112</v>
      </c>
      <c r="K522" s="785">
        <v>1104</v>
      </c>
      <c r="L522" s="785">
        <v>2095</v>
      </c>
      <c r="M522" s="785">
        <v>3087</v>
      </c>
      <c r="N522" s="23" t="str">
        <f>D522&amp;FIXED(MOD(F522,10),0)</f>
        <v>hh79</v>
      </c>
      <c r="O522" s="78" t="str">
        <f>MID(A$5,((FIND(N522,A$4,1)-1)+1),4)</f>
        <v>ebd7</v>
      </c>
      <c r="P522" s="76" t="s">
        <v>0</v>
      </c>
      <c r="Q522" s="219" t="s">
        <v>0</v>
      </c>
      <c r="R522" s="103" t="s">
        <v>0</v>
      </c>
      <c r="S522" s="103" t="s">
        <v>0</v>
      </c>
      <c r="T522" s="42" t="s">
        <v>1</v>
      </c>
    </row>
    <row r="523" spans="1:20" ht="12.75">
      <c r="A523" s="44">
        <v>4967</v>
      </c>
      <c r="B523" s="886">
        <v>9934</v>
      </c>
      <c r="C523" s="886">
        <v>24671089</v>
      </c>
      <c r="D523" s="950" t="s">
        <v>2501</v>
      </c>
      <c r="E523" s="115">
        <f>B523-MOD(E$1-A523*3,B523)</f>
        <v>3709</v>
      </c>
      <c r="F523" s="644">
        <f>IF(MOD(E523,5)=0,B523,0)+E523</f>
        <v>3709</v>
      </c>
      <c r="G523" s="785">
        <f>IF(MOD(F523+$B523,5)=0,$B523,0)+$B523+F523</f>
        <v>13643</v>
      </c>
      <c r="H523" s="785">
        <f>IF(MOD(G523+$B523,5)=0,$B523,0)+$B523+G523</f>
        <v>23577</v>
      </c>
      <c r="I523" s="785">
        <f>IF(MOD(H523+$B523,5)=0,$B523,0)+$B523+H523</f>
        <v>33511</v>
      </c>
      <c r="J523" s="911">
        <v>370</v>
      </c>
      <c r="K523" s="785">
        <v>1364</v>
      </c>
      <c r="L523" s="785">
        <v>2357</v>
      </c>
      <c r="M523" s="785">
        <v>3351</v>
      </c>
      <c r="N523" s="23" t="str">
        <f>D523&amp;FIXED(MOD(F523,10),0)</f>
        <v>hh79</v>
      </c>
      <c r="O523" s="78" t="str">
        <f>MID(A$5,((FIND(N523,A$4,1)-1)+1),4)</f>
        <v>ebd7</v>
      </c>
      <c r="P523" s="76" t="s">
        <v>0</v>
      </c>
      <c r="Q523" s="219" t="s">
        <v>0</v>
      </c>
      <c r="R523" s="103" t="s">
        <v>0</v>
      </c>
      <c r="S523" s="103" t="s">
        <v>0</v>
      </c>
      <c r="T523" s="42" t="s">
        <v>1</v>
      </c>
    </row>
    <row r="524" spans="1:20" ht="12.75">
      <c r="A524" s="44">
        <v>4969</v>
      </c>
      <c r="B524" s="886">
        <v>9938</v>
      </c>
      <c r="C524" s="886">
        <v>24690961</v>
      </c>
      <c r="D524" s="950" t="s">
        <v>2506</v>
      </c>
      <c r="E524" s="115">
        <f>B524-MOD(E$1-A524*3,B524)</f>
        <v>6959</v>
      </c>
      <c r="F524" s="644">
        <f>IF(MOD(E524,5)=0,B524,0)+E524</f>
        <v>6959</v>
      </c>
      <c r="G524" s="785">
        <f>IF(MOD(F524+$B524,5)=0,$B524,0)+$B524+F524</f>
        <v>16897</v>
      </c>
      <c r="H524" s="785">
        <f>IF(MOD(G524+$B524,5)=0,$B524,0)+$B524+G524</f>
        <v>36773</v>
      </c>
      <c r="I524" s="785">
        <f>IF(MOD(H524+$B524,5)=0,$B524,0)+$B524+H524</f>
        <v>46711</v>
      </c>
      <c r="J524" s="911">
        <v>695</v>
      </c>
      <c r="K524" s="785">
        <v>1689</v>
      </c>
      <c r="L524" s="785">
        <v>3677</v>
      </c>
      <c r="M524" s="785">
        <v>4671</v>
      </c>
      <c r="N524" s="23" t="str">
        <f>D524&amp;FIXED(MOD(F524,10),0)</f>
        <v>hh99</v>
      </c>
      <c r="O524" s="78" t="str">
        <f>MID(A$5,((FIND(N524,A$4,1)-1)+1),4)</f>
        <v>edb7</v>
      </c>
      <c r="P524" s="76" t="s">
        <v>0</v>
      </c>
      <c r="Q524" s="219" t="s">
        <v>0</v>
      </c>
      <c r="R524" s="103" t="s">
        <v>0</v>
      </c>
      <c r="S524" s="103" t="s">
        <v>0</v>
      </c>
      <c r="T524" s="42" t="s">
        <v>1</v>
      </c>
    </row>
    <row r="525" spans="1:20" ht="12.75">
      <c r="A525" s="44">
        <v>4973</v>
      </c>
      <c r="B525" s="886">
        <v>9946</v>
      </c>
      <c r="C525" s="886">
        <v>24730729</v>
      </c>
      <c r="D525" s="950" t="s">
        <v>2496</v>
      </c>
      <c r="E525" s="115">
        <f>B525-MOD(E$1-A525*3,B525)</f>
        <v>8135</v>
      </c>
      <c r="F525" s="644">
        <f>IF(MOD(E525,5)=0,B525,0)+E525</f>
        <v>18081</v>
      </c>
      <c r="G525" s="785">
        <f>IF(MOD(F525+$B525,5)=0,$B525,0)+$B525+F525</f>
        <v>28027</v>
      </c>
      <c r="H525" s="785">
        <f>IF(MOD(G525+$B525,5)=0,$B525,0)+$B525+G525</f>
        <v>37973</v>
      </c>
      <c r="I525" s="785">
        <f>IF(MOD(H525+$B525,5)=0,$B525,0)+$B525+H525</f>
        <v>47919</v>
      </c>
      <c r="J525" s="911">
        <v>1808</v>
      </c>
      <c r="K525" s="785">
        <v>2802</v>
      </c>
      <c r="L525" s="785">
        <v>3797</v>
      </c>
      <c r="M525" s="785">
        <v>4791</v>
      </c>
      <c r="N525" s="23" t="str">
        <f>D525&amp;FIXED(MOD(F525,10),0)</f>
        <v>hh31</v>
      </c>
      <c r="O525" s="78" t="str">
        <f>MID(A$5,((FIND(N525,A$4,1)-1)+1),4)</f>
        <v>7dbe</v>
      </c>
      <c r="P525" s="76" t="s">
        <v>0</v>
      </c>
      <c r="Q525" s="219" t="s">
        <v>0</v>
      </c>
      <c r="R525" s="103" t="s">
        <v>0</v>
      </c>
      <c r="S525" s="103" t="s">
        <v>0</v>
      </c>
      <c r="T525" s="42" t="s">
        <v>1</v>
      </c>
    </row>
    <row r="526" spans="1:20" ht="12.75">
      <c r="A526" s="44">
        <v>4987</v>
      </c>
      <c r="B526" s="886">
        <v>9974</v>
      </c>
      <c r="C526" s="886">
        <v>24870169</v>
      </c>
      <c r="D526" s="950" t="s">
        <v>2501</v>
      </c>
      <c r="E526" s="115">
        <f>B526-MOD(E$1-A526*3,B526)</f>
        <v>657</v>
      </c>
      <c r="F526" s="644">
        <f>IF(MOD(E526,5)=0,B526,0)+E526</f>
        <v>657</v>
      </c>
      <c r="G526" s="785">
        <f>IF(MOD(F526+$B526,5)=0,$B526,0)+$B526+F526</f>
        <v>10631</v>
      </c>
      <c r="H526" s="785">
        <f>IF(MOD(G526+$B526,5)=0,$B526,0)+$B526+G526</f>
        <v>30579</v>
      </c>
      <c r="I526" s="785">
        <f>IF(MOD(H526+$B526,5)=0,$B526,0)+$B526+H526</f>
        <v>40553</v>
      </c>
      <c r="J526" s="911">
        <v>65</v>
      </c>
      <c r="K526" s="785">
        <v>1063</v>
      </c>
      <c r="L526" s="785">
        <v>3057</v>
      </c>
      <c r="M526" s="785">
        <v>4055</v>
      </c>
      <c r="N526" s="23" t="str">
        <f>D526&amp;FIXED(MOD(F526,10),0)</f>
        <v>hh77</v>
      </c>
      <c r="O526" s="78" t="str">
        <f>MID(A$5,((FIND(N526,A$4,1)-1)+1),4)</f>
        <v>d7eb</v>
      </c>
      <c r="P526" s="76" t="s">
        <v>0</v>
      </c>
      <c r="Q526" s="219" t="s">
        <v>0</v>
      </c>
      <c r="R526" s="103" t="s">
        <v>0</v>
      </c>
      <c r="S526" s="103" t="s">
        <v>0</v>
      </c>
      <c r="T526" s="42" t="s">
        <v>1</v>
      </c>
    </row>
    <row r="527" spans="1:20" ht="12.75">
      <c r="A527" s="44">
        <v>4993</v>
      </c>
      <c r="B527" s="886">
        <v>9986</v>
      </c>
      <c r="C527" s="886">
        <v>24930049</v>
      </c>
      <c r="D527" s="950" t="s">
        <v>2496</v>
      </c>
      <c r="E527" s="115">
        <f>B527-MOD(E$1-A527*3,B527)</f>
        <v>7799</v>
      </c>
      <c r="F527" s="644">
        <f>IF(MOD(E527,5)=0,B527,0)+E527</f>
        <v>7799</v>
      </c>
      <c r="G527" s="785">
        <f>IF(MOD(F527+$B527,5)=0,$B527,0)+$B527+F527</f>
        <v>27771</v>
      </c>
      <c r="H527" s="785">
        <f>IF(MOD(G527+$B527,5)=0,$B527,0)+$B527+G527</f>
        <v>37757</v>
      </c>
      <c r="I527" s="785">
        <f>IF(MOD(H527+$B527,5)=0,$B527,0)+$B527+H527</f>
        <v>47743</v>
      </c>
      <c r="J527" s="911">
        <v>779</v>
      </c>
      <c r="K527" s="785">
        <v>2777</v>
      </c>
      <c r="L527" s="785">
        <v>3775</v>
      </c>
      <c r="M527" s="785">
        <v>4774</v>
      </c>
      <c r="N527" s="23" t="str">
        <f>D527&amp;FIXED(MOD(F527,10),0)</f>
        <v>hh39</v>
      </c>
      <c r="O527" s="78" t="str">
        <f>MID(A$5,((FIND(N527,A$4,1)-1)+1),4)</f>
        <v>e7db</v>
      </c>
      <c r="P527" s="76" t="s">
        <v>0</v>
      </c>
      <c r="Q527" s="219" t="s">
        <v>0</v>
      </c>
      <c r="R527" s="103" t="s">
        <v>0</v>
      </c>
      <c r="S527" s="103" t="s">
        <v>0</v>
      </c>
      <c r="T527" s="42" t="s">
        <v>1</v>
      </c>
    </row>
    <row r="528" spans="1:20" ht="12.75">
      <c r="A528" s="44">
        <v>4999</v>
      </c>
      <c r="B528" s="886">
        <v>9998</v>
      </c>
      <c r="C528" s="886">
        <v>24990001</v>
      </c>
      <c r="D528" s="950" t="s">
        <v>2506</v>
      </c>
      <c r="E528" s="115">
        <f>B528-MOD(E$1-A528*3,B528)</f>
        <v>3381</v>
      </c>
      <c r="F528" s="644">
        <f>IF(MOD(E528,5)=0,B528,0)+E528</f>
        <v>3381</v>
      </c>
      <c r="G528" s="785">
        <f>IF(MOD(F528+$B528,5)=0,$B528,0)+$B528+F528</f>
        <v>13379</v>
      </c>
      <c r="H528" s="785">
        <f>IF(MOD(G528+$B528,5)=0,$B528,0)+$B528+G528</f>
        <v>23377</v>
      </c>
      <c r="I528" s="785">
        <f>IF(MOD(H528+$B528,5)=0,$B528,0)+$B528+H528</f>
        <v>43373</v>
      </c>
      <c r="J528" s="911">
        <v>338</v>
      </c>
      <c r="K528" s="785">
        <v>1337</v>
      </c>
      <c r="L528" s="785">
        <v>2337</v>
      </c>
      <c r="M528" s="785">
        <v>4337</v>
      </c>
      <c r="N528" s="23" t="str">
        <f>D528&amp;FIXED(MOD(F528,10),0)</f>
        <v>hh91</v>
      </c>
      <c r="O528" s="78" t="str">
        <f>MID(A$5,((FIND(N528,A$4,1)-1)+1),4)</f>
        <v>7edb</v>
      </c>
      <c r="P528" s="76" t="s">
        <v>0</v>
      </c>
      <c r="Q528" s="219" t="s">
        <v>0</v>
      </c>
      <c r="R528" s="103" t="s">
        <v>0</v>
      </c>
      <c r="S528" s="103" t="s">
        <v>0</v>
      </c>
      <c r="T528" s="42" t="s">
        <v>1</v>
      </c>
    </row>
    <row r="529" spans="1:20" ht="12.75">
      <c r="A529" s="44">
        <v>5003</v>
      </c>
      <c r="B529" s="886">
        <v>10006</v>
      </c>
      <c r="C529" s="886">
        <v>25030009</v>
      </c>
      <c r="D529" s="950" t="s">
        <v>2496</v>
      </c>
      <c r="E529" s="115">
        <f>B529-MOD(E$1-A529*3,B529)</f>
        <v>8189</v>
      </c>
      <c r="F529" s="644">
        <f>IF(MOD(E529,5)=0,B529,0)+E529</f>
        <v>8189</v>
      </c>
      <c r="G529" s="785">
        <f>IF(MOD(F529+$B529,5)=0,$B529,0)+$B529+F529</f>
        <v>28201</v>
      </c>
      <c r="H529" s="785">
        <f>IF(MOD(G529+$B529,5)=0,$B529,0)+$B529+G529</f>
        <v>38207</v>
      </c>
      <c r="I529" s="785">
        <f>IF(MOD(H529+$B529,5)=0,$B529,0)+$B529+H529</f>
        <v>48213</v>
      </c>
      <c r="J529" s="911">
        <v>818</v>
      </c>
      <c r="K529" s="785">
        <v>2820</v>
      </c>
      <c r="L529" s="785">
        <v>3820</v>
      </c>
      <c r="M529" s="785">
        <v>4821</v>
      </c>
      <c r="N529" s="23" t="str">
        <f>D529&amp;FIXED(MOD(F529,10),0)</f>
        <v>hh39</v>
      </c>
      <c r="O529" s="78" t="str">
        <f>MID(A$5,((FIND(N529,A$4,1)-1)+1),4)</f>
        <v>e7db</v>
      </c>
      <c r="P529" s="76" t="s">
        <v>0</v>
      </c>
      <c r="Q529" s="219" t="s">
        <v>0</v>
      </c>
      <c r="R529" s="103" t="s">
        <v>0</v>
      </c>
      <c r="S529" s="103" t="s">
        <v>0</v>
      </c>
      <c r="T529" s="42" t="s">
        <v>1</v>
      </c>
    </row>
    <row r="530" spans="1:20" ht="12.75">
      <c r="A530" s="44">
        <v>5009</v>
      </c>
      <c r="B530" s="886">
        <v>10018</v>
      </c>
      <c r="C530" s="886">
        <v>25090081</v>
      </c>
      <c r="D530" s="950" t="s">
        <v>2506</v>
      </c>
      <c r="E530" s="115">
        <f>B530-MOD(E$1-A530*3,B530)</f>
        <v>1617</v>
      </c>
      <c r="F530" s="644">
        <f>IF(MOD(E530,5)=0,B530,0)+E530</f>
        <v>1617</v>
      </c>
      <c r="G530" s="785">
        <f>IF(MOD(F530+$B530,5)=0,$B530,0)+$B530+F530</f>
        <v>21653</v>
      </c>
      <c r="H530" s="785">
        <f>IF(MOD(G530+$B530,5)=0,$B530,0)+$B530+G530</f>
        <v>31671</v>
      </c>
      <c r="I530" s="785">
        <f>IF(MOD(H530+$B530,5)=0,$B530,0)+$B530+H530</f>
        <v>41689</v>
      </c>
      <c r="J530" s="911">
        <v>161</v>
      </c>
      <c r="K530" s="785">
        <v>2165</v>
      </c>
      <c r="L530" s="785">
        <v>3167</v>
      </c>
      <c r="M530" s="785">
        <v>4168</v>
      </c>
      <c r="N530" s="23" t="str">
        <f>D530&amp;FIXED(MOD(F530,10),0)</f>
        <v>hh97</v>
      </c>
      <c r="O530" s="78" t="str">
        <f>MID(A$5,((FIND(N530,A$4,1)-1)+1),4)</f>
        <v>db7e</v>
      </c>
      <c r="P530" s="76" t="s">
        <v>0</v>
      </c>
      <c r="Q530" s="219" t="s">
        <v>0</v>
      </c>
      <c r="R530" s="103" t="s">
        <v>0</v>
      </c>
      <c r="S530" s="103" t="s">
        <v>0</v>
      </c>
      <c r="T530" s="42" t="s">
        <v>1</v>
      </c>
    </row>
    <row r="531" spans="1:20" ht="12.75">
      <c r="A531" s="44">
        <v>5011</v>
      </c>
      <c r="B531" s="886">
        <v>10022</v>
      </c>
      <c r="C531" s="886">
        <v>25110121</v>
      </c>
      <c r="D531" s="950" t="s">
        <v>2490</v>
      </c>
      <c r="E531" s="115">
        <f>B531-MOD(E$1-A531*3,B531)</f>
        <v>4677</v>
      </c>
      <c r="F531" s="644">
        <f>IF(MOD(E531,5)=0,B531,0)+E531</f>
        <v>4677</v>
      </c>
      <c r="G531" s="785">
        <f>IF(MOD(F531+$B531,5)=0,$B531,0)+$B531+F531</f>
        <v>14699</v>
      </c>
      <c r="H531" s="785">
        <f>IF(MOD(G531+$B531,5)=0,$B531,0)+$B531+G531</f>
        <v>24721</v>
      </c>
      <c r="I531" s="785">
        <f>IF(MOD(H531+$B531,5)=0,$B531,0)+$B531+H531</f>
        <v>34743</v>
      </c>
      <c r="J531" s="911">
        <v>467</v>
      </c>
      <c r="K531" s="785">
        <v>1469</v>
      </c>
      <c r="L531" s="785">
        <v>2472</v>
      </c>
      <c r="M531" s="785">
        <v>3474</v>
      </c>
      <c r="N531" s="23" t="str">
        <f>D531&amp;FIXED(MOD(F531,10),0)</f>
        <v>hh17</v>
      </c>
      <c r="O531" s="78" t="str">
        <f>MID(A$5,((FIND(N531,A$4,1)-1)+1),4)</f>
        <v>de7b</v>
      </c>
      <c r="P531" s="76" t="s">
        <v>0</v>
      </c>
      <c r="Q531" s="219" t="s">
        <v>0</v>
      </c>
      <c r="R531" s="103" t="s">
        <v>0</v>
      </c>
      <c r="S531" s="103" t="s">
        <v>0</v>
      </c>
      <c r="T531" s="42" t="s">
        <v>1</v>
      </c>
    </row>
    <row r="532" spans="1:20" ht="12.75">
      <c r="A532" s="44">
        <v>5021</v>
      </c>
      <c r="B532" s="886">
        <v>10042</v>
      </c>
      <c r="C532" s="886">
        <v>25210441</v>
      </c>
      <c r="D532" s="950" t="s">
        <v>2490</v>
      </c>
      <c r="E532" s="115">
        <f>B532-MOD(E$1-A532*3,B532)</f>
        <v>9545</v>
      </c>
      <c r="F532" s="644">
        <f>IF(MOD(E532,5)=0,B532,0)+E532</f>
        <v>19587</v>
      </c>
      <c r="G532" s="785">
        <f>IF(MOD(F532+$B532,5)=0,$B532,0)+$B532+F532</f>
        <v>29629</v>
      </c>
      <c r="H532" s="785">
        <f>IF(MOD(G532+$B532,5)=0,$B532,0)+$B532+G532</f>
        <v>39671</v>
      </c>
      <c r="I532" s="785">
        <f>IF(MOD(H532+$B532,5)=0,$B532,0)+$B532+H532</f>
        <v>49713</v>
      </c>
      <c r="J532" s="911">
        <v>1958</v>
      </c>
      <c r="K532" s="785">
        <v>2962</v>
      </c>
      <c r="L532" s="785">
        <v>3967</v>
      </c>
      <c r="M532" s="785">
        <v>4971</v>
      </c>
      <c r="N532" s="23" t="str">
        <f>D532&amp;FIXED(MOD(F532,10),0)</f>
        <v>hh17</v>
      </c>
      <c r="O532" s="78" t="str">
        <f>MID(A$5,((FIND(N532,A$4,1)-1)+1),4)</f>
        <v>de7b</v>
      </c>
      <c r="P532" s="76" t="s">
        <v>0</v>
      </c>
      <c r="Q532" s="219" t="s">
        <v>0</v>
      </c>
      <c r="R532" s="103" t="s">
        <v>0</v>
      </c>
      <c r="S532" s="103" t="s">
        <v>0</v>
      </c>
      <c r="T532" s="42" t="s">
        <v>1</v>
      </c>
    </row>
    <row r="533" spans="1:20" ht="12.75">
      <c r="A533" s="44">
        <v>5023</v>
      </c>
      <c r="B533" s="886">
        <v>10046</v>
      </c>
      <c r="C533" s="886">
        <v>25230529</v>
      </c>
      <c r="D533" s="950" t="s">
        <v>2496</v>
      </c>
      <c r="E533" s="115">
        <f>B533-MOD(E$1-A533*3,B533)</f>
        <v>3995</v>
      </c>
      <c r="F533" s="644">
        <f>IF(MOD(E533,5)=0,B533,0)+E533</f>
        <v>14041</v>
      </c>
      <c r="G533" s="785">
        <f>IF(MOD(F533+$B533,5)=0,$B533,0)+$B533+F533</f>
        <v>24087</v>
      </c>
      <c r="H533" s="785">
        <f>IF(MOD(G533+$B533,5)=0,$B533,0)+$B533+G533</f>
        <v>34133</v>
      </c>
      <c r="I533" s="785">
        <f>IF(MOD(H533+$B533,5)=0,$B533,0)+$B533+H533</f>
        <v>44179</v>
      </c>
      <c r="J533" s="911">
        <v>1404</v>
      </c>
      <c r="K533" s="785">
        <v>2408</v>
      </c>
      <c r="L533" s="785">
        <v>3413</v>
      </c>
      <c r="M533" s="785">
        <v>4417</v>
      </c>
      <c r="N533" s="23" t="str">
        <f>D533&amp;FIXED(MOD(F533,10),0)</f>
        <v>hh31</v>
      </c>
      <c r="O533" s="78" t="str">
        <f>MID(A$5,((FIND(N533,A$4,1)-1)+1),4)</f>
        <v>7dbe</v>
      </c>
      <c r="P533" s="76" t="s">
        <v>0</v>
      </c>
      <c r="Q533" s="219" t="s">
        <v>0</v>
      </c>
      <c r="R533" s="103" t="s">
        <v>0</v>
      </c>
      <c r="S533" s="103" t="s">
        <v>0</v>
      </c>
      <c r="T533" s="42" t="s">
        <v>1</v>
      </c>
    </row>
    <row r="534" spans="1:20" ht="12.75">
      <c r="A534" s="44">
        <v>5039</v>
      </c>
      <c r="B534" s="886">
        <v>10078</v>
      </c>
      <c r="C534" s="886">
        <v>25391521</v>
      </c>
      <c r="D534" s="950" t="s">
        <v>2506</v>
      </c>
      <c r="E534" s="115">
        <f>B534-MOD(E$1-A534*3,B534)</f>
        <v>5749</v>
      </c>
      <c r="F534" s="644">
        <f>IF(MOD(E534,5)=0,B534,0)+E534</f>
        <v>5749</v>
      </c>
      <c r="G534" s="785">
        <f>IF(MOD(F534+$B534,5)=0,$B534,0)+$B534+F534</f>
        <v>15827</v>
      </c>
      <c r="H534" s="785">
        <f>IF(MOD(G534+$B534,5)=0,$B534,0)+$B534+G534</f>
        <v>35983</v>
      </c>
      <c r="I534" s="785">
        <f>IF(MOD(H534+$B534,5)=0,$B534,0)+$B534+H534</f>
        <v>46061</v>
      </c>
      <c r="J534" s="911">
        <v>574</v>
      </c>
      <c r="K534" s="785">
        <v>1582</v>
      </c>
      <c r="L534" s="785">
        <v>3598</v>
      </c>
      <c r="M534" s="785">
        <v>4606</v>
      </c>
      <c r="N534" s="23" t="str">
        <f>D534&amp;FIXED(MOD(F534,10),0)</f>
        <v>hh99</v>
      </c>
      <c r="O534" s="78" t="str">
        <f>MID(A$5,((FIND(N534,A$4,1)-1)+1),4)</f>
        <v>edb7</v>
      </c>
      <c r="P534" s="76" t="s">
        <v>0</v>
      </c>
      <c r="Q534" s="219" t="s">
        <v>0</v>
      </c>
      <c r="R534" s="103" t="s">
        <v>0</v>
      </c>
      <c r="S534" s="103" t="s">
        <v>0</v>
      </c>
      <c r="T534" s="42" t="s">
        <v>1</v>
      </c>
    </row>
    <row r="535" spans="1:20" ht="12.75">
      <c r="A535" s="44">
        <v>5051</v>
      </c>
      <c r="B535" s="886">
        <v>10102</v>
      </c>
      <c r="C535" s="886">
        <v>25512601</v>
      </c>
      <c r="D535" s="950" t="s">
        <v>2490</v>
      </c>
      <c r="E535" s="115">
        <f>B535-MOD(E$1-A535*3,B535)</f>
        <v>6859</v>
      </c>
      <c r="F535" s="644">
        <f>IF(MOD(E535,5)=0,B535,0)+E535</f>
        <v>6859</v>
      </c>
      <c r="G535" s="785">
        <f>IF(MOD(F535+$B535,5)=0,$B535,0)+$B535+F535</f>
        <v>16961</v>
      </c>
      <c r="H535" s="785">
        <f>IF(MOD(G535+$B535,5)=0,$B535,0)+$B535+G535</f>
        <v>27063</v>
      </c>
      <c r="I535" s="785">
        <f>IF(MOD(H535+$B535,5)=0,$B535,0)+$B535+H535</f>
        <v>47267</v>
      </c>
      <c r="J535" s="911">
        <v>685</v>
      </c>
      <c r="K535" s="785">
        <v>1696</v>
      </c>
      <c r="L535" s="785">
        <v>2706</v>
      </c>
      <c r="M535" s="785">
        <v>4726</v>
      </c>
      <c r="N535" s="23" t="str">
        <f>D535&amp;FIXED(MOD(F535,10),0)</f>
        <v>hh19</v>
      </c>
      <c r="O535" s="78" t="str">
        <f>MID(A$5,((FIND(N535,A$4,1)-1)+1),4)</f>
        <v>e7bd</v>
      </c>
      <c r="P535" s="76" t="s">
        <v>0</v>
      </c>
      <c r="Q535" s="219" t="s">
        <v>0</v>
      </c>
      <c r="R535" s="103" t="s">
        <v>0</v>
      </c>
      <c r="S535" s="103" t="s">
        <v>0</v>
      </c>
      <c r="T535" s="42" t="s">
        <v>1</v>
      </c>
    </row>
    <row r="536" spans="1:20" ht="12.75">
      <c r="A536" s="44">
        <v>5059</v>
      </c>
      <c r="B536" s="886">
        <v>10118</v>
      </c>
      <c r="C536" s="886">
        <v>25593481</v>
      </c>
      <c r="D536" s="950" t="s">
        <v>2506</v>
      </c>
      <c r="E536" s="115">
        <f>B536-MOD(E$1-A536*3,B536)</f>
        <v>7735</v>
      </c>
      <c r="F536" s="644">
        <f>IF(MOD(E536,5)=0,B536,0)+E536</f>
        <v>17853</v>
      </c>
      <c r="G536" s="785">
        <f>IF(MOD(F536+$B536,5)=0,$B536,0)+$B536+F536</f>
        <v>27971</v>
      </c>
      <c r="H536" s="785">
        <f>IF(MOD(G536+$B536,5)=0,$B536,0)+$B536+G536</f>
        <v>38089</v>
      </c>
      <c r="I536" s="785">
        <f>IF(MOD(H536+$B536,5)=0,$B536,0)+$B536+H536</f>
        <v>48207</v>
      </c>
      <c r="J536" s="911">
        <v>1785</v>
      </c>
      <c r="K536" s="785">
        <v>2797</v>
      </c>
      <c r="L536" s="785">
        <v>3808</v>
      </c>
      <c r="M536" s="785">
        <v>4820</v>
      </c>
      <c r="N536" s="23" t="str">
        <f>D536&amp;FIXED(MOD(F536,10),0)</f>
        <v>hh93</v>
      </c>
      <c r="O536" s="78" t="str">
        <f>MID(A$5,((FIND(N536,A$4,1)-1)+1),4)</f>
        <v>b7ed</v>
      </c>
      <c r="P536" s="76" t="s">
        <v>0</v>
      </c>
      <c r="Q536" s="219" t="s">
        <v>0</v>
      </c>
      <c r="R536" s="103" t="s">
        <v>0</v>
      </c>
      <c r="S536" s="103" t="s">
        <v>0</v>
      </c>
      <c r="T536" s="42" t="s">
        <v>1</v>
      </c>
    </row>
    <row r="537" spans="1:20" ht="12.75">
      <c r="A537" s="44">
        <v>5077</v>
      </c>
      <c r="B537" s="886">
        <v>10154</v>
      </c>
      <c r="C537" s="886">
        <v>25775929</v>
      </c>
      <c r="D537" s="950" t="s">
        <v>2501</v>
      </c>
      <c r="E537" s="115">
        <f>B537-MOD(E$1-A537*3,B537)</f>
        <v>5475</v>
      </c>
      <c r="F537" s="644">
        <f>IF(MOD(E537,5)=0,B537,0)+E537</f>
        <v>15629</v>
      </c>
      <c r="G537" s="785">
        <f>IF(MOD(F537+$B537,5)=0,$B537,0)+$B537+F537</f>
        <v>25783</v>
      </c>
      <c r="H537" s="785">
        <f>IF(MOD(G537+$B537,5)=0,$B537,0)+$B537+G537</f>
        <v>35937</v>
      </c>
      <c r="I537" s="785">
        <f>IF(MOD(H537+$B537,5)=0,$B537,0)+$B537+H537</f>
        <v>46091</v>
      </c>
      <c r="J537" s="911">
        <v>1562</v>
      </c>
      <c r="K537" s="785">
        <v>2578</v>
      </c>
      <c r="L537" s="785">
        <v>3593</v>
      </c>
      <c r="M537" s="785">
        <v>4609</v>
      </c>
      <c r="N537" s="23" t="str">
        <f>D537&amp;FIXED(MOD(F537,10),0)</f>
        <v>hh79</v>
      </c>
      <c r="O537" s="78" t="str">
        <f>MID(A$5,((FIND(N537,A$4,1)-1)+1),4)</f>
        <v>ebd7</v>
      </c>
      <c r="P537" s="76" t="s">
        <v>0</v>
      </c>
      <c r="Q537" s="219" t="s">
        <v>0</v>
      </c>
      <c r="R537" s="103" t="s">
        <v>0</v>
      </c>
      <c r="S537" s="103" t="s">
        <v>0</v>
      </c>
      <c r="T537" s="42" t="s">
        <v>1</v>
      </c>
    </row>
    <row r="538" spans="1:20" ht="12.75">
      <c r="A538" s="44">
        <v>5081</v>
      </c>
      <c r="B538" s="886">
        <v>10162</v>
      </c>
      <c r="C538" s="886">
        <v>25816561</v>
      </c>
      <c r="D538" s="950" t="s">
        <v>2490</v>
      </c>
      <c r="E538" s="115">
        <f>B538-MOD(E$1-A538*3,B538)</f>
        <v>7497</v>
      </c>
      <c r="F538" s="644">
        <f>IF(MOD(E538,5)=0,B538,0)+E538</f>
        <v>7497</v>
      </c>
      <c r="G538" s="785">
        <f>IF(MOD(F538+$B538,5)=0,$B538,0)+$B538+F538</f>
        <v>17659</v>
      </c>
      <c r="H538" s="785">
        <f>IF(MOD(G538+$B538,5)=0,$B538,0)+$B538+G538</f>
        <v>27821</v>
      </c>
      <c r="I538" s="785">
        <f>IF(MOD(H538+$B538,5)=0,$B538,0)+$B538+H538</f>
        <v>37983</v>
      </c>
      <c r="J538" s="911">
        <v>749</v>
      </c>
      <c r="K538" s="785">
        <v>1765</v>
      </c>
      <c r="L538" s="785">
        <v>2782</v>
      </c>
      <c r="M538" s="785">
        <v>3798</v>
      </c>
      <c r="N538" s="23" t="str">
        <f>D538&amp;FIXED(MOD(F538,10),0)</f>
        <v>hh17</v>
      </c>
      <c r="O538" s="78" t="str">
        <f>MID(A$5,((FIND(N538,A$4,1)-1)+1),4)</f>
        <v>de7b</v>
      </c>
      <c r="P538" s="76" t="s">
        <v>0</v>
      </c>
      <c r="Q538" s="219" t="s">
        <v>0</v>
      </c>
      <c r="R538" s="103" t="s">
        <v>0</v>
      </c>
      <c r="S538" s="103" t="s">
        <v>0</v>
      </c>
      <c r="T538" s="42" t="s">
        <v>1</v>
      </c>
    </row>
    <row r="539" spans="1:20" ht="12.75">
      <c r="A539" s="44">
        <v>5087</v>
      </c>
      <c r="B539" s="886">
        <v>10174</v>
      </c>
      <c r="C539" s="886">
        <v>25877569</v>
      </c>
      <c r="D539" s="950" t="s">
        <v>2501</v>
      </c>
      <c r="E539" s="115">
        <f>B539-MOD(E$1-A539*3,B539)</f>
        <v>6711</v>
      </c>
      <c r="F539" s="644">
        <f>IF(MOD(E539,5)=0,B539,0)+E539</f>
        <v>6711</v>
      </c>
      <c r="G539" s="785">
        <f>IF(MOD(F539+$B539,5)=0,$B539,0)+$B539+F539</f>
        <v>27059</v>
      </c>
      <c r="H539" s="785">
        <f>IF(MOD(G539+$B539,5)=0,$B539,0)+$B539+G539</f>
        <v>37233</v>
      </c>
      <c r="I539" s="785">
        <f>IF(MOD(H539+$B539,5)=0,$B539,0)+$B539+H539</f>
        <v>47407</v>
      </c>
      <c r="J539" s="911">
        <v>671</v>
      </c>
      <c r="K539" s="785">
        <v>2705</v>
      </c>
      <c r="L539" s="785">
        <v>3723</v>
      </c>
      <c r="M539" s="785">
        <v>4740</v>
      </c>
      <c r="N539" s="23" t="str">
        <f>D539&amp;FIXED(MOD(F539,10),0)</f>
        <v>hh71</v>
      </c>
      <c r="O539" s="78" t="str">
        <f>MID(A$5,((FIND(N539,A$4,1)-1)+1),4)</f>
        <v>7ebd</v>
      </c>
      <c r="P539" s="76" t="s">
        <v>0</v>
      </c>
      <c r="Q539" s="219" t="s">
        <v>0</v>
      </c>
      <c r="R539" s="103" t="s">
        <v>0</v>
      </c>
      <c r="S539" s="103" t="s">
        <v>0</v>
      </c>
      <c r="T539" s="42" t="s">
        <v>1</v>
      </c>
    </row>
    <row r="540" spans="1:20" ht="12.75">
      <c r="A540" s="44">
        <v>5099</v>
      </c>
      <c r="B540" s="886">
        <v>10198</v>
      </c>
      <c r="C540" s="886">
        <v>25999801</v>
      </c>
      <c r="D540" s="950" t="s">
        <v>2506</v>
      </c>
      <c r="E540" s="115">
        <f>B540-MOD(E$1-A540*3,B540)</f>
        <v>8933</v>
      </c>
      <c r="F540" s="644">
        <f>IF(MOD(E540,5)=0,B540,0)+E540</f>
        <v>8933</v>
      </c>
      <c r="G540" s="785">
        <f>IF(MOD(F540+$B540,5)=0,$B540,0)+$B540+F540</f>
        <v>19131</v>
      </c>
      <c r="H540" s="785">
        <f>IF(MOD(G540+$B540,5)=0,$B540,0)+$B540+G540</f>
        <v>29329</v>
      </c>
      <c r="I540" s="785">
        <f>IF(MOD(H540+$B540,5)=0,$B540,0)+$B540+H540</f>
        <v>39527</v>
      </c>
      <c r="J540" s="911">
        <v>893</v>
      </c>
      <c r="K540" s="785">
        <v>1913</v>
      </c>
      <c r="L540" s="785">
        <v>2932</v>
      </c>
      <c r="M540" s="785">
        <v>3952</v>
      </c>
      <c r="N540" s="23" t="str">
        <f>D540&amp;FIXED(MOD(F540,10),0)</f>
        <v>hh93</v>
      </c>
      <c r="O540" s="78" t="str">
        <f>MID(A$5,((FIND(N540,A$4,1)-1)+1),4)</f>
        <v>b7ed</v>
      </c>
      <c r="P540" s="76" t="s">
        <v>0</v>
      </c>
      <c r="Q540" s="219" t="s">
        <v>0</v>
      </c>
      <c r="R540" s="103" t="s">
        <v>0</v>
      </c>
      <c r="S540" s="103" t="s">
        <v>0</v>
      </c>
      <c r="T540" s="42" t="s">
        <v>1</v>
      </c>
    </row>
    <row r="541" spans="1:20" ht="12.75">
      <c r="A541" s="44">
        <v>5101</v>
      </c>
      <c r="B541" s="886">
        <v>10202</v>
      </c>
      <c r="C541" s="886">
        <v>26020201</v>
      </c>
      <c r="D541" s="950" t="s">
        <v>2490</v>
      </c>
      <c r="E541" s="115">
        <f>B541-MOD(E$1-A541*3,B541)</f>
        <v>7429</v>
      </c>
      <c r="F541" s="644">
        <f>IF(MOD(E541,5)=0,B541,0)+E541</f>
        <v>7429</v>
      </c>
      <c r="G541" s="785">
        <f>IF(MOD(F541+$B541,5)=0,$B541,0)+$B541+F541</f>
        <v>17631</v>
      </c>
      <c r="H541" s="785">
        <f>IF(MOD(G541+$B541,5)=0,$B541,0)+$B541+G541</f>
        <v>27833</v>
      </c>
      <c r="I541" s="785">
        <f>IF(MOD(H541+$B541,5)=0,$B541,0)+$B541+H541</f>
        <v>48237</v>
      </c>
      <c r="J541" s="911">
        <v>742</v>
      </c>
      <c r="K541" s="785">
        <v>1763</v>
      </c>
      <c r="L541" s="785">
        <v>2783</v>
      </c>
      <c r="M541" s="785">
        <v>4823</v>
      </c>
      <c r="N541" s="23" t="str">
        <f>D541&amp;FIXED(MOD(F541,10),0)</f>
        <v>hh19</v>
      </c>
      <c r="O541" s="78" t="str">
        <f>MID(A$5,((FIND(N541,A$4,1)-1)+1),4)</f>
        <v>e7bd</v>
      </c>
      <c r="P541" s="76" t="s">
        <v>0</v>
      </c>
      <c r="Q541" s="219" t="s">
        <v>0</v>
      </c>
      <c r="R541" s="103" t="s">
        <v>0</v>
      </c>
      <c r="S541" s="103" t="s">
        <v>0</v>
      </c>
      <c r="T541" s="42" t="s">
        <v>1</v>
      </c>
    </row>
    <row r="542" spans="1:20" ht="12.75">
      <c r="A542" s="44">
        <v>5107</v>
      </c>
      <c r="B542" s="886">
        <v>10214</v>
      </c>
      <c r="C542" s="886">
        <v>26081449</v>
      </c>
      <c r="D542" s="950" t="s">
        <v>2501</v>
      </c>
      <c r="E542" s="115">
        <f>B542-MOD(E$1-A542*3,B542)</f>
        <v>1117</v>
      </c>
      <c r="F542" s="644">
        <f>IF(MOD(E542,5)=0,B542,0)+E542</f>
        <v>1117</v>
      </c>
      <c r="G542" s="785">
        <f>IF(MOD(F542+$B542,5)=0,$B542,0)+$B542+F542</f>
        <v>11331</v>
      </c>
      <c r="H542" s="785">
        <f>IF(MOD(G542+$B542,5)=0,$B542,0)+$B542+G542</f>
        <v>31759</v>
      </c>
      <c r="I542" s="785">
        <f>IF(MOD(H542+$B542,5)=0,$B542,0)+$B542+H542</f>
        <v>41973</v>
      </c>
      <c r="J542" s="911">
        <v>111</v>
      </c>
      <c r="K542" s="785">
        <v>1133</v>
      </c>
      <c r="L542" s="785">
        <v>3175</v>
      </c>
      <c r="M542" s="785">
        <v>4197</v>
      </c>
      <c r="N542" s="23" t="str">
        <f>D542&amp;FIXED(MOD(F542,10),0)</f>
        <v>hh77</v>
      </c>
      <c r="O542" s="78" t="str">
        <f>MID(A$5,((FIND(N542,A$4,1)-1)+1),4)</f>
        <v>d7eb</v>
      </c>
      <c r="P542" s="76" t="s">
        <v>0</v>
      </c>
      <c r="Q542" s="219" t="s">
        <v>0</v>
      </c>
      <c r="R542" s="103" t="s">
        <v>0</v>
      </c>
      <c r="S542" s="103" t="s">
        <v>0</v>
      </c>
      <c r="T542" s="42" t="s">
        <v>1</v>
      </c>
    </row>
    <row r="543" spans="1:20" ht="12.75">
      <c r="A543" s="44">
        <v>5113</v>
      </c>
      <c r="B543" s="886">
        <v>10226</v>
      </c>
      <c r="C543" s="886">
        <v>26142769</v>
      </c>
      <c r="D543" s="950" t="s">
        <v>2496</v>
      </c>
      <c r="E543" s="115">
        <f>B543-MOD(E$1-A543*3,B543)</f>
        <v>6867</v>
      </c>
      <c r="F543" s="644">
        <f>IF(MOD(E543,5)=0,B543,0)+E543</f>
        <v>6867</v>
      </c>
      <c r="G543" s="785">
        <f>IF(MOD(F543+$B543,5)=0,$B543,0)+$B543+F543</f>
        <v>17093</v>
      </c>
      <c r="H543" s="785">
        <f>IF(MOD(G543+$B543,5)=0,$B543,0)+$B543+G543</f>
        <v>27319</v>
      </c>
      <c r="I543" s="785">
        <f>IF(MOD(H543+$B543,5)=0,$B543,0)+$B543+H543</f>
        <v>47771</v>
      </c>
      <c r="J543" s="911">
        <v>686</v>
      </c>
      <c r="K543" s="785">
        <v>1709</v>
      </c>
      <c r="L543" s="785">
        <v>2731</v>
      </c>
      <c r="M543" s="785">
        <v>4777</v>
      </c>
      <c r="N543" s="23" t="str">
        <f>D543&amp;FIXED(MOD(F543,10),0)</f>
        <v>hh37</v>
      </c>
      <c r="O543" s="78" t="str">
        <f>MID(A$5,((FIND(N543,A$4,1)-1)+1),4)</f>
        <v>dbe7</v>
      </c>
      <c r="P543" s="76" t="s">
        <v>0</v>
      </c>
      <c r="Q543" s="219" t="s">
        <v>0</v>
      </c>
      <c r="R543" s="103" t="s">
        <v>0</v>
      </c>
      <c r="S543" s="103" t="s">
        <v>0</v>
      </c>
      <c r="T543" s="42" t="s">
        <v>1</v>
      </c>
    </row>
    <row r="544" spans="1:20" ht="12.75">
      <c r="A544" s="44">
        <v>5119</v>
      </c>
      <c r="B544" s="886">
        <v>10238</v>
      </c>
      <c r="C544" s="886">
        <v>26204161</v>
      </c>
      <c r="D544" s="950" t="s">
        <v>2506</v>
      </c>
      <c r="E544" s="115">
        <f>B544-MOD(E$1-A544*3,B544)</f>
        <v>10071</v>
      </c>
      <c r="F544" s="644">
        <f>IF(MOD(E544,5)=0,B544,0)+E544</f>
        <v>10071</v>
      </c>
      <c r="G544" s="785">
        <f>IF(MOD(F544+$B544,5)=0,$B544,0)+$B544+F544</f>
        <v>20309</v>
      </c>
      <c r="H544" s="785">
        <f>IF(MOD(G544+$B544,5)=0,$B544,0)+$B544+G544</f>
        <v>30547</v>
      </c>
      <c r="I544" s="785">
        <f>IF(MOD(H544+$B544,5)=0,$B544,0)+$B544+H544</f>
        <v>51023</v>
      </c>
      <c r="J544" s="911">
        <v>1007</v>
      </c>
      <c r="K544" s="785">
        <v>2030</v>
      </c>
      <c r="L544" s="785">
        <v>3054</v>
      </c>
      <c r="M544" s="785">
        <v>5102</v>
      </c>
      <c r="N544" s="23" t="str">
        <f>D544&amp;FIXED(MOD(F544,10),0)</f>
        <v>hh91</v>
      </c>
      <c r="O544" s="78" t="str">
        <f>MID(A$5,((FIND(N544,A$4,1)-1)+1),4)</f>
        <v>7edb</v>
      </c>
      <c r="P544" s="76" t="s">
        <v>0</v>
      </c>
      <c r="Q544" s="219" t="s">
        <v>0</v>
      </c>
      <c r="R544" s="103" t="s">
        <v>0</v>
      </c>
      <c r="S544" s="103" t="s">
        <v>0</v>
      </c>
      <c r="T544" s="42" t="s">
        <v>1</v>
      </c>
    </row>
    <row r="545" spans="1:20" ht="12.75">
      <c r="A545" s="44">
        <v>5147</v>
      </c>
      <c r="B545" s="886">
        <v>10294</v>
      </c>
      <c r="C545" s="886">
        <v>26491609</v>
      </c>
      <c r="D545" s="950" t="s">
        <v>2501</v>
      </c>
      <c r="E545" s="115">
        <f>B545-MOD(E$1-A545*3,B545)</f>
        <v>9539</v>
      </c>
      <c r="F545" s="644">
        <f>IF(MOD(E545,5)=0,B545,0)+E545</f>
        <v>9539</v>
      </c>
      <c r="G545" s="785">
        <f>IF(MOD(F545+$B545,5)=0,$B545,0)+$B545+F545</f>
        <v>19833</v>
      </c>
      <c r="H545" s="785">
        <f>IF(MOD(G545+$B545,5)=0,$B545,0)+$B545+G545</f>
        <v>30127</v>
      </c>
      <c r="I545" s="785">
        <f>IF(MOD(H545+$B545,5)=0,$B545,0)+$B545+H545</f>
        <v>40421</v>
      </c>
      <c r="J545" s="911">
        <v>953</v>
      </c>
      <c r="K545" s="785">
        <v>1983</v>
      </c>
      <c r="L545" s="785">
        <v>3012</v>
      </c>
      <c r="M545" s="785">
        <v>4042</v>
      </c>
      <c r="N545" s="23" t="str">
        <f>D545&amp;FIXED(MOD(F545,10),0)</f>
        <v>hh79</v>
      </c>
      <c r="O545" s="78" t="str">
        <f>MID(A$5,((FIND(N545,A$4,1)-1)+1),4)</f>
        <v>ebd7</v>
      </c>
      <c r="P545" s="76" t="s">
        <v>0</v>
      </c>
      <c r="Q545" s="219" t="s">
        <v>0</v>
      </c>
      <c r="R545" s="103" t="s">
        <v>0</v>
      </c>
      <c r="S545" s="103" t="s">
        <v>0</v>
      </c>
      <c r="T545" s="42" t="s">
        <v>1</v>
      </c>
    </row>
    <row r="546" spans="1:20" ht="12.75">
      <c r="A546" s="44">
        <v>5153</v>
      </c>
      <c r="B546" s="886">
        <v>10306</v>
      </c>
      <c r="C546" s="886">
        <v>26553409</v>
      </c>
      <c r="D546" s="950" t="s">
        <v>2496</v>
      </c>
      <c r="E546" s="115">
        <f>B546-MOD(E$1-A546*3,B546)</f>
        <v>1123</v>
      </c>
      <c r="F546" s="644">
        <f>IF(MOD(E546,5)=0,B546,0)+E546</f>
        <v>1123</v>
      </c>
      <c r="G546" s="785">
        <f>IF(MOD(F546+$B546,5)=0,$B546,0)+$B546+F546</f>
        <v>11429</v>
      </c>
      <c r="H546" s="785">
        <f>IF(MOD(G546+$B546,5)=0,$B546,0)+$B546+G546</f>
        <v>32041</v>
      </c>
      <c r="I546" s="785">
        <f>IF(MOD(H546+$B546,5)=0,$B546,0)+$B546+H546</f>
        <v>42347</v>
      </c>
      <c r="J546" s="911">
        <v>112</v>
      </c>
      <c r="K546" s="785">
        <v>1142</v>
      </c>
      <c r="L546" s="785">
        <v>3204</v>
      </c>
      <c r="M546" s="785">
        <v>4234</v>
      </c>
      <c r="N546" s="23" t="str">
        <f>D546&amp;FIXED(MOD(F546,10),0)</f>
        <v>hh33</v>
      </c>
      <c r="O546" s="78" t="str">
        <f>MID(A$5,((FIND(N546,A$4,1)-1)+1),4)</f>
        <v>be7d</v>
      </c>
      <c r="P546" s="76" t="s">
        <v>0</v>
      </c>
      <c r="Q546" s="219" t="s">
        <v>0</v>
      </c>
      <c r="R546" s="103" t="s">
        <v>0</v>
      </c>
      <c r="S546" s="103" t="s">
        <v>0</v>
      </c>
      <c r="T546" s="42" t="s">
        <v>1</v>
      </c>
    </row>
    <row r="547" spans="1:20" ht="12.75">
      <c r="A547" s="44">
        <v>5167</v>
      </c>
      <c r="B547" s="886">
        <v>10334</v>
      </c>
      <c r="C547" s="886">
        <v>26697889</v>
      </c>
      <c r="D547" s="950" t="s">
        <v>2501</v>
      </c>
      <c r="E547" s="115">
        <f>B547-MOD(E$1-A547*3,B547)</f>
        <v>9193</v>
      </c>
      <c r="F547" s="644">
        <f>IF(MOD(E547,5)=0,B547,0)+E547</f>
        <v>9193</v>
      </c>
      <c r="G547" s="785">
        <f>IF(MOD(F547+$B547,5)=0,$B547,0)+$B547+F547</f>
        <v>19527</v>
      </c>
      <c r="H547" s="785">
        <f>IF(MOD(G547+$B547,5)=0,$B547,0)+$B547+G547</f>
        <v>29861</v>
      </c>
      <c r="I547" s="785">
        <f>IF(MOD(H547+$B547,5)=0,$B547,0)+$B547+H547</f>
        <v>50529</v>
      </c>
      <c r="J547" s="911">
        <v>919</v>
      </c>
      <c r="K547" s="785">
        <v>1952</v>
      </c>
      <c r="L547" s="785">
        <v>2986</v>
      </c>
      <c r="M547" s="785">
        <v>5052</v>
      </c>
      <c r="N547" s="23" t="str">
        <f>D547&amp;FIXED(MOD(F547,10),0)</f>
        <v>hh73</v>
      </c>
      <c r="O547" s="78" t="str">
        <f>MID(A$5,((FIND(N547,A$4,1)-1)+1),4)</f>
        <v>bd7e</v>
      </c>
      <c r="P547" s="76" t="s">
        <v>0</v>
      </c>
      <c r="Q547" s="219" t="s">
        <v>0</v>
      </c>
      <c r="R547" s="103" t="s">
        <v>0</v>
      </c>
      <c r="S547" s="103" t="s">
        <v>0</v>
      </c>
      <c r="T547" s="42" t="s">
        <v>1</v>
      </c>
    </row>
    <row r="548" spans="1:20" ht="12.75">
      <c r="A548" s="44">
        <v>5171</v>
      </c>
      <c r="B548" s="886">
        <v>10342</v>
      </c>
      <c r="C548" s="886">
        <v>26739241</v>
      </c>
      <c r="D548" s="950" t="s">
        <v>2490</v>
      </c>
      <c r="E548" s="115">
        <f>B548-MOD(E$1-A548*3,B548)</f>
        <v>7295</v>
      </c>
      <c r="F548" s="644">
        <f>IF(MOD(E548,5)=0,B548,0)+E548</f>
        <v>17637</v>
      </c>
      <c r="G548" s="785">
        <f>IF(MOD(F548+$B548,5)=0,$B548,0)+$B548+F548</f>
        <v>27979</v>
      </c>
      <c r="H548" s="785">
        <f>IF(MOD(G548+$B548,5)=0,$B548,0)+$B548+G548</f>
        <v>38321</v>
      </c>
      <c r="I548" s="785">
        <f>IF(MOD(H548+$B548,5)=0,$B548,0)+$B548+H548</f>
        <v>48663</v>
      </c>
      <c r="J548" s="911">
        <v>1763</v>
      </c>
      <c r="K548" s="785">
        <v>2797</v>
      </c>
      <c r="L548" s="785">
        <v>3832</v>
      </c>
      <c r="M548" s="785">
        <v>4866</v>
      </c>
      <c r="N548" s="23" t="str">
        <f>D548&amp;FIXED(MOD(F548,10),0)</f>
        <v>hh17</v>
      </c>
      <c r="O548" s="78" t="str">
        <f>MID(A$5,((FIND(N548,A$4,1)-1)+1),4)</f>
        <v>de7b</v>
      </c>
      <c r="P548" s="76" t="s">
        <v>0</v>
      </c>
      <c r="Q548" s="219" t="s">
        <v>0</v>
      </c>
      <c r="R548" s="103" t="s">
        <v>0</v>
      </c>
      <c r="S548" s="103" t="s">
        <v>0</v>
      </c>
      <c r="T548" s="42" t="s">
        <v>1</v>
      </c>
    </row>
    <row r="549" spans="1:20" ht="12.75">
      <c r="A549" s="44">
        <v>5179</v>
      </c>
      <c r="B549" s="886">
        <v>10358</v>
      </c>
      <c r="C549" s="886">
        <v>26822041</v>
      </c>
      <c r="D549" s="950" t="s">
        <v>2506</v>
      </c>
      <c r="E549" s="115">
        <f>B549-MOD(E$1-A549*3,B549)</f>
        <v>6747</v>
      </c>
      <c r="F549" s="644">
        <f>IF(MOD(E549,5)=0,B549,0)+E549</f>
        <v>6747</v>
      </c>
      <c r="G549" s="785">
        <f>IF(MOD(F549+$B549,5)=0,$B549,0)+$B549+F549</f>
        <v>27463</v>
      </c>
      <c r="H549" s="785">
        <f>IF(MOD(G549+$B549,5)=0,$B549,0)+$B549+G549</f>
        <v>37821</v>
      </c>
      <c r="I549" s="785">
        <f>IF(MOD(H549+$B549,5)=0,$B549,0)+$B549+H549</f>
        <v>48179</v>
      </c>
      <c r="J549" s="911">
        <v>674</v>
      </c>
      <c r="K549" s="785">
        <v>2746</v>
      </c>
      <c r="L549" s="785">
        <v>3782</v>
      </c>
      <c r="M549" s="785">
        <v>4817</v>
      </c>
      <c r="N549" s="23" t="str">
        <f>D549&amp;FIXED(MOD(F549,10),0)</f>
        <v>hh97</v>
      </c>
      <c r="O549" s="78" t="str">
        <f>MID(A$5,((FIND(N549,A$4,1)-1)+1),4)</f>
        <v>db7e</v>
      </c>
      <c r="P549" s="76" t="s">
        <v>0</v>
      </c>
      <c r="Q549" s="219" t="s">
        <v>0</v>
      </c>
      <c r="R549" s="103" t="s">
        <v>0</v>
      </c>
      <c r="S549" s="103" t="s">
        <v>0</v>
      </c>
      <c r="T549" s="42" t="s">
        <v>1</v>
      </c>
    </row>
    <row r="550" spans="1:20" ht="12.75">
      <c r="A550" s="44">
        <v>5189</v>
      </c>
      <c r="B550" s="886">
        <v>10378</v>
      </c>
      <c r="C550" s="886">
        <v>26925721</v>
      </c>
      <c r="D550" s="950" t="s">
        <v>2506</v>
      </c>
      <c r="E550" s="115">
        <f>B550-MOD(E$1-A550*3,B550)</f>
        <v>3367</v>
      </c>
      <c r="F550" s="644">
        <f>IF(MOD(E550,5)=0,B550,0)+E550</f>
        <v>3367</v>
      </c>
      <c r="G550" s="785">
        <f>IF(MOD(F550+$B550,5)=0,$B550,0)+$B550+F550</f>
        <v>24123</v>
      </c>
      <c r="H550" s="785">
        <f>IF(MOD(G550+$B550,5)=0,$B550,0)+$B550+G550</f>
        <v>34501</v>
      </c>
      <c r="I550" s="785">
        <f>IF(MOD(H550+$B550,5)=0,$B550,0)+$B550+H550</f>
        <v>44879</v>
      </c>
      <c r="J550" s="911">
        <v>336</v>
      </c>
      <c r="K550" s="785">
        <v>2412</v>
      </c>
      <c r="L550" s="785">
        <v>3450</v>
      </c>
      <c r="M550" s="785">
        <v>4487</v>
      </c>
      <c r="N550" s="23" t="str">
        <f>D550&amp;FIXED(MOD(F550,10),0)</f>
        <v>hh97</v>
      </c>
      <c r="O550" s="78" t="str">
        <f>MID(A$5,((FIND(N550,A$4,1)-1)+1),4)</f>
        <v>db7e</v>
      </c>
      <c r="P550" s="76" t="s">
        <v>0</v>
      </c>
      <c r="Q550" s="219" t="s">
        <v>0</v>
      </c>
      <c r="R550" s="103" t="s">
        <v>0</v>
      </c>
      <c r="S550" s="103" t="s">
        <v>0</v>
      </c>
      <c r="T550" s="42" t="s">
        <v>1</v>
      </c>
    </row>
    <row r="551" spans="1:20" ht="12.75">
      <c r="A551" s="44">
        <v>5197</v>
      </c>
      <c r="B551" s="886">
        <v>10394</v>
      </c>
      <c r="C551" s="886">
        <v>27008809</v>
      </c>
      <c r="D551" s="950" t="s">
        <v>2501</v>
      </c>
      <c r="E551" s="115">
        <f>B551-MOD(E$1-A551*3,B551)</f>
        <v>4233</v>
      </c>
      <c r="F551" s="644">
        <f>IF(MOD(E551,5)=0,B551,0)+E551</f>
        <v>4233</v>
      </c>
      <c r="G551" s="785">
        <f>IF(MOD(F551+$B551,5)=0,$B551,0)+$B551+F551</f>
        <v>14627</v>
      </c>
      <c r="H551" s="785">
        <f>IF(MOD(G551+$B551,5)=0,$B551,0)+$B551+G551</f>
        <v>25021</v>
      </c>
      <c r="I551" s="785">
        <f>IF(MOD(H551+$B551,5)=0,$B551,0)+$B551+H551</f>
        <v>45809</v>
      </c>
      <c r="J551" s="911">
        <v>423</v>
      </c>
      <c r="K551" s="785">
        <v>1462</v>
      </c>
      <c r="L551" s="785">
        <v>2502</v>
      </c>
      <c r="M551" s="785">
        <v>4580</v>
      </c>
      <c r="N551" s="23" t="str">
        <f>D551&amp;FIXED(MOD(F551,10),0)</f>
        <v>hh73</v>
      </c>
      <c r="O551" s="78" t="str">
        <f>MID(A$5,((FIND(N551,A$4,1)-1)+1),4)</f>
        <v>bd7e</v>
      </c>
      <c r="P551" s="76" t="s">
        <v>0</v>
      </c>
      <c r="Q551" s="219" t="s">
        <v>0</v>
      </c>
      <c r="R551" s="103" t="s">
        <v>0</v>
      </c>
      <c r="S551" s="103" t="s">
        <v>0</v>
      </c>
      <c r="T551" s="42" t="s">
        <v>1</v>
      </c>
    </row>
    <row r="552" spans="1:20" ht="12.75">
      <c r="A552" s="44">
        <v>5209</v>
      </c>
      <c r="B552" s="886">
        <v>10418</v>
      </c>
      <c r="C552" s="886">
        <v>27133681</v>
      </c>
      <c r="D552" s="950" t="s">
        <v>2506</v>
      </c>
      <c r="E552" s="115">
        <f>B552-MOD(E$1-A552*3,B552)</f>
        <v>5919</v>
      </c>
      <c r="F552" s="644">
        <f>IF(MOD(E552,5)=0,B552,0)+E552</f>
        <v>5919</v>
      </c>
      <c r="G552" s="785">
        <f>IF(MOD(F552+$B552,5)=0,$B552,0)+$B552+F552</f>
        <v>16337</v>
      </c>
      <c r="H552" s="785">
        <f>IF(MOD(G552+$B552,5)=0,$B552,0)+$B552+G552</f>
        <v>37173</v>
      </c>
      <c r="I552" s="785">
        <f>IF(MOD(H552+$B552,5)=0,$B552,0)+$B552+H552</f>
        <v>47591</v>
      </c>
      <c r="J552" s="911">
        <v>591</v>
      </c>
      <c r="K552" s="785">
        <v>1633</v>
      </c>
      <c r="L552" s="785">
        <v>3717</v>
      </c>
      <c r="M552" s="785">
        <v>4759</v>
      </c>
      <c r="N552" s="23" t="str">
        <f>D552&amp;FIXED(MOD(F552,10),0)</f>
        <v>hh99</v>
      </c>
      <c r="O552" s="78" t="str">
        <f>MID(A$5,((FIND(N552,A$4,1)-1)+1),4)</f>
        <v>edb7</v>
      </c>
      <c r="P552" s="76" t="s">
        <v>0</v>
      </c>
      <c r="Q552" s="219" t="s">
        <v>0</v>
      </c>
      <c r="R552" s="103" t="s">
        <v>0</v>
      </c>
      <c r="S552" s="103" t="s">
        <v>0</v>
      </c>
      <c r="T552" s="42" t="s">
        <v>1</v>
      </c>
    </row>
    <row r="553" spans="1:20" ht="12.75">
      <c r="A553" s="44">
        <v>5227</v>
      </c>
      <c r="B553" s="886">
        <v>10454</v>
      </c>
      <c r="C553" s="886">
        <v>27321529</v>
      </c>
      <c r="D553" s="950" t="s">
        <v>2501</v>
      </c>
      <c r="E553" s="115">
        <f>B553-MOD(E$1-A553*3,B553)</f>
        <v>9233</v>
      </c>
      <c r="F553" s="644">
        <f>IF(MOD(E553,5)=0,B553,0)+E553</f>
        <v>9233</v>
      </c>
      <c r="G553" s="785">
        <f>IF(MOD(F553+$B553,5)=0,$B553,0)+$B553+F553</f>
        <v>19687</v>
      </c>
      <c r="H553" s="785">
        <f>IF(MOD(G553+$B553,5)=0,$B553,0)+$B553+G553</f>
        <v>30141</v>
      </c>
      <c r="I553" s="785">
        <f>IF(MOD(H553+$B553,5)=0,$B553,0)+$B553+H553</f>
        <v>51049</v>
      </c>
      <c r="J553" s="911">
        <v>923</v>
      </c>
      <c r="K553" s="785">
        <v>1968</v>
      </c>
      <c r="L553" s="785">
        <v>3014</v>
      </c>
      <c r="M553" s="785">
        <v>5104</v>
      </c>
      <c r="N553" s="23" t="str">
        <f>D553&amp;FIXED(MOD(F553,10),0)</f>
        <v>hh73</v>
      </c>
      <c r="O553" s="78" t="str">
        <f>MID(A$5,((FIND(N553,A$4,1)-1)+1),4)</f>
        <v>bd7e</v>
      </c>
      <c r="P553" s="76" t="s">
        <v>0</v>
      </c>
      <c r="Q553" s="219" t="s">
        <v>0</v>
      </c>
      <c r="R553" s="103" t="s">
        <v>0</v>
      </c>
      <c r="S553" s="103" t="s">
        <v>0</v>
      </c>
      <c r="T553" s="42" t="s">
        <v>1</v>
      </c>
    </row>
    <row r="554" spans="1:20" ht="12.75">
      <c r="A554" s="44">
        <v>5231</v>
      </c>
      <c r="B554" s="886">
        <v>10462</v>
      </c>
      <c r="C554" s="886">
        <v>27363361</v>
      </c>
      <c r="D554" s="950" t="s">
        <v>2490</v>
      </c>
      <c r="E554" s="115">
        <f>B554-MOD(E$1-A554*3,B554)</f>
        <v>1059</v>
      </c>
      <c r="F554" s="644">
        <f>IF(MOD(E554,5)=0,B554,0)+E554</f>
        <v>1059</v>
      </c>
      <c r="G554" s="785">
        <f>IF(MOD(F554+$B554,5)=0,$B554,0)+$B554+F554</f>
        <v>11521</v>
      </c>
      <c r="H554" s="785">
        <f>IF(MOD(G554+$B554,5)=0,$B554,0)+$B554+G554</f>
        <v>21983</v>
      </c>
      <c r="I554" s="785">
        <f>IF(MOD(H554+$B554,5)=0,$B554,0)+$B554+H554</f>
        <v>42907</v>
      </c>
      <c r="J554" s="911">
        <v>105</v>
      </c>
      <c r="K554" s="785">
        <v>1152</v>
      </c>
      <c r="L554" s="785">
        <v>2198</v>
      </c>
      <c r="M554" s="785">
        <v>4290</v>
      </c>
      <c r="N554" s="23" t="str">
        <f>D554&amp;FIXED(MOD(F554,10),0)</f>
        <v>hh19</v>
      </c>
      <c r="O554" s="78" t="str">
        <f>MID(A$5,((FIND(N554,A$4,1)-1)+1),4)</f>
        <v>e7bd</v>
      </c>
      <c r="P554" s="76" t="s">
        <v>0</v>
      </c>
      <c r="Q554" s="219" t="s">
        <v>0</v>
      </c>
      <c r="R554" s="103" t="s">
        <v>0</v>
      </c>
      <c r="S554" s="103" t="s">
        <v>0</v>
      </c>
      <c r="T554" s="42" t="s">
        <v>1</v>
      </c>
    </row>
    <row r="555" spans="1:20" ht="12.75">
      <c r="A555" s="44">
        <v>5233</v>
      </c>
      <c r="B555" s="886">
        <v>10466</v>
      </c>
      <c r="C555" s="886">
        <v>27384289</v>
      </c>
      <c r="D555" s="950" t="s">
        <v>2496</v>
      </c>
      <c r="E555" s="115">
        <f>B555-MOD(E$1-A555*3,B555)</f>
        <v>1085</v>
      </c>
      <c r="F555" s="644">
        <f>IF(MOD(E555,5)=0,B555,0)+E555</f>
        <v>11551</v>
      </c>
      <c r="G555" s="785">
        <f>IF(MOD(F555+$B555,5)=0,$B555,0)+$B555+F555</f>
        <v>22017</v>
      </c>
      <c r="H555" s="785">
        <f>IF(MOD(G555+$B555,5)=0,$B555,0)+$B555+G555</f>
        <v>32483</v>
      </c>
      <c r="I555" s="785">
        <f>IF(MOD(H555+$B555,5)=0,$B555,0)+$B555+H555</f>
        <v>42949</v>
      </c>
      <c r="J555" s="911">
        <v>1155</v>
      </c>
      <c r="K555" s="785">
        <v>2201</v>
      </c>
      <c r="L555" s="785">
        <v>3248</v>
      </c>
      <c r="M555" s="785">
        <v>4294</v>
      </c>
      <c r="N555" s="23" t="str">
        <f>D555&amp;FIXED(MOD(F555,10),0)</f>
        <v>hh31</v>
      </c>
      <c r="O555" s="78" t="str">
        <f>MID(A$5,((FIND(N555,A$4,1)-1)+1),4)</f>
        <v>7dbe</v>
      </c>
      <c r="P555" s="76" t="s">
        <v>0</v>
      </c>
      <c r="Q555" s="219" t="s">
        <v>0</v>
      </c>
      <c r="R555" s="103" t="s">
        <v>0</v>
      </c>
      <c r="S555" s="103" t="s">
        <v>0</v>
      </c>
      <c r="T555" s="42" t="s">
        <v>1</v>
      </c>
    </row>
    <row r="556" spans="1:20" ht="12.75">
      <c r="A556" s="44">
        <v>5237</v>
      </c>
      <c r="B556" s="886">
        <v>10474</v>
      </c>
      <c r="C556" s="886">
        <v>27426169</v>
      </c>
      <c r="D556" s="950" t="s">
        <v>2501</v>
      </c>
      <c r="E556" s="115">
        <f>B556-MOD(E$1-A556*3,B556)</f>
        <v>10383</v>
      </c>
      <c r="F556" s="644">
        <f>IF(MOD(E556,5)=0,B556,0)+E556</f>
        <v>10383</v>
      </c>
      <c r="G556" s="785">
        <f>IF(MOD(F556+$B556,5)=0,$B556,0)+$B556+F556</f>
        <v>20857</v>
      </c>
      <c r="H556" s="785">
        <f>IF(MOD(G556+$B556,5)=0,$B556,0)+$B556+G556</f>
        <v>31331</v>
      </c>
      <c r="I556" s="785">
        <f>IF(MOD(H556+$B556,5)=0,$B556,0)+$B556+H556</f>
        <v>52279</v>
      </c>
      <c r="J556" s="911">
        <v>1038</v>
      </c>
      <c r="K556" s="785">
        <v>2085</v>
      </c>
      <c r="L556" s="785">
        <v>3133</v>
      </c>
      <c r="M556" s="785">
        <v>5227</v>
      </c>
      <c r="N556" s="23" t="str">
        <f>D556&amp;FIXED(MOD(F556,10),0)</f>
        <v>hh73</v>
      </c>
      <c r="O556" s="78" t="str">
        <f>MID(A$5,((FIND(N556,A$4,1)-1)+1),4)</f>
        <v>bd7e</v>
      </c>
      <c r="P556" s="76" t="s">
        <v>0</v>
      </c>
      <c r="Q556" s="219" t="s">
        <v>0</v>
      </c>
      <c r="R556" s="103" t="s">
        <v>0</v>
      </c>
      <c r="S556" s="103" t="s">
        <v>0</v>
      </c>
      <c r="T556" s="42" t="s">
        <v>1</v>
      </c>
    </row>
    <row r="557" spans="1:20" ht="12.75">
      <c r="A557" s="44">
        <v>5261</v>
      </c>
      <c r="B557" s="886">
        <v>10522</v>
      </c>
      <c r="C557" s="886">
        <v>27678121</v>
      </c>
      <c r="D557" s="950" t="s">
        <v>2490</v>
      </c>
      <c r="E557" s="115">
        <f>B557-MOD(E$1-A557*3,B557)</f>
        <v>381</v>
      </c>
      <c r="F557" s="644">
        <f>IF(MOD(E557,5)=0,B557,0)+E557</f>
        <v>381</v>
      </c>
      <c r="G557" s="785">
        <f>IF(MOD(F557+$B557,5)=0,$B557,0)+$B557+F557</f>
        <v>10903</v>
      </c>
      <c r="H557" s="785">
        <f>IF(MOD(G557+$B557,5)=0,$B557,0)+$B557+G557</f>
        <v>31947</v>
      </c>
      <c r="I557" s="785">
        <f>IF(MOD(H557+$B557,5)=0,$B557,0)+$B557+H557</f>
        <v>42469</v>
      </c>
      <c r="J557" s="911">
        <v>38</v>
      </c>
      <c r="K557" s="785">
        <v>1090</v>
      </c>
      <c r="L557" s="785">
        <v>3194</v>
      </c>
      <c r="M557" s="785">
        <v>4246</v>
      </c>
      <c r="N557" s="23" t="str">
        <f>D557&amp;FIXED(MOD(F557,10),0)</f>
        <v>hh11</v>
      </c>
      <c r="O557" s="78" t="str">
        <f>MID(A$5,((FIND(N557,A$4,1)-1)+1),4)</f>
        <v>7bde</v>
      </c>
      <c r="P557" s="76" t="s">
        <v>0</v>
      </c>
      <c r="Q557" s="219" t="s">
        <v>0</v>
      </c>
      <c r="R557" s="103" t="s">
        <v>0</v>
      </c>
      <c r="S557" s="103" t="s">
        <v>0</v>
      </c>
      <c r="T557" s="42" t="s">
        <v>1</v>
      </c>
    </row>
    <row r="558" spans="1:20" ht="12.75">
      <c r="A558" s="44">
        <v>5273</v>
      </c>
      <c r="B558" s="886">
        <v>10546</v>
      </c>
      <c r="C558" s="886">
        <v>27804529</v>
      </c>
      <c r="D558" s="950" t="s">
        <v>2496</v>
      </c>
      <c r="E558" s="115">
        <f>B558-MOD(E$1-A558*3,B558)</f>
        <v>9455</v>
      </c>
      <c r="F558" s="644">
        <f>IF(MOD(E558,5)=0,B558,0)+E558</f>
        <v>20001</v>
      </c>
      <c r="G558" s="785">
        <f>IF(MOD(F558+$B558,5)=0,$B558,0)+$B558+F558</f>
        <v>30547</v>
      </c>
      <c r="H558" s="785">
        <f>IF(MOD(G558+$B558,5)=0,$B558,0)+$B558+G558</f>
        <v>41093</v>
      </c>
      <c r="I558" s="785">
        <f>IF(MOD(H558+$B558,5)=0,$B558,0)+$B558+H558</f>
        <v>51639</v>
      </c>
      <c r="J558" s="911">
        <v>2000</v>
      </c>
      <c r="K558" s="785">
        <v>3054</v>
      </c>
      <c r="L558" s="785">
        <v>4109</v>
      </c>
      <c r="M558" s="785">
        <v>5163</v>
      </c>
      <c r="N558" s="23" t="str">
        <f>D558&amp;FIXED(MOD(F558,10),0)</f>
        <v>hh31</v>
      </c>
      <c r="O558" s="78" t="str">
        <f>MID(A$5,((FIND(N558,A$4,1)-1)+1),4)</f>
        <v>7dbe</v>
      </c>
      <c r="P558" s="76" t="s">
        <v>0</v>
      </c>
      <c r="Q558" s="219" t="s">
        <v>0</v>
      </c>
      <c r="R558" s="103" t="s">
        <v>0</v>
      </c>
      <c r="S558" s="103" t="s">
        <v>0</v>
      </c>
      <c r="T558" s="42" t="s">
        <v>1</v>
      </c>
    </row>
    <row r="559" spans="1:20" ht="12.75">
      <c r="A559" s="44">
        <v>5279</v>
      </c>
      <c r="B559" s="886">
        <v>10558</v>
      </c>
      <c r="C559" s="886">
        <v>27867841</v>
      </c>
      <c r="D559" s="950" t="s">
        <v>2506</v>
      </c>
      <c r="E559" s="115">
        <f>B559-MOD(E$1-A559*3,B559)</f>
        <v>599</v>
      </c>
      <c r="F559" s="644">
        <f>IF(MOD(E559,5)=0,B559,0)+E559</f>
        <v>599</v>
      </c>
      <c r="G559" s="785">
        <f>IF(MOD(F559+$B559,5)=0,$B559,0)+$B559+F559</f>
        <v>11157</v>
      </c>
      <c r="H559" s="785">
        <f>IF(MOD(G559+$B559,5)=0,$B559,0)+$B559+G559</f>
        <v>32273</v>
      </c>
      <c r="I559" s="785">
        <f>IF(MOD(H559+$B559,5)=0,$B559,0)+$B559+H559</f>
        <v>42831</v>
      </c>
      <c r="J559" s="911">
        <v>59</v>
      </c>
      <c r="K559" s="785">
        <v>1115</v>
      </c>
      <c r="L559" s="785">
        <v>3227</v>
      </c>
      <c r="M559" s="785">
        <v>4283</v>
      </c>
      <c r="N559" s="23" t="str">
        <f>D559&amp;FIXED(MOD(F559,10),0)</f>
        <v>hh99</v>
      </c>
      <c r="O559" s="78" t="str">
        <f>MID(A$5,((FIND(N559,A$4,1)-1)+1),4)</f>
        <v>edb7</v>
      </c>
      <c r="P559" s="76" t="s">
        <v>0</v>
      </c>
      <c r="Q559" s="219" t="s">
        <v>0</v>
      </c>
      <c r="R559" s="103" t="s">
        <v>0</v>
      </c>
      <c r="S559" s="103" t="s">
        <v>0</v>
      </c>
      <c r="T559" s="42" t="s">
        <v>1</v>
      </c>
    </row>
    <row r="560" spans="1:20" ht="12.75">
      <c r="A560" s="44">
        <v>5281</v>
      </c>
      <c r="B560" s="886">
        <v>10562</v>
      </c>
      <c r="C560" s="886">
        <v>27888961</v>
      </c>
      <c r="D560" s="950" t="s">
        <v>2490</v>
      </c>
      <c r="E560" s="115">
        <f>B560-MOD(E$1-A560*3,B560)</f>
        <v>2049</v>
      </c>
      <c r="F560" s="644">
        <f>IF(MOD(E560,5)=0,B560,0)+E560</f>
        <v>2049</v>
      </c>
      <c r="G560" s="785">
        <f>IF(MOD(F560+$B560,5)=0,$B560,0)+$B560+F560</f>
        <v>12611</v>
      </c>
      <c r="H560" s="785">
        <f>IF(MOD(G560+$B560,5)=0,$B560,0)+$B560+G560</f>
        <v>23173</v>
      </c>
      <c r="I560" s="785">
        <f>IF(MOD(H560+$B560,5)=0,$B560,0)+$B560+H560</f>
        <v>44297</v>
      </c>
      <c r="J560" s="911">
        <v>204</v>
      </c>
      <c r="K560" s="785">
        <v>1261</v>
      </c>
      <c r="L560" s="785">
        <v>2317</v>
      </c>
      <c r="M560" s="785">
        <v>4429</v>
      </c>
      <c r="N560" s="23" t="str">
        <f>D560&amp;FIXED(MOD(F560,10),0)</f>
        <v>hh19</v>
      </c>
      <c r="O560" s="78" t="str">
        <f>MID(A$5,((FIND(N560,A$4,1)-1)+1),4)</f>
        <v>e7bd</v>
      </c>
      <c r="P560" s="76" t="s">
        <v>0</v>
      </c>
      <c r="Q560" s="219" t="s">
        <v>0</v>
      </c>
      <c r="R560" s="103" t="s">
        <v>0</v>
      </c>
      <c r="S560" s="103" t="s">
        <v>0</v>
      </c>
      <c r="T560" s="42" t="s">
        <v>1</v>
      </c>
    </row>
    <row r="561" spans="1:20" ht="12.75">
      <c r="A561" s="44">
        <v>5297</v>
      </c>
      <c r="B561" s="886">
        <v>10594</v>
      </c>
      <c r="C561" s="886">
        <v>28058209</v>
      </c>
      <c r="D561" s="950" t="s">
        <v>2501</v>
      </c>
      <c r="E561" s="115">
        <f>B561-MOD(E$1-A561*3,B561)</f>
        <v>4863</v>
      </c>
      <c r="F561" s="644">
        <f>IF(MOD(E561,5)=0,B561,0)+E561</f>
        <v>4863</v>
      </c>
      <c r="G561" s="785">
        <f>IF(MOD(F561+$B561,5)=0,$B561,0)+$B561+F561</f>
        <v>15457</v>
      </c>
      <c r="H561" s="785">
        <f>IF(MOD(G561+$B561,5)=0,$B561,0)+$B561+G561</f>
        <v>26051</v>
      </c>
      <c r="I561" s="785">
        <f>IF(MOD(H561+$B561,5)=0,$B561,0)+$B561+H561</f>
        <v>47239</v>
      </c>
      <c r="J561" s="911">
        <v>486</v>
      </c>
      <c r="K561" s="785">
        <v>1545</v>
      </c>
      <c r="L561" s="785">
        <v>2605</v>
      </c>
      <c r="M561" s="785">
        <v>4723</v>
      </c>
      <c r="N561" s="23" t="str">
        <f>D561&amp;FIXED(MOD(F561,10),0)</f>
        <v>hh73</v>
      </c>
      <c r="O561" s="78" t="str">
        <f>MID(A$5,((FIND(N561,A$4,1)-1)+1),4)</f>
        <v>bd7e</v>
      </c>
      <c r="P561" s="76" t="s">
        <v>0</v>
      </c>
      <c r="Q561" s="219" t="s">
        <v>0</v>
      </c>
      <c r="R561" s="103" t="s">
        <v>0</v>
      </c>
      <c r="S561" s="103" t="s">
        <v>0</v>
      </c>
      <c r="T561" s="42" t="s">
        <v>1</v>
      </c>
    </row>
    <row r="562" spans="1:20" ht="12.75">
      <c r="A562" s="44">
        <v>5303</v>
      </c>
      <c r="B562" s="886">
        <v>10606</v>
      </c>
      <c r="C562" s="886">
        <v>28121809</v>
      </c>
      <c r="D562" s="950" t="s">
        <v>2496</v>
      </c>
      <c r="E562" s="115">
        <f>B562-MOD(E$1-A562*3,B562)</f>
        <v>5879</v>
      </c>
      <c r="F562" s="644">
        <f>IF(MOD(E562,5)=0,B562,0)+E562</f>
        <v>5879</v>
      </c>
      <c r="G562" s="785">
        <f>IF(MOD(F562+$B562,5)=0,$B562,0)+$B562+F562</f>
        <v>27091</v>
      </c>
      <c r="H562" s="785">
        <f>IF(MOD(G562+$B562,5)=0,$B562,0)+$B562+G562</f>
        <v>37697</v>
      </c>
      <c r="I562" s="785">
        <f>IF(MOD(H562+$B562,5)=0,$B562,0)+$B562+H562</f>
        <v>48303</v>
      </c>
      <c r="J562" s="911">
        <v>587</v>
      </c>
      <c r="K562" s="785">
        <v>2709</v>
      </c>
      <c r="L562" s="785">
        <v>3769</v>
      </c>
      <c r="M562" s="785">
        <v>4830</v>
      </c>
      <c r="N562" s="23" t="str">
        <f>D562&amp;FIXED(MOD(F562,10),0)</f>
        <v>hh39</v>
      </c>
      <c r="O562" s="78" t="str">
        <f>MID(A$5,((FIND(N562,A$4,1)-1)+1),4)</f>
        <v>e7db</v>
      </c>
      <c r="P562" s="76" t="s">
        <v>0</v>
      </c>
      <c r="Q562" s="219" t="s">
        <v>0</v>
      </c>
      <c r="R562" s="103" t="s">
        <v>0</v>
      </c>
      <c r="S562" s="103" t="s">
        <v>0</v>
      </c>
      <c r="T562" s="42" t="s">
        <v>1</v>
      </c>
    </row>
    <row r="563" spans="1:20" ht="12.75">
      <c r="A563" s="44">
        <v>5309</v>
      </c>
      <c r="B563" s="886">
        <v>10618</v>
      </c>
      <c r="C563" s="886">
        <v>28185481</v>
      </c>
      <c r="D563" s="950" t="s">
        <v>2506</v>
      </c>
      <c r="E563" s="115">
        <f>B563-MOD(E$1-A563*3,B563)</f>
        <v>1255</v>
      </c>
      <c r="F563" s="644">
        <f>IF(MOD(E563,5)=0,B563,0)+E563</f>
        <v>11873</v>
      </c>
      <c r="G563" s="785">
        <f>IF(MOD(F563+$B563,5)=0,$B563,0)+$B563+F563</f>
        <v>22491</v>
      </c>
      <c r="H563" s="785">
        <f>IF(MOD(G563+$B563,5)=0,$B563,0)+$B563+G563</f>
        <v>33109</v>
      </c>
      <c r="I563" s="785">
        <f>IF(MOD(H563+$B563,5)=0,$B563,0)+$B563+H563</f>
        <v>43727</v>
      </c>
      <c r="J563" s="911">
        <v>1187</v>
      </c>
      <c r="K563" s="785">
        <v>2249</v>
      </c>
      <c r="L563" s="785">
        <v>3310</v>
      </c>
      <c r="M563" s="785">
        <v>4372</v>
      </c>
      <c r="N563" s="23" t="str">
        <f>D563&amp;FIXED(MOD(F563,10),0)</f>
        <v>hh93</v>
      </c>
      <c r="O563" s="78" t="str">
        <f>MID(A$5,((FIND(N563,A$4,1)-1)+1),4)</f>
        <v>b7ed</v>
      </c>
      <c r="P563" s="76" t="s">
        <v>0</v>
      </c>
      <c r="Q563" s="219" t="s">
        <v>0</v>
      </c>
      <c r="R563" s="103" t="s">
        <v>0</v>
      </c>
      <c r="S563" s="103" t="s">
        <v>0</v>
      </c>
      <c r="T563" s="42" t="s">
        <v>1</v>
      </c>
    </row>
    <row r="564" spans="1:20" ht="12.75">
      <c r="A564" s="44">
        <v>5323</v>
      </c>
      <c r="B564" s="886">
        <v>10646</v>
      </c>
      <c r="C564" s="886">
        <v>28334329</v>
      </c>
      <c r="D564" s="950" t="s">
        <v>2496</v>
      </c>
      <c r="E564" s="115">
        <f>B564-MOD(E$1-A564*3,B564)</f>
        <v>1201</v>
      </c>
      <c r="F564" s="644">
        <f>IF(MOD(E564,5)=0,B564,0)+E564</f>
        <v>1201</v>
      </c>
      <c r="G564" s="785">
        <f>IF(MOD(F564+$B564,5)=0,$B564,0)+$B564+F564</f>
        <v>11847</v>
      </c>
      <c r="H564" s="785">
        <f>IF(MOD(G564+$B564,5)=0,$B564,0)+$B564+G564</f>
        <v>22493</v>
      </c>
      <c r="I564" s="785">
        <f>IF(MOD(H564+$B564,5)=0,$B564,0)+$B564+H564</f>
        <v>33139</v>
      </c>
      <c r="J564" s="911">
        <v>120</v>
      </c>
      <c r="K564" s="785">
        <v>1184</v>
      </c>
      <c r="L564" s="785">
        <v>2249</v>
      </c>
      <c r="M564" s="785">
        <v>3313</v>
      </c>
      <c r="N564" s="23" t="str">
        <f>D564&amp;FIXED(MOD(F564,10),0)</f>
        <v>hh31</v>
      </c>
      <c r="O564" s="78" t="str">
        <f>MID(A$5,((FIND(N564,A$4,1)-1)+1),4)</f>
        <v>7dbe</v>
      </c>
      <c r="P564" s="76" t="s">
        <v>0</v>
      </c>
      <c r="Q564" s="219" t="s">
        <v>0</v>
      </c>
      <c r="R564" s="103" t="s">
        <v>0</v>
      </c>
      <c r="S564" s="103" t="s">
        <v>0</v>
      </c>
      <c r="T564" s="42" t="s">
        <v>1</v>
      </c>
    </row>
    <row r="565" spans="1:20" ht="12.75">
      <c r="A565" s="44">
        <v>5333</v>
      </c>
      <c r="B565" s="886">
        <v>10666</v>
      </c>
      <c r="C565" s="886">
        <v>28440889</v>
      </c>
      <c r="D565" s="950" t="s">
        <v>2496</v>
      </c>
      <c r="E565" s="115">
        <f>B565-MOD(E$1-A565*3,B565)</f>
        <v>8707</v>
      </c>
      <c r="F565" s="644">
        <f>IF(MOD(E565,5)=0,B565,0)+E565</f>
        <v>8707</v>
      </c>
      <c r="G565" s="785">
        <f>IF(MOD(F565+$B565,5)=0,$B565,0)+$B565+F565</f>
        <v>19373</v>
      </c>
      <c r="H565" s="785">
        <f>IF(MOD(G565+$B565,5)=0,$B565,0)+$B565+G565</f>
        <v>30039</v>
      </c>
      <c r="I565" s="785">
        <f>IF(MOD(H565+$B565,5)=0,$B565,0)+$B565+H565</f>
        <v>51371</v>
      </c>
      <c r="J565" s="911">
        <v>870</v>
      </c>
      <c r="K565" s="785">
        <v>1937</v>
      </c>
      <c r="L565" s="785">
        <v>3003</v>
      </c>
      <c r="M565" s="785">
        <v>5137</v>
      </c>
      <c r="N565" s="23" t="str">
        <f>D565&amp;FIXED(MOD(F565,10),0)</f>
        <v>hh37</v>
      </c>
      <c r="O565" s="78" t="str">
        <f>MID(A$5,((FIND(N565,A$4,1)-1)+1),4)</f>
        <v>dbe7</v>
      </c>
      <c r="P565" s="76" t="s">
        <v>0</v>
      </c>
      <c r="Q565" s="219" t="s">
        <v>0</v>
      </c>
      <c r="R565" s="103" t="s">
        <v>0</v>
      </c>
      <c r="S565" s="103" t="s">
        <v>0</v>
      </c>
      <c r="T565" s="42" t="s">
        <v>1</v>
      </c>
    </row>
    <row r="566" spans="1:20" ht="12.75">
      <c r="A566" s="44">
        <v>5347</v>
      </c>
      <c r="B566" s="886">
        <v>10694</v>
      </c>
      <c r="C566" s="886">
        <v>28590409</v>
      </c>
      <c r="D566" s="950" t="s">
        <v>2501</v>
      </c>
      <c r="E566" s="115">
        <f>B566-MOD(E$1-A566*3,B566)</f>
        <v>7857</v>
      </c>
      <c r="F566" s="644">
        <f>IF(MOD(E566,5)=0,B566,0)+E566</f>
        <v>7857</v>
      </c>
      <c r="G566" s="785">
        <f>IF(MOD(F566+$B566,5)=0,$B566,0)+$B566+F566</f>
        <v>18551</v>
      </c>
      <c r="H566" s="785">
        <f>IF(MOD(G566+$B566,5)=0,$B566,0)+$B566+G566</f>
        <v>39939</v>
      </c>
      <c r="I566" s="785">
        <f>IF(MOD(H566+$B566,5)=0,$B566,0)+$B566+H566</f>
        <v>50633</v>
      </c>
      <c r="J566" s="911">
        <v>785</v>
      </c>
      <c r="K566" s="785">
        <v>1855</v>
      </c>
      <c r="L566" s="785">
        <v>3993</v>
      </c>
      <c r="M566" s="785">
        <v>5063</v>
      </c>
      <c r="N566" s="23" t="str">
        <f>D566&amp;FIXED(MOD(F566,10),0)</f>
        <v>hh77</v>
      </c>
      <c r="O566" s="78" t="str">
        <f>MID(A$5,((FIND(N566,A$4,1)-1)+1),4)</f>
        <v>d7eb</v>
      </c>
      <c r="P566" s="76" t="s">
        <v>0</v>
      </c>
      <c r="Q566" s="219" t="s">
        <v>0</v>
      </c>
      <c r="R566" s="103" t="s">
        <v>0</v>
      </c>
      <c r="S566" s="103" t="s">
        <v>0</v>
      </c>
      <c r="T566" s="42" t="s">
        <v>1</v>
      </c>
    </row>
    <row r="567" spans="1:20" ht="12.75">
      <c r="A567" s="44">
        <v>5351</v>
      </c>
      <c r="B567" s="886">
        <v>10702</v>
      </c>
      <c r="C567" s="886">
        <v>28633201</v>
      </c>
      <c r="D567" s="950" t="s">
        <v>2490</v>
      </c>
      <c r="E567" s="115">
        <f>B567-MOD(E$1-A567*3,B567)</f>
        <v>277</v>
      </c>
      <c r="F567" s="644">
        <f>IF(MOD(E567,5)=0,B567,0)+E567</f>
        <v>277</v>
      </c>
      <c r="G567" s="785">
        <f>IF(MOD(F567+$B567,5)=0,$B567,0)+$B567+F567</f>
        <v>10979</v>
      </c>
      <c r="H567" s="785">
        <f>IF(MOD(G567+$B567,5)=0,$B567,0)+$B567+G567</f>
        <v>21681</v>
      </c>
      <c r="I567" s="785">
        <f>IF(MOD(H567+$B567,5)=0,$B567,0)+$B567+H567</f>
        <v>32383</v>
      </c>
      <c r="J567" s="911">
        <v>27</v>
      </c>
      <c r="K567" s="785">
        <v>1097</v>
      </c>
      <c r="L567" s="785">
        <v>2168</v>
      </c>
      <c r="M567" s="785">
        <v>3238</v>
      </c>
      <c r="N567" s="23" t="str">
        <f>D567&amp;FIXED(MOD(F567,10),0)</f>
        <v>hh17</v>
      </c>
      <c r="O567" s="78" t="str">
        <f>MID(A$5,((FIND(N567,A$4,1)-1)+1),4)</f>
        <v>de7b</v>
      </c>
      <c r="P567" s="76" t="s">
        <v>0</v>
      </c>
      <c r="Q567" s="219" t="s">
        <v>0</v>
      </c>
      <c r="R567" s="103" t="s">
        <v>0</v>
      </c>
      <c r="S567" s="103" t="s">
        <v>0</v>
      </c>
      <c r="T567" s="42" t="s">
        <v>1</v>
      </c>
    </row>
    <row r="568" spans="1:20" ht="12.75">
      <c r="A568" s="44">
        <v>5381</v>
      </c>
      <c r="B568" s="886">
        <v>10762</v>
      </c>
      <c r="C568" s="886">
        <v>28955161</v>
      </c>
      <c r="D568" s="950" t="s">
        <v>2490</v>
      </c>
      <c r="E568" s="115">
        <f>B568-MOD(E$1-A568*3,B568)</f>
        <v>4525</v>
      </c>
      <c r="F568" s="644">
        <f>IF(MOD(E568,5)=0,B568,0)+E568</f>
        <v>15287</v>
      </c>
      <c r="G568" s="785">
        <f>IF(MOD(F568+$B568,5)=0,$B568,0)+$B568+F568</f>
        <v>26049</v>
      </c>
      <c r="H568" s="785">
        <f>IF(MOD(G568+$B568,5)=0,$B568,0)+$B568+G568</f>
        <v>36811</v>
      </c>
      <c r="I568" s="785">
        <f>IF(MOD(H568+$B568,5)=0,$B568,0)+$B568+H568</f>
        <v>47573</v>
      </c>
      <c r="J568" s="911">
        <v>1528</v>
      </c>
      <c r="K568" s="785">
        <v>2604</v>
      </c>
      <c r="L568" s="785">
        <v>3681</v>
      </c>
      <c r="M568" s="785">
        <v>4757</v>
      </c>
      <c r="N568" s="23" t="str">
        <f>D568&amp;FIXED(MOD(F568,10),0)</f>
        <v>hh17</v>
      </c>
      <c r="O568" s="78" t="str">
        <f>MID(A$5,((FIND(N568,A$4,1)-1)+1),4)</f>
        <v>de7b</v>
      </c>
      <c r="P568" s="76" t="s">
        <v>0</v>
      </c>
      <c r="Q568" s="219" t="s">
        <v>0</v>
      </c>
      <c r="R568" s="103" t="s">
        <v>0</v>
      </c>
      <c r="S568" s="103" t="s">
        <v>0</v>
      </c>
      <c r="T568" s="42" t="s">
        <v>1</v>
      </c>
    </row>
    <row r="569" spans="1:20" ht="12.75">
      <c r="A569" s="44">
        <v>5387</v>
      </c>
      <c r="B569" s="886">
        <v>10774</v>
      </c>
      <c r="C569" s="886">
        <v>29019769</v>
      </c>
      <c r="D569" s="950" t="s">
        <v>2501</v>
      </c>
      <c r="E569" s="115">
        <f>B569-MOD(E$1-A569*3,B569)</f>
        <v>8913</v>
      </c>
      <c r="F569" s="644">
        <f>IF(MOD(E569,5)=0,B569,0)+E569</f>
        <v>8913</v>
      </c>
      <c r="G569" s="785">
        <f>IF(MOD(F569+$B569,5)=0,$B569,0)+$B569+F569</f>
        <v>19687</v>
      </c>
      <c r="H569" s="785">
        <f>IF(MOD(G569+$B569,5)=0,$B569,0)+$B569+G569</f>
        <v>30461</v>
      </c>
      <c r="I569" s="785">
        <f>IF(MOD(H569+$B569,5)=0,$B569,0)+$B569+H569</f>
        <v>52009</v>
      </c>
      <c r="J569" s="911">
        <v>891</v>
      </c>
      <c r="K569" s="785">
        <v>1968</v>
      </c>
      <c r="L569" s="785">
        <v>3046</v>
      </c>
      <c r="M569" s="785">
        <v>5200</v>
      </c>
      <c r="N569" s="23" t="str">
        <f>D569&amp;FIXED(MOD(F569,10),0)</f>
        <v>hh73</v>
      </c>
      <c r="O569" s="78" t="str">
        <f>MID(A$5,((FIND(N569,A$4,1)-1)+1),4)</f>
        <v>bd7e</v>
      </c>
      <c r="P569" s="76" t="s">
        <v>0</v>
      </c>
      <c r="Q569" s="219" t="s">
        <v>0</v>
      </c>
      <c r="R569" s="103" t="s">
        <v>0</v>
      </c>
      <c r="S569" s="103" t="s">
        <v>0</v>
      </c>
      <c r="T569" s="42" t="s">
        <v>1</v>
      </c>
    </row>
    <row r="570" spans="1:20" ht="12.75">
      <c r="A570" s="44">
        <v>5393</v>
      </c>
      <c r="B570" s="886">
        <v>10786</v>
      </c>
      <c r="C570" s="886">
        <v>29084449</v>
      </c>
      <c r="D570" s="950" t="s">
        <v>2496</v>
      </c>
      <c r="E570" s="115">
        <f>B570-MOD(E$1-A570*3,B570)</f>
        <v>3871</v>
      </c>
      <c r="F570" s="644">
        <f>IF(MOD(E570,5)=0,B570,0)+E570</f>
        <v>3871</v>
      </c>
      <c r="G570" s="785">
        <f>IF(MOD(F570+$B570,5)=0,$B570,0)+$B570+F570</f>
        <v>14657</v>
      </c>
      <c r="H570" s="785">
        <f>IF(MOD(G570+$B570,5)=0,$B570,0)+$B570+G570</f>
        <v>25443</v>
      </c>
      <c r="I570" s="785">
        <f>IF(MOD(H570+$B570,5)=0,$B570,0)+$B570+H570</f>
        <v>36229</v>
      </c>
      <c r="J570" s="911">
        <v>387</v>
      </c>
      <c r="K570" s="785">
        <v>1465</v>
      </c>
      <c r="L570" s="785">
        <v>2544</v>
      </c>
      <c r="M570" s="785">
        <v>3622</v>
      </c>
      <c r="N570" s="23" t="str">
        <f>D570&amp;FIXED(MOD(F570,10),0)</f>
        <v>hh31</v>
      </c>
      <c r="O570" s="78" t="str">
        <f>MID(A$5,((FIND(N570,A$4,1)-1)+1),4)</f>
        <v>7dbe</v>
      </c>
      <c r="P570" s="76" t="s">
        <v>0</v>
      </c>
      <c r="Q570" s="219" t="s">
        <v>0</v>
      </c>
      <c r="R570" s="103" t="s">
        <v>0</v>
      </c>
      <c r="S570" s="103" t="s">
        <v>0</v>
      </c>
      <c r="T570" s="42" t="s">
        <v>1</v>
      </c>
    </row>
    <row r="571" spans="1:20" ht="12.75">
      <c r="A571" s="44">
        <v>5399</v>
      </c>
      <c r="B571" s="886">
        <v>10798</v>
      </c>
      <c r="C571" s="886">
        <v>29149201</v>
      </c>
      <c r="D571" s="950" t="s">
        <v>2506</v>
      </c>
      <c r="E571" s="115">
        <f>B571-MOD(E$1-A571*3,B571)</f>
        <v>5129</v>
      </c>
      <c r="F571" s="644">
        <f>IF(MOD(E571,5)=0,B571,0)+E571</f>
        <v>5129</v>
      </c>
      <c r="G571" s="785">
        <f>IF(MOD(F571+$B571,5)=0,$B571,0)+$B571+F571</f>
        <v>15927</v>
      </c>
      <c r="H571" s="785">
        <f>IF(MOD(G571+$B571,5)=0,$B571,0)+$B571+G571</f>
        <v>37523</v>
      </c>
      <c r="I571" s="785">
        <f>IF(MOD(H571+$B571,5)=0,$B571,0)+$B571+H571</f>
        <v>48321</v>
      </c>
      <c r="J571" s="911">
        <v>512</v>
      </c>
      <c r="K571" s="785">
        <v>1592</v>
      </c>
      <c r="L571" s="785">
        <v>3752</v>
      </c>
      <c r="M571" s="785">
        <v>4832</v>
      </c>
      <c r="N571" s="23" t="str">
        <f>D571&amp;FIXED(MOD(F571,10),0)</f>
        <v>hh99</v>
      </c>
      <c r="O571" s="78" t="str">
        <f>MID(A$5,((FIND(N571,A$4,1)-1)+1),4)</f>
        <v>edb7</v>
      </c>
      <c r="P571" s="76" t="s">
        <v>0</v>
      </c>
      <c r="Q571" s="219" t="s">
        <v>0</v>
      </c>
      <c r="R571" s="103" t="s">
        <v>0</v>
      </c>
      <c r="S571" s="103" t="s">
        <v>0</v>
      </c>
      <c r="T571" s="42" t="s">
        <v>1</v>
      </c>
    </row>
    <row r="572" spans="1:20" ht="12.75">
      <c r="A572" s="44">
        <v>5407</v>
      </c>
      <c r="B572" s="886">
        <v>10814</v>
      </c>
      <c r="C572" s="886">
        <v>29235649</v>
      </c>
      <c r="D572" s="950" t="s">
        <v>2501</v>
      </c>
      <c r="E572" s="115">
        <f>B572-MOD(E$1-A572*3,B572)</f>
        <v>3565</v>
      </c>
      <c r="F572" s="644">
        <f>IF(MOD(E572,5)=0,B572,0)+E572</f>
        <v>14379</v>
      </c>
      <c r="G572" s="785">
        <f>IF(MOD(F572+$B572,5)=0,$B572,0)+$B572+F572</f>
        <v>25193</v>
      </c>
      <c r="H572" s="785">
        <f>IF(MOD(G572+$B572,5)=0,$B572,0)+$B572+G572</f>
        <v>36007</v>
      </c>
      <c r="I572" s="785">
        <f>IF(MOD(H572+$B572,5)=0,$B572,0)+$B572+H572</f>
        <v>46821</v>
      </c>
      <c r="J572" s="911">
        <v>1437</v>
      </c>
      <c r="K572" s="785">
        <v>2519</v>
      </c>
      <c r="L572" s="785">
        <v>3600</v>
      </c>
      <c r="M572" s="785">
        <v>4682</v>
      </c>
      <c r="N572" s="23" t="str">
        <f>D572&amp;FIXED(MOD(F572,10),0)</f>
        <v>hh79</v>
      </c>
      <c r="O572" s="78" t="str">
        <f>MID(A$5,((FIND(N572,A$4,1)-1)+1),4)</f>
        <v>ebd7</v>
      </c>
      <c r="P572" s="76" t="s">
        <v>0</v>
      </c>
      <c r="Q572" s="219" t="s">
        <v>0</v>
      </c>
      <c r="R572" s="103" t="s">
        <v>0</v>
      </c>
      <c r="S572" s="103" t="s">
        <v>0</v>
      </c>
      <c r="T572" s="42" t="s">
        <v>1</v>
      </c>
    </row>
    <row r="573" spans="1:20" ht="12.75">
      <c r="A573" s="44">
        <v>5413</v>
      </c>
      <c r="B573" s="886">
        <v>10826</v>
      </c>
      <c r="C573" s="886">
        <v>29300569</v>
      </c>
      <c r="D573" s="950" t="s">
        <v>2496</v>
      </c>
      <c r="E573" s="115">
        <f>B573-MOD(E$1-A573*3,B573)</f>
        <v>6341</v>
      </c>
      <c r="F573" s="644">
        <f>IF(MOD(E573,5)=0,B573,0)+E573</f>
        <v>6341</v>
      </c>
      <c r="G573" s="785">
        <f>IF(MOD(F573+$B573,5)=0,$B573,0)+$B573+F573</f>
        <v>17167</v>
      </c>
      <c r="H573" s="785">
        <f>IF(MOD(G573+$B573,5)=0,$B573,0)+$B573+G573</f>
        <v>27993</v>
      </c>
      <c r="I573" s="785">
        <f>IF(MOD(H573+$B573,5)=0,$B573,0)+$B573+H573</f>
        <v>38819</v>
      </c>
      <c r="J573" s="911">
        <v>634</v>
      </c>
      <c r="K573" s="785">
        <v>1716</v>
      </c>
      <c r="L573" s="785">
        <v>2799</v>
      </c>
      <c r="M573" s="785">
        <v>3881</v>
      </c>
      <c r="N573" s="23" t="str">
        <f>D573&amp;FIXED(MOD(F573,10),0)</f>
        <v>hh31</v>
      </c>
      <c r="O573" s="78" t="str">
        <f>MID(A$5,((FIND(N573,A$4,1)-1)+1),4)</f>
        <v>7dbe</v>
      </c>
      <c r="P573" s="76" t="s">
        <v>0</v>
      </c>
      <c r="Q573" s="219" t="s">
        <v>0</v>
      </c>
      <c r="R573" s="103" t="s">
        <v>0</v>
      </c>
      <c r="S573" s="103" t="s">
        <v>0</v>
      </c>
      <c r="T573" s="42" t="s">
        <v>1</v>
      </c>
    </row>
    <row r="574" spans="1:20" ht="12.75">
      <c r="A574" s="44">
        <v>5417</v>
      </c>
      <c r="B574" s="886">
        <v>10834</v>
      </c>
      <c r="C574" s="886">
        <v>29343889</v>
      </c>
      <c r="D574" s="950" t="s">
        <v>2501</v>
      </c>
      <c r="E574" s="115">
        <f>B574-MOD(E$1-A574*3,B574)</f>
        <v>9711</v>
      </c>
      <c r="F574" s="644">
        <f>IF(MOD(E574,5)=0,B574,0)+E574</f>
        <v>9711</v>
      </c>
      <c r="G574" s="785">
        <f>IF(MOD(F574+$B574,5)=0,$B574,0)+$B574+F574</f>
        <v>31379</v>
      </c>
      <c r="H574" s="785">
        <f>IF(MOD(G574+$B574,5)=0,$B574,0)+$B574+G574</f>
        <v>42213</v>
      </c>
      <c r="I574" s="785">
        <f>IF(MOD(H574+$B574,5)=0,$B574,0)+$B574+H574</f>
        <v>53047</v>
      </c>
      <c r="J574" s="911">
        <v>971</v>
      </c>
      <c r="K574" s="785">
        <v>3137</v>
      </c>
      <c r="L574" s="785">
        <v>4221</v>
      </c>
      <c r="M574" s="785">
        <v>5304</v>
      </c>
      <c r="N574" s="23" t="str">
        <f>D574&amp;FIXED(MOD(F574,10),0)</f>
        <v>hh71</v>
      </c>
      <c r="O574" s="78" t="str">
        <f>MID(A$5,((FIND(N574,A$4,1)-1)+1),4)</f>
        <v>7ebd</v>
      </c>
      <c r="P574" s="76" t="s">
        <v>0</v>
      </c>
      <c r="Q574" s="219" t="s">
        <v>0</v>
      </c>
      <c r="R574" s="103" t="s">
        <v>0</v>
      </c>
      <c r="S574" s="103" t="s">
        <v>0</v>
      </c>
      <c r="T574" s="42" t="s">
        <v>1</v>
      </c>
    </row>
    <row r="575" spans="1:20" ht="12.75">
      <c r="A575" s="44">
        <v>5419</v>
      </c>
      <c r="B575" s="886">
        <v>10838</v>
      </c>
      <c r="C575" s="886">
        <v>29365561</v>
      </c>
      <c r="D575" s="950" t="s">
        <v>2506</v>
      </c>
      <c r="E575" s="115">
        <f>B575-MOD(E$1-A575*3,B575)</f>
        <v>10229</v>
      </c>
      <c r="F575" s="644">
        <f>IF(MOD(E575,5)=0,B575,0)+E575</f>
        <v>10229</v>
      </c>
      <c r="G575" s="785">
        <f>IF(MOD(F575+$B575,5)=0,$B575,0)+$B575+F575</f>
        <v>21067</v>
      </c>
      <c r="H575" s="785">
        <f>IF(MOD(G575+$B575,5)=0,$B575,0)+$B575+G575</f>
        <v>42743</v>
      </c>
      <c r="I575" s="785">
        <f>IF(MOD(H575+$B575,5)=0,$B575,0)+$B575+H575</f>
        <v>53581</v>
      </c>
      <c r="J575" s="911">
        <v>1022</v>
      </c>
      <c r="K575" s="785">
        <v>2106</v>
      </c>
      <c r="L575" s="785">
        <v>4274</v>
      </c>
      <c r="M575" s="785">
        <v>5358</v>
      </c>
      <c r="N575" s="23" t="str">
        <f>D575&amp;FIXED(MOD(F575,10),0)</f>
        <v>hh99</v>
      </c>
      <c r="O575" s="78" t="str">
        <f>MID(A$5,((FIND(N575,A$4,1)-1)+1),4)</f>
        <v>edb7</v>
      </c>
      <c r="P575" s="76" t="s">
        <v>0</v>
      </c>
      <c r="Q575" s="219" t="s">
        <v>0</v>
      </c>
      <c r="R575" s="103" t="s">
        <v>0</v>
      </c>
      <c r="S575" s="103" t="s">
        <v>0</v>
      </c>
      <c r="T575" s="42" t="s">
        <v>1</v>
      </c>
    </row>
    <row r="576" spans="1:20" ht="12.75">
      <c r="A576" s="44">
        <v>5431</v>
      </c>
      <c r="B576" s="886">
        <v>10862</v>
      </c>
      <c r="C576" s="886">
        <v>29495761</v>
      </c>
      <c r="D576" s="950" t="s">
        <v>2490</v>
      </c>
      <c r="E576" s="115">
        <f>B576-MOD(E$1-A576*3,B576)</f>
        <v>8339</v>
      </c>
      <c r="F576" s="644">
        <f>IF(MOD(E576,5)=0,B576,0)+E576</f>
        <v>8339</v>
      </c>
      <c r="G576" s="785">
        <f>IF(MOD(F576+$B576,5)=0,$B576,0)+$B576+F576</f>
        <v>19201</v>
      </c>
      <c r="H576" s="785">
        <f>IF(MOD(G576+$B576,5)=0,$B576,0)+$B576+G576</f>
        <v>30063</v>
      </c>
      <c r="I576" s="785">
        <f>IF(MOD(H576+$B576,5)=0,$B576,0)+$B576+H576</f>
        <v>51787</v>
      </c>
      <c r="J576" s="911">
        <v>833</v>
      </c>
      <c r="K576" s="785">
        <v>1920</v>
      </c>
      <c r="L576" s="785">
        <v>3006</v>
      </c>
      <c r="M576" s="785">
        <v>5178</v>
      </c>
      <c r="N576" s="23" t="str">
        <f>D576&amp;FIXED(MOD(F576,10),0)</f>
        <v>hh19</v>
      </c>
      <c r="O576" s="78" t="str">
        <f>MID(A$5,((FIND(N576,A$4,1)-1)+1),4)</f>
        <v>e7bd</v>
      </c>
      <c r="P576" s="76" t="s">
        <v>0</v>
      </c>
      <c r="Q576" s="219" t="s">
        <v>0</v>
      </c>
      <c r="R576" s="103" t="s">
        <v>0</v>
      </c>
      <c r="S576" s="103" t="s">
        <v>0</v>
      </c>
      <c r="T576" s="42" t="s">
        <v>1</v>
      </c>
    </row>
    <row r="577" spans="1:20" ht="12.75">
      <c r="A577" s="44">
        <v>5437</v>
      </c>
      <c r="B577" s="886">
        <v>10874</v>
      </c>
      <c r="C577" s="886">
        <v>29560969</v>
      </c>
      <c r="D577" s="950" t="s">
        <v>2501</v>
      </c>
      <c r="E577" s="115">
        <f>B577-MOD(E$1-A577*3,B577)</f>
        <v>1407</v>
      </c>
      <c r="F577" s="644">
        <f>IF(MOD(E577,5)=0,B577,0)+E577</f>
        <v>1407</v>
      </c>
      <c r="G577" s="785">
        <f>IF(MOD(F577+$B577,5)=0,$B577,0)+$B577+F577</f>
        <v>12281</v>
      </c>
      <c r="H577" s="785">
        <f>IF(MOD(G577+$B577,5)=0,$B577,0)+$B577+G577</f>
        <v>34029</v>
      </c>
      <c r="I577" s="785">
        <f>IF(MOD(H577+$B577,5)=0,$B577,0)+$B577+H577</f>
        <v>44903</v>
      </c>
      <c r="J577" s="911">
        <v>140</v>
      </c>
      <c r="K577" s="785">
        <v>1228</v>
      </c>
      <c r="L577" s="785">
        <v>3402</v>
      </c>
      <c r="M577" s="785">
        <v>4490</v>
      </c>
      <c r="N577" s="23" t="str">
        <f>D577&amp;FIXED(MOD(F577,10),0)</f>
        <v>hh77</v>
      </c>
      <c r="O577" s="78" t="str">
        <f>MID(A$5,((FIND(N577,A$4,1)-1)+1),4)</f>
        <v>d7eb</v>
      </c>
      <c r="P577" s="76" t="s">
        <v>0</v>
      </c>
      <c r="Q577" s="219" t="s">
        <v>0</v>
      </c>
      <c r="R577" s="103" t="s">
        <v>0</v>
      </c>
      <c r="S577" s="103" t="s">
        <v>0</v>
      </c>
      <c r="T577" s="42" t="s">
        <v>1</v>
      </c>
    </row>
    <row r="578" spans="1:20" ht="12.75">
      <c r="A578" s="44">
        <v>5441</v>
      </c>
      <c r="B578" s="886">
        <v>10882</v>
      </c>
      <c r="C578" s="886">
        <v>29604481</v>
      </c>
      <c r="D578" s="950" t="s">
        <v>2490</v>
      </c>
      <c r="E578" s="115">
        <f>B578-MOD(E$1-A578*3,B578)</f>
        <v>9137</v>
      </c>
      <c r="F578" s="644">
        <f>IF(MOD(E578,5)=0,B578,0)+E578</f>
        <v>9137</v>
      </c>
      <c r="G578" s="785">
        <f>IF(MOD(F578+$B578,5)=0,$B578,0)+$B578+F578</f>
        <v>20019</v>
      </c>
      <c r="H578" s="785">
        <f>IF(MOD(G578+$B578,5)=0,$B578,0)+$B578+G578</f>
        <v>30901</v>
      </c>
      <c r="I578" s="785">
        <f>IF(MOD(H578+$B578,5)=0,$B578,0)+$B578+H578</f>
        <v>41783</v>
      </c>
      <c r="J578" s="911">
        <v>913</v>
      </c>
      <c r="K578" s="785">
        <v>2001</v>
      </c>
      <c r="L578" s="785">
        <v>3090</v>
      </c>
      <c r="M578" s="785">
        <v>4178</v>
      </c>
      <c r="N578" s="23" t="str">
        <f>D578&amp;FIXED(MOD(F578,10),0)</f>
        <v>hh17</v>
      </c>
      <c r="O578" s="78" t="str">
        <f>MID(A$5,((FIND(N578,A$4,1)-1)+1),4)</f>
        <v>de7b</v>
      </c>
      <c r="P578" s="76" t="s">
        <v>0</v>
      </c>
      <c r="Q578" s="219" t="s">
        <v>0</v>
      </c>
      <c r="R578" s="103" t="s">
        <v>0</v>
      </c>
      <c r="S578" s="103" t="s">
        <v>0</v>
      </c>
      <c r="T578" s="42" t="s">
        <v>1</v>
      </c>
    </row>
    <row r="579" spans="1:20" ht="12.75">
      <c r="A579" s="44">
        <v>5443</v>
      </c>
      <c r="B579" s="886">
        <v>10886</v>
      </c>
      <c r="C579" s="886">
        <v>29626249</v>
      </c>
      <c r="D579" s="950" t="s">
        <v>2496</v>
      </c>
      <c r="E579" s="115">
        <f>B579-MOD(E$1-A579*3,B579)</f>
        <v>4189</v>
      </c>
      <c r="F579" s="644">
        <f>IF(MOD(E579,5)=0,B579,0)+E579</f>
        <v>4189</v>
      </c>
      <c r="G579" s="785">
        <f>IF(MOD(F579+$B579,5)=0,$B579,0)+$B579+F579</f>
        <v>25961</v>
      </c>
      <c r="H579" s="785">
        <f>IF(MOD(G579+$B579,5)=0,$B579,0)+$B579+G579</f>
        <v>36847</v>
      </c>
      <c r="I579" s="785">
        <f>IF(MOD(H579+$B579,5)=0,$B579,0)+$B579+H579</f>
        <v>47733</v>
      </c>
      <c r="J579" s="911">
        <v>418</v>
      </c>
      <c r="K579" s="785">
        <v>2596</v>
      </c>
      <c r="L579" s="785">
        <v>3684</v>
      </c>
      <c r="M579" s="785">
        <v>4773</v>
      </c>
      <c r="N579" s="23" t="str">
        <f>D579&amp;FIXED(MOD(F579,10),0)</f>
        <v>hh39</v>
      </c>
      <c r="O579" s="78" t="str">
        <f>MID(A$5,((FIND(N579,A$4,1)-1)+1),4)</f>
        <v>e7db</v>
      </c>
      <c r="P579" s="76" t="s">
        <v>0</v>
      </c>
      <c r="Q579" s="219" t="s">
        <v>0</v>
      </c>
      <c r="R579" s="103" t="s">
        <v>0</v>
      </c>
      <c r="S579" s="103" t="s">
        <v>0</v>
      </c>
      <c r="T579" s="42" t="s">
        <v>1</v>
      </c>
    </row>
    <row r="580" spans="1:20" ht="12.75">
      <c r="A580" s="44">
        <v>5449</v>
      </c>
      <c r="B580" s="886">
        <v>10898</v>
      </c>
      <c r="C580" s="886">
        <v>29691601</v>
      </c>
      <c r="D580" s="950" t="s">
        <v>2506</v>
      </c>
      <c r="E580" s="115">
        <f>B580-MOD(E$1-A580*3,B580)</f>
        <v>10647</v>
      </c>
      <c r="F580" s="644">
        <f>IF(MOD(E580,5)=0,B580,0)+E580</f>
        <v>10647</v>
      </c>
      <c r="G580" s="785">
        <f>IF(MOD(F580+$B580,5)=0,$B580,0)+$B580+F580</f>
        <v>32443</v>
      </c>
      <c r="H580" s="785">
        <f>IF(MOD(G580+$B580,5)=0,$B580,0)+$B580+G580</f>
        <v>43341</v>
      </c>
      <c r="I580" s="785">
        <f>IF(MOD(H580+$B580,5)=0,$B580,0)+$B580+H580</f>
        <v>54239</v>
      </c>
      <c r="J580" s="911">
        <v>1064</v>
      </c>
      <c r="K580" s="785">
        <v>3244</v>
      </c>
      <c r="L580" s="785">
        <v>4334</v>
      </c>
      <c r="M580" s="785">
        <v>5423</v>
      </c>
      <c r="N580" s="23" t="str">
        <f>D580&amp;FIXED(MOD(F580,10),0)</f>
        <v>hh97</v>
      </c>
      <c r="O580" s="78" t="str">
        <f>MID(A$5,((FIND(N580,A$4,1)-1)+1),4)</f>
        <v>db7e</v>
      </c>
      <c r="P580" s="76" t="s">
        <v>0</v>
      </c>
      <c r="Q580" s="219" t="s">
        <v>0</v>
      </c>
      <c r="R580" s="103" t="s">
        <v>0</v>
      </c>
      <c r="S580" s="103" t="s">
        <v>0</v>
      </c>
      <c r="T580" s="42" t="s">
        <v>1</v>
      </c>
    </row>
    <row r="581" spans="1:20" ht="12.75">
      <c r="A581" s="44">
        <v>5471</v>
      </c>
      <c r="B581" s="886">
        <v>10942</v>
      </c>
      <c r="C581" s="886">
        <v>29931841</v>
      </c>
      <c r="D581" s="950" t="s">
        <v>2490</v>
      </c>
      <c r="E581" s="115">
        <f>B581-MOD(E$1-A581*3,B581)</f>
        <v>273</v>
      </c>
      <c r="F581" s="644">
        <f>IF(MOD(E581,5)=0,B581,0)+E581</f>
        <v>273</v>
      </c>
      <c r="G581" s="785">
        <f>IF(MOD(F581+$B581,5)=0,$B581,0)+$B581+F581</f>
        <v>22157</v>
      </c>
      <c r="H581" s="785">
        <f>IF(MOD(G581+$B581,5)=0,$B581,0)+$B581+G581</f>
        <v>33099</v>
      </c>
      <c r="I581" s="785">
        <f>IF(MOD(H581+$B581,5)=0,$B581,0)+$B581+H581</f>
        <v>44041</v>
      </c>
      <c r="J581" s="911">
        <v>27</v>
      </c>
      <c r="K581" s="785">
        <v>2215</v>
      </c>
      <c r="L581" s="785">
        <v>3309</v>
      </c>
      <c r="M581" s="785">
        <v>4404</v>
      </c>
      <c r="N581" s="23" t="str">
        <f>D581&amp;FIXED(MOD(F581,10),0)</f>
        <v>hh13</v>
      </c>
      <c r="O581" s="78" t="str">
        <f>MID(A$5,((FIND(N581,A$4,1)-1)+1),4)</f>
        <v>bde7</v>
      </c>
      <c r="P581" s="76" t="s">
        <v>0</v>
      </c>
      <c r="Q581" s="219" t="s">
        <v>0</v>
      </c>
      <c r="R581" s="103" t="s">
        <v>0</v>
      </c>
      <c r="S581" s="103" t="s">
        <v>0</v>
      </c>
      <c r="T581" s="42" t="s">
        <v>1</v>
      </c>
    </row>
    <row r="582" spans="1:20" ht="12.75">
      <c r="A582" s="44">
        <v>5477</v>
      </c>
      <c r="B582" s="886">
        <v>10954</v>
      </c>
      <c r="C582" s="886">
        <v>29997529</v>
      </c>
      <c r="D582" s="950" t="s">
        <v>2501</v>
      </c>
      <c r="E582" s="115">
        <f>B582-MOD(E$1-A582*3,B582)</f>
        <v>7183</v>
      </c>
      <c r="F582" s="644">
        <f>IF(MOD(E582,5)=0,B582,0)+E582</f>
        <v>7183</v>
      </c>
      <c r="G582" s="785">
        <f>IF(MOD(F582+$B582,5)=0,$B582,0)+$B582+F582</f>
        <v>18137</v>
      </c>
      <c r="H582" s="785">
        <f>IF(MOD(G582+$B582,5)=0,$B582,0)+$B582+G582</f>
        <v>29091</v>
      </c>
      <c r="I582" s="785">
        <f>IF(MOD(H582+$B582,5)=0,$B582,0)+$B582+H582</f>
        <v>50999</v>
      </c>
      <c r="J582" s="911">
        <v>718</v>
      </c>
      <c r="K582" s="785">
        <v>1813</v>
      </c>
      <c r="L582" s="785">
        <v>2909</v>
      </c>
      <c r="M582" s="785">
        <v>5099</v>
      </c>
      <c r="N582" s="23" t="str">
        <f>D582&amp;FIXED(MOD(F582,10),0)</f>
        <v>hh73</v>
      </c>
      <c r="O582" s="78" t="str">
        <f>MID(A$5,((FIND(N582,A$4,1)-1)+1),4)</f>
        <v>bd7e</v>
      </c>
      <c r="P582" s="76" t="s">
        <v>0</v>
      </c>
      <c r="Q582" s="219" t="s">
        <v>0</v>
      </c>
      <c r="R582" s="103" t="s">
        <v>0</v>
      </c>
      <c r="S582" s="103" t="s">
        <v>0</v>
      </c>
      <c r="T582" s="42" t="s">
        <v>1</v>
      </c>
    </row>
    <row r="583" spans="1:20" ht="12.75">
      <c r="A583" s="44">
        <v>5479</v>
      </c>
      <c r="B583" s="886">
        <v>10958</v>
      </c>
      <c r="C583" s="886">
        <v>30019441</v>
      </c>
      <c r="D583" s="950" t="s">
        <v>2506</v>
      </c>
      <c r="E583" s="115">
        <f>B583-MOD(E$1-A583*3,B583)</f>
        <v>3925</v>
      </c>
      <c r="F583" s="644">
        <f>IF(MOD(E583,5)=0,B583,0)+E583</f>
        <v>14883</v>
      </c>
      <c r="G583" s="785">
        <f>IF(MOD(F583+$B583,5)=0,$B583,0)+$B583+F583</f>
        <v>25841</v>
      </c>
      <c r="H583" s="785">
        <f>IF(MOD(G583+$B583,5)=0,$B583,0)+$B583+G583</f>
        <v>36799</v>
      </c>
      <c r="I583" s="785">
        <f>IF(MOD(H583+$B583,5)=0,$B583,0)+$B583+H583</f>
        <v>47757</v>
      </c>
      <c r="J583" s="911">
        <v>1488</v>
      </c>
      <c r="K583" s="785">
        <v>2584</v>
      </c>
      <c r="L583" s="785">
        <v>3679</v>
      </c>
      <c r="M583" s="785">
        <v>4775</v>
      </c>
      <c r="N583" s="23" t="str">
        <f>D583&amp;FIXED(MOD(F583,10),0)</f>
        <v>hh93</v>
      </c>
      <c r="O583" s="78" t="str">
        <f>MID(A$5,((FIND(N583,A$4,1)-1)+1),4)</f>
        <v>b7ed</v>
      </c>
      <c r="P583" s="76" t="s">
        <v>0</v>
      </c>
      <c r="Q583" s="219" t="s">
        <v>0</v>
      </c>
      <c r="R583" s="103" t="s">
        <v>0</v>
      </c>
      <c r="S583" s="103" t="s">
        <v>0</v>
      </c>
      <c r="T583" s="42" t="s">
        <v>1</v>
      </c>
    </row>
    <row r="584" spans="1:20" ht="12.75">
      <c r="A584" s="44">
        <v>5483</v>
      </c>
      <c r="B584" s="886">
        <v>10966</v>
      </c>
      <c r="C584" s="886">
        <v>30063289</v>
      </c>
      <c r="D584" s="950" t="s">
        <v>2496</v>
      </c>
      <c r="E584" s="115">
        <f>B584-MOD(E$1-A584*3,B584)</f>
        <v>1065</v>
      </c>
      <c r="F584" s="644">
        <f>IF(MOD(E584,5)=0,B584,0)+E584</f>
        <v>12031</v>
      </c>
      <c r="G584" s="785">
        <f>IF(MOD(F584+$B584,5)=0,$B584,0)+$B584+F584</f>
        <v>22997</v>
      </c>
      <c r="H584" s="785">
        <f>IF(MOD(G584+$B584,5)=0,$B584,0)+$B584+G584</f>
        <v>33963</v>
      </c>
      <c r="I584" s="785">
        <f>IF(MOD(H584+$B584,5)=0,$B584,0)+$B584+H584</f>
        <v>44929</v>
      </c>
      <c r="J584" s="911">
        <v>1203</v>
      </c>
      <c r="K584" s="785">
        <v>2299</v>
      </c>
      <c r="L584" s="785">
        <v>3396</v>
      </c>
      <c r="M584" s="785">
        <v>4492</v>
      </c>
      <c r="N584" s="23" t="str">
        <f>D584&amp;FIXED(MOD(F584,10),0)</f>
        <v>hh31</v>
      </c>
      <c r="O584" s="78" t="str">
        <f>MID(A$5,((FIND(N584,A$4,1)-1)+1),4)</f>
        <v>7dbe</v>
      </c>
      <c r="P584" s="76" t="s">
        <v>0</v>
      </c>
      <c r="Q584" s="219" t="s">
        <v>0</v>
      </c>
      <c r="R584" s="103" t="s">
        <v>0</v>
      </c>
      <c r="S584" s="103" t="s">
        <v>0</v>
      </c>
      <c r="T584" s="42" t="s">
        <v>1</v>
      </c>
    </row>
    <row r="585" spans="1:20" ht="12.75">
      <c r="A585" s="44">
        <v>5501</v>
      </c>
      <c r="B585" s="886">
        <v>11002</v>
      </c>
      <c r="C585" s="886">
        <v>30261001</v>
      </c>
      <c r="D585" s="950" t="s">
        <v>2490</v>
      </c>
      <c r="E585" s="115">
        <f>B585-MOD(E$1-A585*3,B585)</f>
        <v>6353</v>
      </c>
      <c r="F585" s="644">
        <f>IF(MOD(E585,5)=0,B585,0)+E585</f>
        <v>6353</v>
      </c>
      <c r="G585" s="785">
        <f>IF(MOD(F585+$B585,5)=0,$B585,0)+$B585+F585</f>
        <v>28357</v>
      </c>
      <c r="H585" s="785">
        <f>IF(MOD(G585+$B585,5)=0,$B585,0)+$B585+G585</f>
        <v>39359</v>
      </c>
      <c r="I585" s="785">
        <f>IF(MOD(H585+$B585,5)=0,$B585,0)+$B585+H585</f>
        <v>50361</v>
      </c>
      <c r="J585" s="911">
        <v>635</v>
      </c>
      <c r="K585" s="785">
        <v>2835</v>
      </c>
      <c r="L585" s="785">
        <v>3935</v>
      </c>
      <c r="M585" s="785">
        <v>5036</v>
      </c>
      <c r="N585" s="23" t="str">
        <f>D585&amp;FIXED(MOD(F585,10),0)</f>
        <v>hh13</v>
      </c>
      <c r="O585" s="78" t="str">
        <f>MID(A$5,((FIND(N585,A$4,1)-1)+1),4)</f>
        <v>bde7</v>
      </c>
      <c r="P585" s="76" t="s">
        <v>0</v>
      </c>
      <c r="Q585" s="219" t="s">
        <v>0</v>
      </c>
      <c r="R585" s="103" t="s">
        <v>0</v>
      </c>
      <c r="S585" s="103" t="s">
        <v>0</v>
      </c>
      <c r="T585" s="42" t="s">
        <v>1</v>
      </c>
    </row>
    <row r="586" spans="1:20" ht="12.75">
      <c r="A586" s="44">
        <v>5503</v>
      </c>
      <c r="B586" s="886">
        <v>11006</v>
      </c>
      <c r="C586" s="886">
        <v>30283009</v>
      </c>
      <c r="D586" s="950" t="s">
        <v>2496</v>
      </c>
      <c r="E586" s="115">
        <f>B586-MOD(E$1-A586*3,B586)</f>
        <v>6591</v>
      </c>
      <c r="F586" s="644">
        <f>IF(MOD(E586,5)=0,B586,0)+E586</f>
        <v>6591</v>
      </c>
      <c r="G586" s="785">
        <f>IF(MOD(F586+$B586,5)=0,$B586,0)+$B586+F586</f>
        <v>17597</v>
      </c>
      <c r="H586" s="785">
        <f>IF(MOD(G586+$B586,5)=0,$B586,0)+$B586+G586</f>
        <v>28603</v>
      </c>
      <c r="I586" s="785">
        <f>IF(MOD(H586+$B586,5)=0,$B586,0)+$B586+H586</f>
        <v>39609</v>
      </c>
      <c r="J586" s="911">
        <v>659</v>
      </c>
      <c r="K586" s="785">
        <v>1759</v>
      </c>
      <c r="L586" s="785">
        <v>2860</v>
      </c>
      <c r="M586" s="785">
        <v>3960</v>
      </c>
      <c r="N586" s="23" t="str">
        <f>D586&amp;FIXED(MOD(F586,10),0)</f>
        <v>hh31</v>
      </c>
      <c r="O586" s="78" t="str">
        <f>MID(A$5,((FIND(N586,A$4,1)-1)+1),4)</f>
        <v>7dbe</v>
      </c>
      <c r="P586" s="76" t="s">
        <v>0</v>
      </c>
      <c r="Q586" s="219" t="s">
        <v>0</v>
      </c>
      <c r="R586" s="103" t="s">
        <v>0</v>
      </c>
      <c r="S586" s="103" t="s">
        <v>0</v>
      </c>
      <c r="T586" s="42" t="s">
        <v>1</v>
      </c>
    </row>
    <row r="587" spans="1:20" ht="12.75">
      <c r="A587" s="44">
        <v>5507</v>
      </c>
      <c r="B587" s="886">
        <v>11014</v>
      </c>
      <c r="C587" s="886">
        <v>30327049</v>
      </c>
      <c r="D587" s="950" t="s">
        <v>2501</v>
      </c>
      <c r="E587" s="115">
        <f>B587-MOD(E$1-A587*3,B587)</f>
        <v>5997</v>
      </c>
      <c r="F587" s="644">
        <f>IF(MOD(E587,5)=0,B587,0)+E587</f>
        <v>5997</v>
      </c>
      <c r="G587" s="785">
        <f>IF(MOD(F587+$B587,5)=0,$B587,0)+$B587+F587</f>
        <v>17011</v>
      </c>
      <c r="H587" s="785">
        <f>IF(MOD(G587+$B587,5)=0,$B587,0)+$B587+G587</f>
        <v>39039</v>
      </c>
      <c r="I587" s="785">
        <f>IF(MOD(H587+$B587,5)=0,$B587,0)+$B587+H587</f>
        <v>50053</v>
      </c>
      <c r="J587" s="911">
        <v>599</v>
      </c>
      <c r="K587" s="785">
        <v>1701</v>
      </c>
      <c r="L587" s="785">
        <v>3903</v>
      </c>
      <c r="M587" s="785">
        <v>5005</v>
      </c>
      <c r="N587" s="23" t="str">
        <f>D587&amp;FIXED(MOD(F587,10),0)</f>
        <v>hh77</v>
      </c>
      <c r="O587" s="78" t="str">
        <f>MID(A$5,((FIND(N587,A$4,1)-1)+1),4)</f>
        <v>d7eb</v>
      </c>
      <c r="P587" s="76" t="s">
        <v>0</v>
      </c>
      <c r="Q587" s="219" t="s">
        <v>0</v>
      </c>
      <c r="R587" s="103" t="s">
        <v>0</v>
      </c>
      <c r="S587" s="103" t="s">
        <v>0</v>
      </c>
      <c r="T587" s="42" t="s">
        <v>1</v>
      </c>
    </row>
    <row r="588" spans="1:20" ht="12.75">
      <c r="A588" s="44">
        <v>5519</v>
      </c>
      <c r="B588" s="886">
        <v>11038</v>
      </c>
      <c r="C588" s="886">
        <v>30459361</v>
      </c>
      <c r="D588" s="950" t="s">
        <v>2506</v>
      </c>
      <c r="E588" s="115">
        <f>B588-MOD(E$1-A588*3,B588)</f>
        <v>8039</v>
      </c>
      <c r="F588" s="644">
        <f>IF(MOD(E588,5)=0,B588,0)+E588</f>
        <v>8039</v>
      </c>
      <c r="G588" s="785">
        <f>IF(MOD(F588+$B588,5)=0,$B588,0)+$B588+F588</f>
        <v>19077</v>
      </c>
      <c r="H588" s="785">
        <f>IF(MOD(G588+$B588,5)=0,$B588,0)+$B588+G588</f>
        <v>41153</v>
      </c>
      <c r="I588" s="785">
        <f>IF(MOD(H588+$B588,5)=0,$B588,0)+$B588+H588</f>
        <v>52191</v>
      </c>
      <c r="J588" s="911">
        <v>803</v>
      </c>
      <c r="K588" s="785">
        <v>1907</v>
      </c>
      <c r="L588" s="785">
        <v>4115</v>
      </c>
      <c r="M588" s="785">
        <v>5219</v>
      </c>
      <c r="N588" s="23" t="str">
        <f>D588&amp;FIXED(MOD(F588,10),0)</f>
        <v>hh99</v>
      </c>
      <c r="O588" s="78" t="str">
        <f>MID(A$5,((FIND(N588,A$4,1)-1)+1),4)</f>
        <v>edb7</v>
      </c>
      <c r="P588" s="76" t="s">
        <v>0</v>
      </c>
      <c r="Q588" s="219" t="s">
        <v>0</v>
      </c>
      <c r="R588" s="103" t="s">
        <v>0</v>
      </c>
      <c r="S588" s="103" t="s">
        <v>0</v>
      </c>
      <c r="T588" s="42" t="s">
        <v>1</v>
      </c>
    </row>
    <row r="589" spans="1:20" ht="12.75">
      <c r="A589" s="44">
        <v>5521</v>
      </c>
      <c r="B589" s="886">
        <v>11042</v>
      </c>
      <c r="C589" s="886">
        <v>30481441</v>
      </c>
      <c r="D589" s="950" t="s">
        <v>2490</v>
      </c>
      <c r="E589" s="115">
        <f>B589-MOD(E$1-A589*3,B589)</f>
        <v>10743</v>
      </c>
      <c r="F589" s="644">
        <f>IF(MOD(E589,5)=0,B589,0)+E589</f>
        <v>10743</v>
      </c>
      <c r="G589" s="785">
        <f>IF(MOD(F589+$B589,5)=0,$B589,0)+$B589+F589</f>
        <v>32827</v>
      </c>
      <c r="H589" s="785">
        <f>IF(MOD(G589+$B589,5)=0,$B589,0)+$B589+G589</f>
        <v>43869</v>
      </c>
      <c r="I589" s="785">
        <f>IF(MOD(H589+$B589,5)=0,$B589,0)+$B589+H589</f>
        <v>54911</v>
      </c>
      <c r="J589" s="911">
        <v>1074</v>
      </c>
      <c r="K589" s="785">
        <v>3282</v>
      </c>
      <c r="L589" s="785">
        <v>4386</v>
      </c>
      <c r="M589" s="785">
        <v>5491</v>
      </c>
      <c r="N589" s="23" t="str">
        <f>D589&amp;FIXED(MOD(F589,10),0)</f>
        <v>hh13</v>
      </c>
      <c r="O589" s="78" t="str">
        <f>MID(A$5,((FIND(N589,A$4,1)-1)+1),4)</f>
        <v>bde7</v>
      </c>
      <c r="P589" s="76" t="s">
        <v>0</v>
      </c>
      <c r="Q589" s="219" t="s">
        <v>0</v>
      </c>
      <c r="R589" s="103" t="s">
        <v>0</v>
      </c>
      <c r="S589" s="103" t="s">
        <v>0</v>
      </c>
      <c r="T589" s="42" t="s">
        <v>1</v>
      </c>
    </row>
    <row r="590" spans="1:20" ht="12.75">
      <c r="A590" s="44">
        <v>5527</v>
      </c>
      <c r="B590" s="886">
        <v>11054</v>
      </c>
      <c r="C590" s="886">
        <v>30547729</v>
      </c>
      <c r="D590" s="950" t="s">
        <v>2501</v>
      </c>
      <c r="E590" s="115">
        <f>B590-MOD(E$1-A590*3,B590)</f>
        <v>4239</v>
      </c>
      <c r="F590" s="644">
        <f>IF(MOD(E590,5)=0,B590,0)+E590</f>
        <v>4239</v>
      </c>
      <c r="G590" s="785">
        <f>IF(MOD(F590+$B590,5)=0,$B590,0)+$B590+F590</f>
        <v>15293</v>
      </c>
      <c r="H590" s="785">
        <f>IF(MOD(G590+$B590,5)=0,$B590,0)+$B590+G590</f>
        <v>26347</v>
      </c>
      <c r="I590" s="785">
        <f>IF(MOD(H590+$B590,5)=0,$B590,0)+$B590+H590</f>
        <v>37401</v>
      </c>
      <c r="J590" s="911">
        <v>423</v>
      </c>
      <c r="K590" s="785">
        <v>1529</v>
      </c>
      <c r="L590" s="785">
        <v>2634</v>
      </c>
      <c r="M590" s="785">
        <v>3740</v>
      </c>
      <c r="N590" s="23" t="str">
        <f>D590&amp;FIXED(MOD(F590,10),0)</f>
        <v>hh79</v>
      </c>
      <c r="O590" s="78" t="str">
        <f>MID(A$5,((FIND(N590,A$4,1)-1)+1),4)</f>
        <v>ebd7</v>
      </c>
      <c r="P590" s="76" t="s">
        <v>0</v>
      </c>
      <c r="Q590" s="219" t="s">
        <v>0</v>
      </c>
      <c r="R590" s="103" t="s">
        <v>0</v>
      </c>
      <c r="S590" s="103" t="s">
        <v>0</v>
      </c>
      <c r="T590" s="42" t="s">
        <v>1</v>
      </c>
    </row>
    <row r="591" spans="1:20" ht="12.75">
      <c r="A591" s="44">
        <v>5531</v>
      </c>
      <c r="B591" s="886">
        <v>11062</v>
      </c>
      <c r="C591" s="886">
        <v>30591961</v>
      </c>
      <c r="D591" s="950" t="s">
        <v>2490</v>
      </c>
      <c r="E591" s="115">
        <f>B591-MOD(E$1-A591*3,B591)</f>
        <v>465</v>
      </c>
      <c r="F591" s="644">
        <f>IF(MOD(E591,5)=0,B591,0)+E591</f>
        <v>11527</v>
      </c>
      <c r="G591" s="785">
        <f>IF(MOD(F591+$B591,5)=0,$B591,0)+$B591+F591</f>
        <v>22589</v>
      </c>
      <c r="H591" s="785">
        <f>IF(MOD(G591+$B591,5)=0,$B591,0)+$B591+G591</f>
        <v>33651</v>
      </c>
      <c r="I591" s="785">
        <f>IF(MOD(H591+$B591,5)=0,$B591,0)+$B591+H591</f>
        <v>44713</v>
      </c>
      <c r="J591" s="911">
        <v>1152</v>
      </c>
      <c r="K591" s="785">
        <v>2258</v>
      </c>
      <c r="L591" s="785">
        <v>3365</v>
      </c>
      <c r="M591" s="785">
        <v>4471</v>
      </c>
      <c r="N591" s="23" t="str">
        <f>D591&amp;FIXED(MOD(F591,10),0)</f>
        <v>hh17</v>
      </c>
      <c r="O591" s="78" t="str">
        <f>MID(A$5,((FIND(N591,A$4,1)-1)+1),4)</f>
        <v>de7b</v>
      </c>
      <c r="P591" s="76" t="s">
        <v>0</v>
      </c>
      <c r="Q591" s="219" t="s">
        <v>0</v>
      </c>
      <c r="R591" s="103" t="s">
        <v>0</v>
      </c>
      <c r="S591" s="103" t="s">
        <v>0</v>
      </c>
      <c r="T591" s="42" t="s">
        <v>1</v>
      </c>
    </row>
    <row r="592" spans="1:20" ht="12.75">
      <c r="A592" s="44">
        <v>5557</v>
      </c>
      <c r="B592" s="886">
        <v>11114</v>
      </c>
      <c r="C592" s="886">
        <v>30880249</v>
      </c>
      <c r="D592" s="950" t="s">
        <v>2501</v>
      </c>
      <c r="E592" s="115">
        <f>B592-MOD(E$1-A592*3,B592)</f>
        <v>8779</v>
      </c>
      <c r="F592" s="644">
        <f>IF(MOD(E592,5)=0,B592,0)+E592</f>
        <v>8779</v>
      </c>
      <c r="G592" s="785">
        <f>IF(MOD(F592+$B592,5)=0,$B592,0)+$B592+F592</f>
        <v>19893</v>
      </c>
      <c r="H592" s="785">
        <f>IF(MOD(G592+$B592,5)=0,$B592,0)+$B592+G592</f>
        <v>31007</v>
      </c>
      <c r="I592" s="785">
        <f>IF(MOD(H592+$B592,5)=0,$B592,0)+$B592+H592</f>
        <v>42121</v>
      </c>
      <c r="J592" s="911">
        <v>877</v>
      </c>
      <c r="K592" s="785">
        <v>1989</v>
      </c>
      <c r="L592" s="785">
        <v>3100</v>
      </c>
      <c r="M592" s="785">
        <v>4212</v>
      </c>
      <c r="N592" s="23" t="str">
        <f>D592&amp;FIXED(MOD(F592,10),0)</f>
        <v>hh79</v>
      </c>
      <c r="O592" s="78" t="str">
        <f>MID(A$5,((FIND(N592,A$4,1)-1)+1),4)</f>
        <v>ebd7</v>
      </c>
      <c r="P592" s="76" t="s">
        <v>0</v>
      </c>
      <c r="Q592" s="219" t="s">
        <v>0</v>
      </c>
      <c r="R592" s="103" t="s">
        <v>0</v>
      </c>
      <c r="S592" s="103" t="s">
        <v>0</v>
      </c>
      <c r="T592" s="42" t="s">
        <v>1</v>
      </c>
    </row>
    <row r="593" spans="1:20" ht="12.75">
      <c r="A593" s="44">
        <v>5563</v>
      </c>
      <c r="B593" s="886">
        <v>11126</v>
      </c>
      <c r="C593" s="886">
        <v>30946969</v>
      </c>
      <c r="D593" s="950" t="s">
        <v>2496</v>
      </c>
      <c r="E593" s="115">
        <f>B593-MOD(E$1-A593*3,B593)</f>
        <v>4683</v>
      </c>
      <c r="F593" s="644">
        <f>IF(MOD(E593,5)=0,B593,0)+E593</f>
        <v>4683</v>
      </c>
      <c r="G593" s="785">
        <f>IF(MOD(F593+$B593,5)=0,$B593,0)+$B593+F593</f>
        <v>15809</v>
      </c>
      <c r="H593" s="785">
        <f>IF(MOD(G593+$B593,5)=0,$B593,0)+$B593+G593</f>
        <v>38061</v>
      </c>
      <c r="I593" s="785">
        <f>IF(MOD(H593+$B593,5)=0,$B593,0)+$B593+H593</f>
        <v>49187</v>
      </c>
      <c r="J593" s="911">
        <v>468</v>
      </c>
      <c r="K593" s="785">
        <v>1580</v>
      </c>
      <c r="L593" s="785">
        <v>3806</v>
      </c>
      <c r="M593" s="785">
        <v>4918</v>
      </c>
      <c r="N593" s="23" t="str">
        <f>D593&amp;FIXED(MOD(F593,10),0)</f>
        <v>hh33</v>
      </c>
      <c r="O593" s="78" t="str">
        <f>MID(A$5,((FIND(N593,A$4,1)-1)+1),4)</f>
        <v>be7d</v>
      </c>
      <c r="P593" s="76" t="s">
        <v>0</v>
      </c>
      <c r="Q593" s="219" t="s">
        <v>0</v>
      </c>
      <c r="R593" s="103" t="s">
        <v>0</v>
      </c>
      <c r="S593" s="103" t="s">
        <v>0</v>
      </c>
      <c r="T593" s="42" t="s">
        <v>1</v>
      </c>
    </row>
    <row r="594" spans="1:20" ht="12.75">
      <c r="A594" s="44">
        <v>5569</v>
      </c>
      <c r="B594" s="886">
        <v>11138</v>
      </c>
      <c r="C594" s="886">
        <v>31013761</v>
      </c>
      <c r="D594" s="950" t="s">
        <v>2506</v>
      </c>
      <c r="E594" s="115">
        <f>B594-MOD(E$1-A594*3,B594)</f>
        <v>9503</v>
      </c>
      <c r="F594" s="644">
        <f>IF(MOD(E594,5)=0,B594,0)+E594</f>
        <v>9503</v>
      </c>
      <c r="G594" s="785">
        <f>IF(MOD(F594+$B594,5)=0,$B594,0)+$B594+F594</f>
        <v>20641</v>
      </c>
      <c r="H594" s="785">
        <f>IF(MOD(G594+$B594,5)=0,$B594,0)+$B594+G594</f>
        <v>31779</v>
      </c>
      <c r="I594" s="785">
        <f>IF(MOD(H594+$B594,5)=0,$B594,0)+$B594+H594</f>
        <v>42917</v>
      </c>
      <c r="J594" s="911">
        <v>950</v>
      </c>
      <c r="K594" s="785">
        <v>2064</v>
      </c>
      <c r="L594" s="785">
        <v>3177</v>
      </c>
      <c r="M594" s="785">
        <v>4291</v>
      </c>
      <c r="N594" s="23" t="str">
        <f>D594&amp;FIXED(MOD(F594,10),0)</f>
        <v>hh93</v>
      </c>
      <c r="O594" s="78" t="str">
        <f>MID(A$5,((FIND(N594,A$4,1)-1)+1),4)</f>
        <v>b7ed</v>
      </c>
      <c r="P594" s="76" t="s">
        <v>0</v>
      </c>
      <c r="Q594" s="219" t="s">
        <v>0</v>
      </c>
      <c r="R594" s="103" t="s">
        <v>0</v>
      </c>
      <c r="S594" s="103" t="s">
        <v>0</v>
      </c>
      <c r="T594" s="42" t="s">
        <v>1</v>
      </c>
    </row>
    <row r="595" spans="1:20" ht="12.75">
      <c r="A595" s="44">
        <v>5573</v>
      </c>
      <c r="B595" s="886">
        <v>11146</v>
      </c>
      <c r="C595" s="886">
        <v>31058329</v>
      </c>
      <c r="D595" s="950" t="s">
        <v>2496</v>
      </c>
      <c r="E595" s="115">
        <f>B595-MOD(E$1-A595*3,B595)</f>
        <v>1333</v>
      </c>
      <c r="F595" s="644">
        <f>IF(MOD(E595,5)=0,B595,0)+E595</f>
        <v>1333</v>
      </c>
      <c r="G595" s="785">
        <f>IF(MOD(F595+$B595,5)=0,$B595,0)+$B595+F595</f>
        <v>12479</v>
      </c>
      <c r="H595" s="785">
        <f>IF(MOD(G595+$B595,5)=0,$B595,0)+$B595+G595</f>
        <v>34771</v>
      </c>
      <c r="I595" s="785">
        <f>IF(MOD(H595+$B595,5)=0,$B595,0)+$B595+H595</f>
        <v>45917</v>
      </c>
      <c r="J595" s="911">
        <v>133</v>
      </c>
      <c r="K595" s="785">
        <v>1247</v>
      </c>
      <c r="L595" s="785">
        <v>3477</v>
      </c>
      <c r="M595" s="785">
        <v>4591</v>
      </c>
      <c r="N595" s="23" t="str">
        <f>D595&amp;FIXED(MOD(F595,10),0)</f>
        <v>hh33</v>
      </c>
      <c r="O595" s="78" t="str">
        <f>MID(A$5,((FIND(N595,A$4,1)-1)+1),4)</f>
        <v>be7d</v>
      </c>
      <c r="P595" s="76" t="s">
        <v>0</v>
      </c>
      <c r="Q595" s="219" t="s">
        <v>0</v>
      </c>
      <c r="R595" s="103" t="s">
        <v>0</v>
      </c>
      <c r="S595" s="103" t="s">
        <v>0</v>
      </c>
      <c r="T595" s="42" t="s">
        <v>1</v>
      </c>
    </row>
    <row r="596" spans="1:20" ht="12.75">
      <c r="A596" s="44">
        <v>5581</v>
      </c>
      <c r="B596" s="886">
        <v>11162</v>
      </c>
      <c r="C596" s="886">
        <v>31147561</v>
      </c>
      <c r="D596" s="950" t="s">
        <v>2490</v>
      </c>
      <c r="E596" s="115">
        <f>B596-MOD(E$1-A596*3,B596)</f>
        <v>8225</v>
      </c>
      <c r="F596" s="644">
        <f>IF(MOD(E596,5)=0,B596,0)+E596</f>
        <v>19387</v>
      </c>
      <c r="G596" s="785">
        <f>IF(MOD(F596+$B596,5)=0,$B596,0)+$B596+F596</f>
        <v>30549</v>
      </c>
      <c r="H596" s="785">
        <f>IF(MOD(G596+$B596,5)=0,$B596,0)+$B596+G596</f>
        <v>41711</v>
      </c>
      <c r="I596" s="785">
        <f>IF(MOD(H596+$B596,5)=0,$B596,0)+$B596+H596</f>
        <v>52873</v>
      </c>
      <c r="J596" s="911">
        <v>1938</v>
      </c>
      <c r="K596" s="785">
        <v>3054</v>
      </c>
      <c r="L596" s="785">
        <v>4171</v>
      </c>
      <c r="M596" s="785">
        <v>5287</v>
      </c>
      <c r="N596" s="23" t="str">
        <f>D596&amp;FIXED(MOD(F596,10),0)</f>
        <v>hh17</v>
      </c>
      <c r="O596" s="78" t="str">
        <f>MID(A$5,((FIND(N596,A$4,1)-1)+1),4)</f>
        <v>de7b</v>
      </c>
      <c r="P596" s="76" t="s">
        <v>0</v>
      </c>
      <c r="Q596" s="219" t="s">
        <v>0</v>
      </c>
      <c r="R596" s="103" t="s">
        <v>0</v>
      </c>
      <c r="S596" s="103" t="s">
        <v>0</v>
      </c>
      <c r="T596" s="42" t="s">
        <v>1</v>
      </c>
    </row>
    <row r="597" spans="1:20" ht="12.75">
      <c r="A597" s="44">
        <v>5591</v>
      </c>
      <c r="B597" s="886">
        <v>11182</v>
      </c>
      <c r="C597" s="886">
        <v>31259281</v>
      </c>
      <c r="D597" s="950" t="s">
        <v>2490</v>
      </c>
      <c r="E597" s="115">
        <f>B597-MOD(E$1-A597*3,B597)</f>
        <v>1577</v>
      </c>
      <c r="F597" s="644">
        <f>IF(MOD(E597,5)=0,B597,0)+E597</f>
        <v>1577</v>
      </c>
      <c r="G597" s="785">
        <f>IF(MOD(F597+$B597,5)=0,$B597,0)+$B597+F597</f>
        <v>12759</v>
      </c>
      <c r="H597" s="785">
        <f>IF(MOD(G597+$B597,5)=0,$B597,0)+$B597+G597</f>
        <v>23941</v>
      </c>
      <c r="I597" s="785">
        <f>IF(MOD(H597+$B597,5)=0,$B597,0)+$B597+H597</f>
        <v>35123</v>
      </c>
      <c r="J597" s="911">
        <v>157</v>
      </c>
      <c r="K597" s="785">
        <v>1275</v>
      </c>
      <c r="L597" s="785">
        <v>2394</v>
      </c>
      <c r="M597" s="785">
        <v>3512</v>
      </c>
      <c r="N597" s="23" t="str">
        <f>D597&amp;FIXED(MOD(F597,10),0)</f>
        <v>hh17</v>
      </c>
      <c r="O597" s="78" t="str">
        <f>MID(A$5,((FIND(N597,A$4,1)-1)+1),4)</f>
        <v>de7b</v>
      </c>
      <c r="P597" s="76" t="s">
        <v>0</v>
      </c>
      <c r="Q597" s="219" t="s">
        <v>0</v>
      </c>
      <c r="R597" s="103" t="s">
        <v>0</v>
      </c>
      <c r="S597" s="103" t="s">
        <v>0</v>
      </c>
      <c r="T597" s="42" t="s">
        <v>1</v>
      </c>
    </row>
    <row r="598" spans="1:20" ht="12.75">
      <c r="A598" s="44">
        <v>5623</v>
      </c>
      <c r="B598" s="886">
        <v>11246</v>
      </c>
      <c r="C598" s="886">
        <v>31618129</v>
      </c>
      <c r="D598" s="950" t="s">
        <v>2496</v>
      </c>
      <c r="E598" s="115">
        <f>B598-MOD(E$1-A598*3,B598)</f>
        <v>10467</v>
      </c>
      <c r="F598" s="644">
        <f>IF(MOD(E598,5)=0,B598,0)+E598</f>
        <v>10467</v>
      </c>
      <c r="G598" s="785">
        <f>IF(MOD(F598+$B598,5)=0,$B598,0)+$B598+F598</f>
        <v>21713</v>
      </c>
      <c r="H598" s="785">
        <f>IF(MOD(G598+$B598,5)=0,$B598,0)+$B598+G598</f>
        <v>32959</v>
      </c>
      <c r="I598" s="785">
        <f>IF(MOD(H598+$B598,5)=0,$B598,0)+$B598+H598</f>
        <v>55451</v>
      </c>
      <c r="J598" s="911">
        <v>1046</v>
      </c>
      <c r="K598" s="785">
        <v>2171</v>
      </c>
      <c r="L598" s="785">
        <v>3295</v>
      </c>
      <c r="M598" s="785">
        <v>5545</v>
      </c>
      <c r="N598" s="23" t="str">
        <f>D598&amp;FIXED(MOD(F598,10),0)</f>
        <v>hh37</v>
      </c>
      <c r="O598" s="78" t="str">
        <f>MID(A$5,((FIND(N598,A$4,1)-1)+1),4)</f>
        <v>dbe7</v>
      </c>
      <c r="P598" s="76" t="s">
        <v>0</v>
      </c>
      <c r="Q598" s="219" t="s">
        <v>0</v>
      </c>
      <c r="R598" s="103" t="s">
        <v>0</v>
      </c>
      <c r="S598" s="103" t="s">
        <v>0</v>
      </c>
      <c r="T598" s="42" t="s">
        <v>1</v>
      </c>
    </row>
    <row r="599" spans="1:20" ht="12.75">
      <c r="A599" s="44">
        <v>5639</v>
      </c>
      <c r="B599" s="886">
        <v>11278</v>
      </c>
      <c r="C599" s="886">
        <v>31798321</v>
      </c>
      <c r="D599" s="950" t="s">
        <v>2506</v>
      </c>
      <c r="E599" s="115">
        <f>B599-MOD(E$1-A599*3,B599)</f>
        <v>10807</v>
      </c>
      <c r="F599" s="644">
        <f>IF(MOD(E599,5)=0,B599,0)+E599</f>
        <v>10807</v>
      </c>
      <c r="G599" s="785">
        <f>IF(MOD(F599+$B599,5)=0,$B599,0)+$B599+F599</f>
        <v>33363</v>
      </c>
      <c r="H599" s="785">
        <f>IF(MOD(G599+$B599,5)=0,$B599,0)+$B599+G599</f>
        <v>44641</v>
      </c>
      <c r="I599" s="785">
        <f>IF(MOD(H599+$B599,5)=0,$B599,0)+$B599+H599</f>
        <v>55919</v>
      </c>
      <c r="J599" s="911">
        <v>1080</v>
      </c>
      <c r="K599" s="785">
        <v>3336</v>
      </c>
      <c r="L599" s="785">
        <v>4464</v>
      </c>
      <c r="M599" s="785">
        <v>5591</v>
      </c>
      <c r="N599" s="23" t="str">
        <f>D599&amp;FIXED(MOD(F599,10),0)</f>
        <v>hh97</v>
      </c>
      <c r="O599" s="78" t="str">
        <f>MID(A$5,((FIND(N599,A$4,1)-1)+1),4)</f>
        <v>db7e</v>
      </c>
      <c r="P599" s="76" t="s">
        <v>0</v>
      </c>
      <c r="Q599" s="219" t="s">
        <v>0</v>
      </c>
      <c r="R599" s="103" t="s">
        <v>0</v>
      </c>
      <c r="S599" s="103" t="s">
        <v>0</v>
      </c>
      <c r="T599" s="42" t="s">
        <v>1</v>
      </c>
    </row>
    <row r="600" spans="1:20" ht="12.75">
      <c r="A600" s="44">
        <v>5641</v>
      </c>
      <c r="B600" s="886">
        <v>11282</v>
      </c>
      <c r="C600" s="886">
        <v>31820881</v>
      </c>
      <c r="D600" s="950" t="s">
        <v>2490</v>
      </c>
      <c r="E600" s="115">
        <f>B600-MOD(E$1-A600*3,B600)</f>
        <v>10829</v>
      </c>
      <c r="F600" s="644">
        <f>IF(MOD(E600,5)=0,B600,0)+E600</f>
        <v>10829</v>
      </c>
      <c r="G600" s="785">
        <f>IF(MOD(F600+$B600,5)=0,$B600,0)+$B600+F600</f>
        <v>22111</v>
      </c>
      <c r="H600" s="785">
        <f>IF(MOD(G600+$B600,5)=0,$B600,0)+$B600+G600</f>
        <v>33393</v>
      </c>
      <c r="I600" s="785">
        <f>IF(MOD(H600+$B600,5)=0,$B600,0)+$B600+H600</f>
        <v>55957</v>
      </c>
      <c r="J600" s="911">
        <v>1082</v>
      </c>
      <c r="K600" s="785">
        <v>2211</v>
      </c>
      <c r="L600" s="785">
        <v>3339</v>
      </c>
      <c r="M600" s="785">
        <v>5595</v>
      </c>
      <c r="N600" s="23" t="str">
        <f>D600&amp;FIXED(MOD(F600,10),0)</f>
        <v>hh19</v>
      </c>
      <c r="O600" s="78" t="str">
        <f>MID(A$5,((FIND(N600,A$4,1)-1)+1),4)</f>
        <v>e7bd</v>
      </c>
      <c r="P600" s="76" t="s">
        <v>0</v>
      </c>
      <c r="Q600" s="219" t="s">
        <v>0</v>
      </c>
      <c r="R600" s="103" t="s">
        <v>0</v>
      </c>
      <c r="S600" s="103" t="s">
        <v>0</v>
      </c>
      <c r="T600" s="42" t="s">
        <v>1</v>
      </c>
    </row>
    <row r="601" spans="1:20" ht="12.75">
      <c r="A601" s="44">
        <v>5647</v>
      </c>
      <c r="B601" s="886">
        <v>11294</v>
      </c>
      <c r="C601" s="886">
        <v>31888609</v>
      </c>
      <c r="D601" s="950" t="s">
        <v>2501</v>
      </c>
      <c r="E601" s="115">
        <f>B601-MOD(E$1-A601*3,B601)</f>
        <v>10959</v>
      </c>
      <c r="F601" s="644">
        <f>IF(MOD(E601,5)=0,B601,0)+E601</f>
        <v>10959</v>
      </c>
      <c r="G601" s="785">
        <f>IF(MOD(F601+$B601,5)=0,$B601,0)+$B601+F601</f>
        <v>22253</v>
      </c>
      <c r="H601" s="785">
        <f>IF(MOD(G601+$B601,5)=0,$B601,0)+$B601+G601</f>
        <v>33547</v>
      </c>
      <c r="I601" s="785">
        <f>IF(MOD(H601+$B601,5)=0,$B601,0)+$B601+H601</f>
        <v>44841</v>
      </c>
      <c r="J601" s="911">
        <v>1095</v>
      </c>
      <c r="K601" s="785">
        <v>2225</v>
      </c>
      <c r="L601" s="785">
        <v>3354</v>
      </c>
      <c r="M601" s="785">
        <v>4484</v>
      </c>
      <c r="N601" s="23" t="str">
        <f>D601&amp;FIXED(MOD(F601,10),0)</f>
        <v>hh79</v>
      </c>
      <c r="O601" s="78" t="str">
        <f>MID(A$5,((FIND(N601,A$4,1)-1)+1),4)</f>
        <v>ebd7</v>
      </c>
      <c r="P601" s="76" t="s">
        <v>0</v>
      </c>
      <c r="Q601" s="219" t="s">
        <v>0</v>
      </c>
      <c r="R601" s="103" t="s">
        <v>0</v>
      </c>
      <c r="S601" s="103" t="s">
        <v>0</v>
      </c>
      <c r="T601" s="42" t="s">
        <v>1</v>
      </c>
    </row>
    <row r="602" spans="1:20" ht="12.75">
      <c r="A602" s="44">
        <v>5651</v>
      </c>
      <c r="B602" s="886">
        <v>11302</v>
      </c>
      <c r="C602" s="886">
        <v>31933801</v>
      </c>
      <c r="D602" s="950" t="s">
        <v>2490</v>
      </c>
      <c r="E602" s="115">
        <f>B602-MOD(E$1-A602*3,B602)</f>
        <v>1397</v>
      </c>
      <c r="F602" s="644">
        <f>IF(MOD(E602,5)=0,B602,0)+E602</f>
        <v>1397</v>
      </c>
      <c r="G602" s="785">
        <f>IF(MOD(F602+$B602,5)=0,$B602,0)+$B602+F602</f>
        <v>12699</v>
      </c>
      <c r="H602" s="785">
        <f>IF(MOD(G602+$B602,5)=0,$B602,0)+$B602+G602</f>
        <v>24001</v>
      </c>
      <c r="I602" s="785">
        <f>IF(MOD(H602+$B602,5)=0,$B602,0)+$B602+H602</f>
        <v>35303</v>
      </c>
      <c r="J602" s="911">
        <v>139</v>
      </c>
      <c r="K602" s="785">
        <v>1269</v>
      </c>
      <c r="L602" s="785">
        <v>2400</v>
      </c>
      <c r="M602" s="785">
        <v>3530</v>
      </c>
      <c r="N602" s="23" t="str">
        <f>D602&amp;FIXED(MOD(F602,10),0)</f>
        <v>hh17</v>
      </c>
      <c r="O602" s="78" t="str">
        <f>MID(A$5,((FIND(N602,A$4,1)-1)+1),4)</f>
        <v>de7b</v>
      </c>
      <c r="P602" s="76" t="s">
        <v>0</v>
      </c>
      <c r="Q602" s="219" t="s">
        <v>0</v>
      </c>
      <c r="R602" s="103" t="s">
        <v>0</v>
      </c>
      <c r="S602" s="103" t="s">
        <v>0</v>
      </c>
      <c r="T602" s="42" t="s">
        <v>1</v>
      </c>
    </row>
    <row r="603" spans="1:20" ht="12.75">
      <c r="A603" s="44">
        <v>5653</v>
      </c>
      <c r="B603" s="886">
        <v>11306</v>
      </c>
      <c r="C603" s="886">
        <v>31956409</v>
      </c>
      <c r="D603" s="950" t="s">
        <v>2496</v>
      </c>
      <c r="E603" s="115">
        <f>B603-MOD(E$1-A603*3,B603)</f>
        <v>3239</v>
      </c>
      <c r="F603" s="644">
        <f>IF(MOD(E603,5)=0,B603,0)+E603</f>
        <v>3239</v>
      </c>
      <c r="G603" s="785">
        <f>IF(MOD(F603+$B603,5)=0,$B603,0)+$B603+F603</f>
        <v>25851</v>
      </c>
      <c r="H603" s="785">
        <f>IF(MOD(G603+$B603,5)=0,$B603,0)+$B603+G603</f>
        <v>37157</v>
      </c>
      <c r="I603" s="785">
        <f>IF(MOD(H603+$B603,5)=0,$B603,0)+$B603+H603</f>
        <v>48463</v>
      </c>
      <c r="J603" s="911">
        <v>323</v>
      </c>
      <c r="K603" s="785">
        <v>2585</v>
      </c>
      <c r="L603" s="785">
        <v>3715</v>
      </c>
      <c r="M603" s="785">
        <v>4846</v>
      </c>
      <c r="N603" s="23" t="str">
        <f>D603&amp;FIXED(MOD(F603,10),0)</f>
        <v>hh39</v>
      </c>
      <c r="O603" s="78" t="str">
        <f>MID(A$5,((FIND(N603,A$4,1)-1)+1),4)</f>
        <v>e7db</v>
      </c>
      <c r="P603" s="76" t="s">
        <v>0</v>
      </c>
      <c r="Q603" s="219" t="s">
        <v>0</v>
      </c>
      <c r="R603" s="103" t="s">
        <v>0</v>
      </c>
      <c r="S603" s="103" t="s">
        <v>0</v>
      </c>
      <c r="T603" s="42" t="s">
        <v>1</v>
      </c>
    </row>
    <row r="604" spans="1:20" ht="12.75">
      <c r="A604" s="44">
        <v>5657</v>
      </c>
      <c r="B604" s="886">
        <v>11314</v>
      </c>
      <c r="C604" s="886">
        <v>32001649</v>
      </c>
      <c r="D604" s="950" t="s">
        <v>2501</v>
      </c>
      <c r="E604" s="115">
        <f>B604-MOD(E$1-A604*3,B604)</f>
        <v>9675</v>
      </c>
      <c r="F604" s="644">
        <f>IF(MOD(E604,5)=0,B604,0)+E604</f>
        <v>20989</v>
      </c>
      <c r="G604" s="785">
        <f>IF(MOD(F604+$B604,5)=0,$B604,0)+$B604+F604</f>
        <v>32303</v>
      </c>
      <c r="H604" s="785">
        <f>IF(MOD(G604+$B604,5)=0,$B604,0)+$B604+G604</f>
        <v>43617</v>
      </c>
      <c r="I604" s="785">
        <f>IF(MOD(H604+$B604,5)=0,$B604,0)+$B604+H604</f>
        <v>54931</v>
      </c>
      <c r="J604" s="911">
        <v>2098</v>
      </c>
      <c r="K604" s="785">
        <v>3230</v>
      </c>
      <c r="L604" s="785">
        <v>4361</v>
      </c>
      <c r="M604" s="785">
        <v>5493</v>
      </c>
      <c r="N604" s="23" t="str">
        <f>D604&amp;FIXED(MOD(F604,10),0)</f>
        <v>hh79</v>
      </c>
      <c r="O604" s="78" t="str">
        <f>MID(A$5,((FIND(N604,A$4,1)-1)+1),4)</f>
        <v>ebd7</v>
      </c>
      <c r="P604" s="76" t="s">
        <v>0</v>
      </c>
      <c r="Q604" s="219" t="s">
        <v>0</v>
      </c>
      <c r="R604" s="103" t="s">
        <v>0</v>
      </c>
      <c r="S604" s="103" t="s">
        <v>0</v>
      </c>
      <c r="T604" s="42" t="s">
        <v>1</v>
      </c>
    </row>
    <row r="605" spans="1:20" ht="12.75">
      <c r="A605" s="44">
        <v>5659</v>
      </c>
      <c r="B605" s="886">
        <v>11318</v>
      </c>
      <c r="C605" s="886">
        <v>32024281</v>
      </c>
      <c r="D605" s="950" t="s">
        <v>2506</v>
      </c>
      <c r="E605" s="115">
        <f>B605-MOD(E$1-A605*3,B605)</f>
        <v>3271</v>
      </c>
      <c r="F605" s="644">
        <f>IF(MOD(E605,5)=0,B605,0)+E605</f>
        <v>3271</v>
      </c>
      <c r="G605" s="785">
        <f>IF(MOD(F605+$B605,5)=0,$B605,0)+$B605+F605</f>
        <v>14589</v>
      </c>
      <c r="H605" s="785">
        <f>IF(MOD(G605+$B605,5)=0,$B605,0)+$B605+G605</f>
        <v>25907</v>
      </c>
      <c r="I605" s="785">
        <f>IF(MOD(H605+$B605,5)=0,$B605,0)+$B605+H605</f>
        <v>48543</v>
      </c>
      <c r="J605" s="911">
        <v>327</v>
      </c>
      <c r="K605" s="785">
        <v>1458</v>
      </c>
      <c r="L605" s="785">
        <v>2590</v>
      </c>
      <c r="M605" s="785">
        <v>4854</v>
      </c>
      <c r="N605" s="23" t="str">
        <f>D605&amp;FIXED(MOD(F605,10),0)</f>
        <v>hh91</v>
      </c>
      <c r="O605" s="78" t="str">
        <f>MID(A$5,((FIND(N605,A$4,1)-1)+1),4)</f>
        <v>7edb</v>
      </c>
      <c r="P605" s="76" t="s">
        <v>0</v>
      </c>
      <c r="Q605" s="219" t="s">
        <v>0</v>
      </c>
      <c r="R605" s="103" t="s">
        <v>0</v>
      </c>
      <c r="S605" s="103" t="s">
        <v>0</v>
      </c>
      <c r="T605" s="42" t="s">
        <v>1</v>
      </c>
    </row>
    <row r="606" spans="1:20" ht="12.75">
      <c r="A606" s="44">
        <v>5669</v>
      </c>
      <c r="B606" s="886">
        <v>11338</v>
      </c>
      <c r="C606" s="886">
        <v>32137561</v>
      </c>
      <c r="D606" s="950" t="s">
        <v>2506</v>
      </c>
      <c r="E606" s="115">
        <f>B606-MOD(E$1-A606*3,B606)</f>
        <v>5829</v>
      </c>
      <c r="F606" s="644">
        <f>IF(MOD(E606,5)=0,B606,0)+E606</f>
        <v>5829</v>
      </c>
      <c r="G606" s="785">
        <f>IF(MOD(F606+$B606,5)=0,$B606,0)+$B606+F606</f>
        <v>17167</v>
      </c>
      <c r="H606" s="785">
        <f>IF(MOD(G606+$B606,5)=0,$B606,0)+$B606+G606</f>
        <v>39843</v>
      </c>
      <c r="I606" s="785">
        <f>IF(MOD(H606+$B606,5)=0,$B606,0)+$B606+H606</f>
        <v>51181</v>
      </c>
      <c r="J606" s="911">
        <v>582</v>
      </c>
      <c r="K606" s="785">
        <v>1716</v>
      </c>
      <c r="L606" s="785">
        <v>3984</v>
      </c>
      <c r="M606" s="785">
        <v>5118</v>
      </c>
      <c r="N606" s="23" t="str">
        <f>D606&amp;FIXED(MOD(F606,10),0)</f>
        <v>hh99</v>
      </c>
      <c r="O606" s="78" t="str">
        <f>MID(A$5,((FIND(N606,A$4,1)-1)+1),4)</f>
        <v>edb7</v>
      </c>
      <c r="P606" s="76" t="s">
        <v>0</v>
      </c>
      <c r="Q606" s="219" t="s">
        <v>0</v>
      </c>
      <c r="R606" s="103" t="s">
        <v>0</v>
      </c>
      <c r="S606" s="103" t="s">
        <v>0</v>
      </c>
      <c r="T606" s="42" t="s">
        <v>1</v>
      </c>
    </row>
    <row r="607" spans="1:20" ht="12.75">
      <c r="A607" s="44">
        <v>5683</v>
      </c>
      <c r="B607" s="886">
        <v>11366</v>
      </c>
      <c r="C607" s="886">
        <v>32296489</v>
      </c>
      <c r="D607" s="950" t="s">
        <v>2496</v>
      </c>
      <c r="E607" s="115">
        <f>B607-MOD(E$1-A607*3,B607)</f>
        <v>8195</v>
      </c>
      <c r="F607" s="644">
        <f>IF(MOD(E607,5)=0,B607,0)+E607</f>
        <v>19561</v>
      </c>
      <c r="G607" s="785">
        <f>IF(MOD(F607+$B607,5)=0,$B607,0)+$B607+F607</f>
        <v>30927</v>
      </c>
      <c r="H607" s="785">
        <f>IF(MOD(G607+$B607,5)=0,$B607,0)+$B607+G607</f>
        <v>42293</v>
      </c>
      <c r="I607" s="785">
        <f>IF(MOD(H607+$B607,5)=0,$B607,0)+$B607+H607</f>
        <v>53659</v>
      </c>
      <c r="J607" s="911">
        <v>1956</v>
      </c>
      <c r="K607" s="785">
        <v>3092</v>
      </c>
      <c r="L607" s="785">
        <v>4229</v>
      </c>
      <c r="M607" s="785">
        <v>5365</v>
      </c>
      <c r="N607" s="23" t="str">
        <f>D607&amp;FIXED(MOD(F607,10),0)</f>
        <v>hh31</v>
      </c>
      <c r="O607" s="78" t="str">
        <f>MID(A$5,((FIND(N607,A$4,1)-1)+1),4)</f>
        <v>7dbe</v>
      </c>
      <c r="P607" s="76" t="s">
        <v>0</v>
      </c>
      <c r="Q607" s="219" t="s">
        <v>0</v>
      </c>
      <c r="R607" s="103" t="s">
        <v>0</v>
      </c>
      <c r="S607" s="103" t="s">
        <v>0</v>
      </c>
      <c r="T607" s="42" t="s">
        <v>1</v>
      </c>
    </row>
    <row r="608" spans="1:20" ht="12.75">
      <c r="A608" s="44">
        <v>5689</v>
      </c>
      <c r="B608" s="886">
        <v>11378</v>
      </c>
      <c r="C608" s="886">
        <v>32364721</v>
      </c>
      <c r="D608" s="950" t="s">
        <v>2506</v>
      </c>
      <c r="E608" s="115">
        <f>B608-MOD(E$1-A608*3,B608)</f>
        <v>9217</v>
      </c>
      <c r="F608" s="644">
        <f>IF(MOD(E608,5)=0,B608,0)+E608</f>
        <v>9217</v>
      </c>
      <c r="G608" s="785">
        <f>IF(MOD(F608+$B608,5)=0,$B608,0)+$B608+F608</f>
        <v>31973</v>
      </c>
      <c r="H608" s="785">
        <f>IF(MOD(G608+$B608,5)=0,$B608,0)+$B608+G608</f>
        <v>43351</v>
      </c>
      <c r="I608" s="785">
        <f>IF(MOD(H608+$B608,5)=0,$B608,0)+$B608+H608</f>
        <v>54729</v>
      </c>
      <c r="J608" s="911">
        <v>921</v>
      </c>
      <c r="K608" s="785">
        <v>3197</v>
      </c>
      <c r="L608" s="785">
        <v>4335</v>
      </c>
      <c r="M608" s="785">
        <v>5472</v>
      </c>
      <c r="N608" s="23" t="str">
        <f>D608&amp;FIXED(MOD(F608,10),0)</f>
        <v>hh97</v>
      </c>
      <c r="O608" s="78" t="str">
        <f>MID(A$5,((FIND(N608,A$4,1)-1)+1),4)</f>
        <v>db7e</v>
      </c>
      <c r="P608" s="76" t="s">
        <v>0</v>
      </c>
      <c r="Q608" s="219" t="s">
        <v>0</v>
      </c>
      <c r="R608" s="103" t="s">
        <v>0</v>
      </c>
      <c r="S608" s="103" t="s">
        <v>0</v>
      </c>
      <c r="T608" s="42" t="s">
        <v>1</v>
      </c>
    </row>
    <row r="609" spans="1:20" ht="12.75">
      <c r="A609" s="44">
        <v>5693</v>
      </c>
      <c r="B609" s="886">
        <v>11386</v>
      </c>
      <c r="C609" s="886">
        <v>32410249</v>
      </c>
      <c r="D609" s="950" t="s">
        <v>2496</v>
      </c>
      <c r="E609" s="115">
        <f>B609-MOD(E$1-A609*3,B609)</f>
        <v>1651</v>
      </c>
      <c r="F609" s="644">
        <f>IF(MOD(E609,5)=0,B609,0)+E609</f>
        <v>1651</v>
      </c>
      <c r="G609" s="785">
        <f>IF(MOD(F609+$B609,5)=0,$B609,0)+$B609+F609</f>
        <v>13037</v>
      </c>
      <c r="H609" s="785">
        <f>IF(MOD(G609+$B609,5)=0,$B609,0)+$B609+G609</f>
        <v>24423</v>
      </c>
      <c r="I609" s="785">
        <f>IF(MOD(H609+$B609,5)=0,$B609,0)+$B609+H609</f>
        <v>35809</v>
      </c>
      <c r="J609" s="911">
        <v>165</v>
      </c>
      <c r="K609" s="785">
        <v>1303</v>
      </c>
      <c r="L609" s="785">
        <v>2442</v>
      </c>
      <c r="M609" s="785">
        <v>3580</v>
      </c>
      <c r="N609" s="23" t="str">
        <f>D609&amp;FIXED(MOD(F609,10),0)</f>
        <v>hh31</v>
      </c>
      <c r="O609" s="78" t="str">
        <f>MID(A$5,((FIND(N609,A$4,1)-1)+1),4)</f>
        <v>7dbe</v>
      </c>
      <c r="P609" s="76" t="s">
        <v>0</v>
      </c>
      <c r="Q609" s="219" t="s">
        <v>0</v>
      </c>
      <c r="R609" s="103" t="s">
        <v>0</v>
      </c>
      <c r="S609" s="103" t="s">
        <v>0</v>
      </c>
      <c r="T609" s="42" t="s">
        <v>1</v>
      </c>
    </row>
    <row r="610" spans="1:20" ht="12.75">
      <c r="A610" s="44">
        <v>5701</v>
      </c>
      <c r="B610" s="886">
        <v>11402</v>
      </c>
      <c r="C610" s="886">
        <v>32501401</v>
      </c>
      <c r="D610" s="950" t="s">
        <v>2490</v>
      </c>
      <c r="E610" s="115">
        <f>B610-MOD(E$1-A610*3,B610)</f>
        <v>1929</v>
      </c>
      <c r="F610" s="644">
        <f>IF(MOD(E610,5)=0,B610,0)+E610</f>
        <v>1929</v>
      </c>
      <c r="G610" s="785">
        <f>IF(MOD(F610+$B610,5)=0,$B610,0)+$B610+F610</f>
        <v>13331</v>
      </c>
      <c r="H610" s="785">
        <f>IF(MOD(G610+$B610,5)=0,$B610,0)+$B610+G610</f>
        <v>24733</v>
      </c>
      <c r="I610" s="785">
        <f>IF(MOD(H610+$B610,5)=0,$B610,0)+$B610+H610</f>
        <v>47537</v>
      </c>
      <c r="J610" s="911">
        <v>192</v>
      </c>
      <c r="K610" s="785">
        <v>1333</v>
      </c>
      <c r="L610" s="785">
        <v>2473</v>
      </c>
      <c r="M610" s="785">
        <v>4753</v>
      </c>
      <c r="N610" s="23" t="str">
        <f>D610&amp;FIXED(MOD(F610,10),0)</f>
        <v>hh19</v>
      </c>
      <c r="O610" s="78" t="str">
        <f>MID(A$5,((FIND(N610,A$4,1)-1)+1),4)</f>
        <v>e7bd</v>
      </c>
      <c r="P610" s="76" t="s">
        <v>0</v>
      </c>
      <c r="Q610" s="219" t="s">
        <v>0</v>
      </c>
      <c r="R610" s="103" t="s">
        <v>0</v>
      </c>
      <c r="S610" s="103" t="s">
        <v>0</v>
      </c>
      <c r="T610" s="42" t="s">
        <v>1</v>
      </c>
    </row>
    <row r="611" spans="1:20" ht="12.75">
      <c r="A611" s="44">
        <v>5711</v>
      </c>
      <c r="B611" s="886">
        <v>11422</v>
      </c>
      <c r="C611" s="886">
        <v>32615521</v>
      </c>
      <c r="D611" s="950" t="s">
        <v>2490</v>
      </c>
      <c r="E611" s="115">
        <f>B611-MOD(E$1-A611*3,B611)</f>
        <v>8429</v>
      </c>
      <c r="F611" s="644">
        <f>IF(MOD(E611,5)=0,B611,0)+E611</f>
        <v>8429</v>
      </c>
      <c r="G611" s="785">
        <f>IF(MOD(F611+$B611,5)=0,$B611,0)+$B611+F611</f>
        <v>19851</v>
      </c>
      <c r="H611" s="785">
        <f>IF(MOD(G611+$B611,5)=0,$B611,0)+$B611+G611</f>
        <v>31273</v>
      </c>
      <c r="I611" s="785">
        <f>IF(MOD(H611+$B611,5)=0,$B611,0)+$B611+H611</f>
        <v>54117</v>
      </c>
      <c r="J611" s="911">
        <v>842</v>
      </c>
      <c r="K611" s="785">
        <v>1985</v>
      </c>
      <c r="L611" s="785">
        <v>3127</v>
      </c>
      <c r="M611" s="785">
        <v>5411</v>
      </c>
      <c r="N611" s="23" t="str">
        <f>D611&amp;FIXED(MOD(F611,10),0)</f>
        <v>hh19</v>
      </c>
      <c r="O611" s="78" t="str">
        <f>MID(A$5,((FIND(N611,A$4,1)-1)+1),4)</f>
        <v>e7bd</v>
      </c>
      <c r="P611" s="76" t="s">
        <v>0</v>
      </c>
      <c r="Q611" s="219" t="s">
        <v>0</v>
      </c>
      <c r="R611" s="103" t="s">
        <v>0</v>
      </c>
      <c r="S611" s="103" t="s">
        <v>0</v>
      </c>
      <c r="T611" s="42" t="s">
        <v>1</v>
      </c>
    </row>
    <row r="612" spans="1:20" ht="12.75">
      <c r="A612" s="44">
        <v>5717</v>
      </c>
      <c r="B612" s="886">
        <v>11434</v>
      </c>
      <c r="C612" s="886">
        <v>32684089</v>
      </c>
      <c r="D612" s="950" t="s">
        <v>2501</v>
      </c>
      <c r="E612" s="115">
        <f>B612-MOD(E$1-A612*3,B612)</f>
        <v>7821</v>
      </c>
      <c r="F612" s="644">
        <f>IF(MOD(E612,5)=0,B612,0)+E612</f>
        <v>7821</v>
      </c>
      <c r="G612" s="785">
        <f>IF(MOD(F612+$B612,5)=0,$B612,0)+$B612+F612</f>
        <v>30689</v>
      </c>
      <c r="H612" s="785">
        <f>IF(MOD(G612+$B612,5)=0,$B612,0)+$B612+G612</f>
        <v>42123</v>
      </c>
      <c r="I612" s="785">
        <f>IF(MOD(H612+$B612,5)=0,$B612,0)+$B612+H612</f>
        <v>53557</v>
      </c>
      <c r="J612" s="911">
        <v>782</v>
      </c>
      <c r="K612" s="785">
        <v>3068</v>
      </c>
      <c r="L612" s="785">
        <v>4212</v>
      </c>
      <c r="M612" s="785">
        <v>5355</v>
      </c>
      <c r="N612" s="23" t="str">
        <f>D612&amp;FIXED(MOD(F612,10),0)</f>
        <v>hh71</v>
      </c>
      <c r="O612" s="78" t="str">
        <f>MID(A$5,((FIND(N612,A$4,1)-1)+1),4)</f>
        <v>7ebd</v>
      </c>
      <c r="P612" s="76" t="s">
        <v>0</v>
      </c>
      <c r="Q612" s="219" t="s">
        <v>0</v>
      </c>
      <c r="R612" s="103" t="s">
        <v>0</v>
      </c>
      <c r="S612" s="103" t="s">
        <v>0</v>
      </c>
      <c r="T612" s="42" t="s">
        <v>1</v>
      </c>
    </row>
    <row r="613" spans="1:20" ht="12.75">
      <c r="A613" s="44">
        <v>5737</v>
      </c>
      <c r="B613" s="886">
        <v>11474</v>
      </c>
      <c r="C613" s="886">
        <v>32913169</v>
      </c>
      <c r="D613" s="950" t="s">
        <v>2501</v>
      </c>
      <c r="E613" s="115">
        <f>B613-MOD(E$1-A613*3,B613)</f>
        <v>1277</v>
      </c>
      <c r="F613" s="644">
        <f>IF(MOD(E613,5)=0,B613,0)+E613</f>
        <v>1277</v>
      </c>
      <c r="G613" s="785">
        <f>IF(MOD(F613+$B613,5)=0,$B613,0)+$B613+F613</f>
        <v>12751</v>
      </c>
      <c r="H613" s="785">
        <f>IF(MOD(G613+$B613,5)=0,$B613,0)+$B613+G613</f>
        <v>35699</v>
      </c>
      <c r="I613" s="785">
        <f>IF(MOD(H613+$B613,5)=0,$B613,0)+$B613+H613</f>
        <v>47173</v>
      </c>
      <c r="J613" s="911">
        <v>127</v>
      </c>
      <c r="K613" s="785">
        <v>1275</v>
      </c>
      <c r="L613" s="785">
        <v>3569</v>
      </c>
      <c r="M613" s="785">
        <v>4717</v>
      </c>
      <c r="N613" s="23" t="str">
        <f>D613&amp;FIXED(MOD(F613,10),0)</f>
        <v>hh77</v>
      </c>
      <c r="O613" s="78" t="str">
        <f>MID(A$5,((FIND(N613,A$4,1)-1)+1),4)</f>
        <v>d7eb</v>
      </c>
      <c r="P613" s="76" t="s">
        <v>0</v>
      </c>
      <c r="Q613" s="219" t="s">
        <v>0</v>
      </c>
      <c r="R613" s="103" t="s">
        <v>0</v>
      </c>
      <c r="S613" s="103" t="s">
        <v>0</v>
      </c>
      <c r="T613" s="42" t="s">
        <v>1</v>
      </c>
    </row>
    <row r="614" spans="1:20" ht="12.75">
      <c r="A614" s="44">
        <v>5741</v>
      </c>
      <c r="B614" s="886">
        <v>11482</v>
      </c>
      <c r="C614" s="886">
        <v>32959081</v>
      </c>
      <c r="D614" s="950" t="s">
        <v>2490</v>
      </c>
      <c r="E614" s="115">
        <f>B614-MOD(E$1-A614*3,B614)</f>
        <v>6569</v>
      </c>
      <c r="F614" s="644">
        <f>IF(MOD(E614,5)=0,B614,0)+E614</f>
        <v>6569</v>
      </c>
      <c r="G614" s="785">
        <f>IF(MOD(F614+$B614,5)=0,$B614,0)+$B614+F614</f>
        <v>18051</v>
      </c>
      <c r="H614" s="785">
        <f>IF(MOD(G614+$B614,5)=0,$B614,0)+$B614+G614</f>
        <v>29533</v>
      </c>
      <c r="I614" s="785">
        <f>IF(MOD(H614+$B614,5)=0,$B614,0)+$B614+H614</f>
        <v>52497</v>
      </c>
      <c r="J614" s="911">
        <v>656</v>
      </c>
      <c r="K614" s="785">
        <v>1805</v>
      </c>
      <c r="L614" s="785">
        <v>2953</v>
      </c>
      <c r="M614" s="785">
        <v>5249</v>
      </c>
      <c r="N614" s="23" t="str">
        <f>D614&amp;FIXED(MOD(F614,10),0)</f>
        <v>hh19</v>
      </c>
      <c r="O614" s="78" t="str">
        <f>MID(A$5,((FIND(N614,A$4,1)-1)+1),4)</f>
        <v>e7bd</v>
      </c>
      <c r="P614" s="76" t="s">
        <v>0</v>
      </c>
      <c r="Q614" s="219" t="s">
        <v>0</v>
      </c>
      <c r="R614" s="103" t="s">
        <v>0</v>
      </c>
      <c r="S614" s="103" t="s">
        <v>0</v>
      </c>
      <c r="T614" s="42" t="s">
        <v>1</v>
      </c>
    </row>
    <row r="615" spans="1:20" ht="12.75">
      <c r="A615" s="44">
        <v>5743</v>
      </c>
      <c r="B615" s="886">
        <v>11486</v>
      </c>
      <c r="C615" s="886">
        <v>32982049</v>
      </c>
      <c r="D615" s="950" t="s">
        <v>2496</v>
      </c>
      <c r="E615" s="115">
        <f>B615-MOD(E$1-A615*3,B615)</f>
        <v>9313</v>
      </c>
      <c r="F615" s="644">
        <f>IF(MOD(E615,5)=0,B615,0)+E615</f>
        <v>9313</v>
      </c>
      <c r="G615" s="785">
        <f>IF(MOD(F615+$B615,5)=0,$B615,0)+$B615+F615</f>
        <v>20799</v>
      </c>
      <c r="H615" s="785">
        <f>IF(MOD(G615+$B615,5)=0,$B615,0)+$B615+G615</f>
        <v>43771</v>
      </c>
      <c r="I615" s="785">
        <f>IF(MOD(H615+$B615,5)=0,$B615,0)+$B615+H615</f>
        <v>55257</v>
      </c>
      <c r="J615" s="911">
        <v>931</v>
      </c>
      <c r="K615" s="785">
        <v>2079</v>
      </c>
      <c r="L615" s="785">
        <v>4377</v>
      </c>
      <c r="M615" s="785">
        <v>5525</v>
      </c>
      <c r="N615" s="23" t="str">
        <f>D615&amp;FIXED(MOD(F615,10),0)</f>
        <v>hh33</v>
      </c>
      <c r="O615" s="78" t="str">
        <f>MID(A$5,((FIND(N615,A$4,1)-1)+1),4)</f>
        <v>be7d</v>
      </c>
      <c r="P615" s="76" t="s">
        <v>0</v>
      </c>
      <c r="Q615" s="219" t="s">
        <v>0</v>
      </c>
      <c r="R615" s="103" t="s">
        <v>0</v>
      </c>
      <c r="S615" s="103" t="s">
        <v>0</v>
      </c>
      <c r="T615" s="42" t="s">
        <v>1</v>
      </c>
    </row>
    <row r="616" spans="1:20" ht="12.75">
      <c r="A616" s="44">
        <v>5749</v>
      </c>
      <c r="B616" s="886">
        <v>11498</v>
      </c>
      <c r="C616" s="886">
        <v>33051001</v>
      </c>
      <c r="D616" s="950" t="s">
        <v>2506</v>
      </c>
      <c r="E616" s="115">
        <f>B616-MOD(E$1-A616*3,B616)</f>
        <v>8263</v>
      </c>
      <c r="F616" s="644">
        <f>IF(MOD(E616,5)=0,B616,0)+E616</f>
        <v>8263</v>
      </c>
      <c r="G616" s="785">
        <f>IF(MOD(F616+$B616,5)=0,$B616,0)+$B616+F616</f>
        <v>19761</v>
      </c>
      <c r="H616" s="785">
        <f>IF(MOD(G616+$B616,5)=0,$B616,0)+$B616+G616</f>
        <v>31259</v>
      </c>
      <c r="I616" s="785">
        <f>IF(MOD(H616+$B616,5)=0,$B616,0)+$B616+H616</f>
        <v>42757</v>
      </c>
      <c r="J616" s="911">
        <v>826</v>
      </c>
      <c r="K616" s="785">
        <v>1976</v>
      </c>
      <c r="L616" s="785">
        <v>3125</v>
      </c>
      <c r="M616" s="785">
        <v>4275</v>
      </c>
      <c r="N616" s="23" t="str">
        <f>D616&amp;FIXED(MOD(F616,10),0)</f>
        <v>hh93</v>
      </c>
      <c r="O616" s="78" t="str">
        <f>MID(A$5,((FIND(N616,A$4,1)-1)+1),4)</f>
        <v>b7ed</v>
      </c>
      <c r="P616" s="76" t="s">
        <v>0</v>
      </c>
      <c r="Q616" s="219" t="s">
        <v>0</v>
      </c>
      <c r="R616" s="103" t="s">
        <v>0</v>
      </c>
      <c r="S616" s="103" t="s">
        <v>0</v>
      </c>
      <c r="T616" s="42" t="s">
        <v>1</v>
      </c>
    </row>
    <row r="617" spans="1:20" ht="12.75">
      <c r="A617" s="44">
        <v>5779</v>
      </c>
      <c r="B617" s="886">
        <v>11558</v>
      </c>
      <c r="C617" s="886">
        <v>33396841</v>
      </c>
      <c r="D617" s="950" t="s">
        <v>2506</v>
      </c>
      <c r="E617" s="115">
        <f>B617-MOD(E$1-A617*3,B617)</f>
        <v>9103</v>
      </c>
      <c r="F617" s="644">
        <f>IF(MOD(E617,5)=0,B617,0)+E617</f>
        <v>9103</v>
      </c>
      <c r="G617" s="785">
        <f>IF(MOD(F617+$B617,5)=0,$B617,0)+$B617+F617</f>
        <v>20661</v>
      </c>
      <c r="H617" s="785">
        <f>IF(MOD(G617+$B617,5)=0,$B617,0)+$B617+G617</f>
        <v>32219</v>
      </c>
      <c r="I617" s="785">
        <f>IF(MOD(H617+$B617,5)=0,$B617,0)+$B617+H617</f>
        <v>43777</v>
      </c>
      <c r="J617" s="911">
        <v>910</v>
      </c>
      <c r="K617" s="785">
        <v>2066</v>
      </c>
      <c r="L617" s="785">
        <v>3221</v>
      </c>
      <c r="M617" s="785">
        <v>4377</v>
      </c>
      <c r="N617" s="23" t="str">
        <f>D617&amp;FIXED(MOD(F617,10),0)</f>
        <v>hh93</v>
      </c>
      <c r="O617" s="78" t="str">
        <f>MID(A$5,((FIND(N617,A$4,1)-1)+1),4)</f>
        <v>b7ed</v>
      </c>
      <c r="P617" s="76" t="s">
        <v>0</v>
      </c>
      <c r="Q617" s="219" t="s">
        <v>0</v>
      </c>
      <c r="R617" s="103" t="s">
        <v>0</v>
      </c>
      <c r="S617" s="103" t="s">
        <v>0</v>
      </c>
      <c r="T617" s="42" t="s">
        <v>1</v>
      </c>
    </row>
    <row r="618" spans="1:20" ht="12.75">
      <c r="A618" s="44">
        <v>5783</v>
      </c>
      <c r="B618" s="886">
        <v>11566</v>
      </c>
      <c r="C618" s="886">
        <v>33443089</v>
      </c>
      <c r="D618" s="950" t="s">
        <v>2496</v>
      </c>
      <c r="E618" s="115">
        <f>B618-MOD(E$1-A618*3,B618)</f>
        <v>10351</v>
      </c>
      <c r="F618" s="644">
        <f>IF(MOD(E618,5)=0,B618,0)+E618</f>
        <v>10351</v>
      </c>
      <c r="G618" s="785">
        <f>IF(MOD(F618+$B618,5)=0,$B618,0)+$B618+F618</f>
        <v>21917</v>
      </c>
      <c r="H618" s="785">
        <f>IF(MOD(G618+$B618,5)=0,$B618,0)+$B618+G618</f>
        <v>33483</v>
      </c>
      <c r="I618" s="785">
        <f>IF(MOD(H618+$B618,5)=0,$B618,0)+$B618+H618</f>
        <v>45049</v>
      </c>
      <c r="J618" s="911">
        <v>1035</v>
      </c>
      <c r="K618" s="785">
        <v>2191</v>
      </c>
      <c r="L618" s="785">
        <v>3348</v>
      </c>
      <c r="M618" s="785">
        <v>4504</v>
      </c>
      <c r="N618" s="23" t="str">
        <f>D618&amp;FIXED(MOD(F618,10),0)</f>
        <v>hh31</v>
      </c>
      <c r="O618" s="78" t="str">
        <f>MID(A$5,((FIND(N618,A$4,1)-1)+1),4)</f>
        <v>7dbe</v>
      </c>
      <c r="P618" s="76" t="s">
        <v>0</v>
      </c>
      <c r="Q618" s="219" t="s">
        <v>0</v>
      </c>
      <c r="R618" s="103" t="s">
        <v>0</v>
      </c>
      <c r="S618" s="103" t="s">
        <v>0</v>
      </c>
      <c r="T618" s="42" t="s">
        <v>1</v>
      </c>
    </row>
    <row r="619" spans="1:20" ht="12.75">
      <c r="A619" s="44">
        <v>5791</v>
      </c>
      <c r="B619" s="886">
        <v>11582</v>
      </c>
      <c r="C619" s="886">
        <v>33535681</v>
      </c>
      <c r="D619" s="950" t="s">
        <v>2490</v>
      </c>
      <c r="E619" s="115">
        <f>B619-MOD(E$1-A619*3,B619)</f>
        <v>7143</v>
      </c>
      <c r="F619" s="644">
        <f>IF(MOD(E619,5)=0,B619,0)+E619</f>
        <v>7143</v>
      </c>
      <c r="G619" s="785">
        <f>IF(MOD(F619+$B619,5)=0,$B619,0)+$B619+F619</f>
        <v>30307</v>
      </c>
      <c r="H619" s="785">
        <f>IF(MOD(G619+$B619,5)=0,$B619,0)+$B619+G619</f>
        <v>41889</v>
      </c>
      <c r="I619" s="785">
        <f>IF(MOD(H619+$B619,5)=0,$B619,0)+$B619+H619</f>
        <v>53471</v>
      </c>
      <c r="J619" s="911">
        <v>714</v>
      </c>
      <c r="K619" s="785">
        <v>3030</v>
      </c>
      <c r="L619" s="785">
        <v>4188</v>
      </c>
      <c r="M619" s="785">
        <v>5347</v>
      </c>
      <c r="N619" s="23" t="str">
        <f>D619&amp;FIXED(MOD(F619,10),0)</f>
        <v>hh13</v>
      </c>
      <c r="O619" s="78" t="str">
        <f>MID(A$5,((FIND(N619,A$4,1)-1)+1),4)</f>
        <v>bde7</v>
      </c>
      <c r="P619" s="76" t="s">
        <v>0</v>
      </c>
      <c r="Q619" s="219" t="s">
        <v>0</v>
      </c>
      <c r="R619" s="103" t="s">
        <v>0</v>
      </c>
      <c r="S619" s="103" t="s">
        <v>0</v>
      </c>
      <c r="T619" s="42" t="s">
        <v>1</v>
      </c>
    </row>
    <row r="620" spans="1:20" ht="12.75">
      <c r="A620" s="44">
        <v>5801</v>
      </c>
      <c r="B620" s="886">
        <v>11602</v>
      </c>
      <c r="C620" s="886">
        <v>33651601</v>
      </c>
      <c r="D620" s="950" t="s">
        <v>2490</v>
      </c>
      <c r="E620" s="115">
        <f>B620-MOD(E$1-A620*3,B620)</f>
        <v>10449</v>
      </c>
      <c r="F620" s="644">
        <f>IF(MOD(E620,5)=0,B620,0)+E620</f>
        <v>10449</v>
      </c>
      <c r="G620" s="785">
        <f>IF(MOD(F620+$B620,5)=0,$B620,0)+$B620+F620</f>
        <v>22051</v>
      </c>
      <c r="H620" s="785">
        <f>IF(MOD(G620+$B620,5)=0,$B620,0)+$B620+G620</f>
        <v>33653</v>
      </c>
      <c r="I620" s="785">
        <f>IF(MOD(H620+$B620,5)=0,$B620,0)+$B620+H620</f>
        <v>56857</v>
      </c>
      <c r="J620" s="911">
        <v>1044</v>
      </c>
      <c r="K620" s="785">
        <v>2205</v>
      </c>
      <c r="L620" s="785">
        <v>3365</v>
      </c>
      <c r="M620" s="785">
        <v>5685</v>
      </c>
      <c r="N620" s="23" t="str">
        <f>D620&amp;FIXED(MOD(F620,10),0)</f>
        <v>hh19</v>
      </c>
      <c r="O620" s="78" t="str">
        <f>MID(A$5,((FIND(N620,A$4,1)-1)+1),4)</f>
        <v>e7bd</v>
      </c>
      <c r="P620" s="76" t="s">
        <v>0</v>
      </c>
      <c r="Q620" s="219" t="s">
        <v>0</v>
      </c>
      <c r="R620" s="103" t="s">
        <v>0</v>
      </c>
      <c r="S620" s="103" t="s">
        <v>0</v>
      </c>
      <c r="T620" s="42" t="s">
        <v>1</v>
      </c>
    </row>
    <row r="621" spans="1:20" ht="12.75">
      <c r="A621" s="44">
        <v>5807</v>
      </c>
      <c r="B621" s="886">
        <v>11614</v>
      </c>
      <c r="C621" s="886">
        <v>33721249</v>
      </c>
      <c r="D621" s="950" t="s">
        <v>2501</v>
      </c>
      <c r="E621" s="115">
        <f>B621-MOD(E$1-A621*3,B621)</f>
        <v>11063</v>
      </c>
      <c r="F621" s="644">
        <f>IF(MOD(E621,5)=0,B621,0)+E621</f>
        <v>11063</v>
      </c>
      <c r="G621" s="785">
        <f>IF(MOD(F621+$B621,5)=0,$B621,0)+$B621+F621</f>
        <v>22677</v>
      </c>
      <c r="H621" s="785">
        <f>IF(MOD(G621+$B621,5)=0,$B621,0)+$B621+G621</f>
        <v>34291</v>
      </c>
      <c r="I621" s="785">
        <f>IF(MOD(H621+$B621,5)=0,$B621,0)+$B621+H621</f>
        <v>57519</v>
      </c>
      <c r="J621" s="911">
        <v>1106</v>
      </c>
      <c r="K621" s="785">
        <v>2267</v>
      </c>
      <c r="L621" s="785">
        <v>3429</v>
      </c>
      <c r="M621" s="785">
        <v>5751</v>
      </c>
      <c r="N621" s="23" t="str">
        <f>D621&amp;FIXED(MOD(F621,10),0)</f>
        <v>hh73</v>
      </c>
      <c r="O621" s="78" t="str">
        <f>MID(A$5,((FIND(N621,A$4,1)-1)+1),4)</f>
        <v>bd7e</v>
      </c>
      <c r="P621" s="76" t="s">
        <v>0</v>
      </c>
      <c r="Q621" s="219" t="s">
        <v>0</v>
      </c>
      <c r="R621" s="103" t="s">
        <v>0</v>
      </c>
      <c r="S621" s="103" t="s">
        <v>0</v>
      </c>
      <c r="T621" s="42" t="s">
        <v>1</v>
      </c>
    </row>
    <row r="622" spans="1:20" ht="12.75">
      <c r="A622" s="44">
        <v>5813</v>
      </c>
      <c r="B622" s="886">
        <v>11626</v>
      </c>
      <c r="C622" s="886">
        <v>33790969</v>
      </c>
      <c r="D622" s="950" t="s">
        <v>2496</v>
      </c>
      <c r="E622" s="115">
        <f>B622-MOD(E$1-A622*3,B622)</f>
        <v>10857</v>
      </c>
      <c r="F622" s="644">
        <f>IF(MOD(E622,5)=0,B622,0)+E622</f>
        <v>10857</v>
      </c>
      <c r="G622" s="785">
        <f>IF(MOD(F622+$B622,5)=0,$B622,0)+$B622+F622</f>
        <v>22483</v>
      </c>
      <c r="H622" s="785">
        <f>IF(MOD(G622+$B622,5)=0,$B622,0)+$B622+G622</f>
        <v>34109</v>
      </c>
      <c r="I622" s="785">
        <f>IF(MOD(H622+$B622,5)=0,$B622,0)+$B622+H622</f>
        <v>57361</v>
      </c>
      <c r="J622" s="911">
        <v>1085</v>
      </c>
      <c r="K622" s="785">
        <v>2248</v>
      </c>
      <c r="L622" s="785">
        <v>3410</v>
      </c>
      <c r="M622" s="785">
        <v>5736</v>
      </c>
      <c r="N622" s="23" t="str">
        <f>D622&amp;FIXED(MOD(F622,10),0)</f>
        <v>hh37</v>
      </c>
      <c r="O622" s="78" t="str">
        <f>MID(A$5,((FIND(N622,A$4,1)-1)+1),4)</f>
        <v>dbe7</v>
      </c>
      <c r="P622" s="76" t="s">
        <v>0</v>
      </c>
      <c r="Q622" s="219" t="s">
        <v>0</v>
      </c>
      <c r="R622" s="103" t="s">
        <v>0</v>
      </c>
      <c r="S622" s="103" t="s">
        <v>0</v>
      </c>
      <c r="T622" s="42" t="s">
        <v>1</v>
      </c>
    </row>
    <row r="623" spans="1:20" ht="12.75">
      <c r="A623" s="44">
        <v>5821</v>
      </c>
      <c r="B623" s="886">
        <v>11642</v>
      </c>
      <c r="C623" s="886">
        <v>33884041</v>
      </c>
      <c r="D623" s="950" t="s">
        <v>2490</v>
      </c>
      <c r="E623" s="115">
        <f>B623-MOD(E$1-A623*3,B623)</f>
        <v>10977</v>
      </c>
      <c r="F623" s="644">
        <f>IF(MOD(E623,5)=0,B623,0)+E623</f>
        <v>10977</v>
      </c>
      <c r="G623" s="785">
        <f>IF(MOD(F623+$B623,5)=0,$B623,0)+$B623+F623</f>
        <v>22619</v>
      </c>
      <c r="H623" s="785">
        <f>IF(MOD(G623+$B623,5)=0,$B623,0)+$B623+G623</f>
        <v>34261</v>
      </c>
      <c r="I623" s="785">
        <f>IF(MOD(H623+$B623,5)=0,$B623,0)+$B623+H623</f>
        <v>45903</v>
      </c>
      <c r="J623" s="911">
        <v>1097</v>
      </c>
      <c r="K623" s="785">
        <v>2261</v>
      </c>
      <c r="L623" s="785">
        <v>3426</v>
      </c>
      <c r="M623" s="785">
        <v>4590</v>
      </c>
      <c r="N623" s="23" t="str">
        <f>D623&amp;FIXED(MOD(F623,10),0)</f>
        <v>hh17</v>
      </c>
      <c r="O623" s="78" t="str">
        <f>MID(A$5,((FIND(N623,A$4,1)-1)+1),4)</f>
        <v>de7b</v>
      </c>
      <c r="P623" s="76" t="s">
        <v>0</v>
      </c>
      <c r="Q623" s="219" t="s">
        <v>0</v>
      </c>
      <c r="R623" s="103" t="s">
        <v>0</v>
      </c>
      <c r="S623" s="103" t="s">
        <v>0</v>
      </c>
      <c r="T623" s="42" t="s">
        <v>1</v>
      </c>
    </row>
    <row r="624" spans="1:20" ht="12.75">
      <c r="A624" s="44">
        <v>5827</v>
      </c>
      <c r="B624" s="886">
        <v>11654</v>
      </c>
      <c r="C624" s="886">
        <v>33953929</v>
      </c>
      <c r="D624" s="950" t="s">
        <v>2501</v>
      </c>
      <c r="E624" s="115">
        <f>B624-MOD(E$1-A624*3,B624)</f>
        <v>4829</v>
      </c>
      <c r="F624" s="644">
        <f>IF(MOD(E624,5)=0,B624,0)+E624</f>
        <v>4829</v>
      </c>
      <c r="G624" s="785">
        <f>IF(MOD(F624+$B624,5)=0,$B624,0)+$B624+F624</f>
        <v>16483</v>
      </c>
      <c r="H624" s="785">
        <f>IF(MOD(G624+$B624,5)=0,$B624,0)+$B624+G624</f>
        <v>28137</v>
      </c>
      <c r="I624" s="785">
        <f>IF(MOD(H624+$B624,5)=0,$B624,0)+$B624+H624</f>
        <v>39791</v>
      </c>
      <c r="J624" s="911">
        <v>482</v>
      </c>
      <c r="K624" s="785">
        <v>1648</v>
      </c>
      <c r="L624" s="785">
        <v>2813</v>
      </c>
      <c r="M624" s="785">
        <v>3979</v>
      </c>
      <c r="N624" s="23" t="str">
        <f>D624&amp;FIXED(MOD(F624,10),0)</f>
        <v>hh79</v>
      </c>
      <c r="O624" s="78" t="str">
        <f>MID(A$5,((FIND(N624,A$4,1)-1)+1),4)</f>
        <v>ebd7</v>
      </c>
      <c r="P624" s="76" t="s">
        <v>0</v>
      </c>
      <c r="Q624" s="219" t="s">
        <v>0</v>
      </c>
      <c r="R624" s="103" t="s">
        <v>0</v>
      </c>
      <c r="S624" s="103" t="s">
        <v>0</v>
      </c>
      <c r="T624" s="42" t="s">
        <v>1</v>
      </c>
    </row>
    <row r="625" spans="1:20" ht="12.75">
      <c r="A625" s="44">
        <v>5839</v>
      </c>
      <c r="B625" s="886">
        <v>11678</v>
      </c>
      <c r="C625" s="886">
        <v>34093921</v>
      </c>
      <c r="D625" s="950" t="s">
        <v>2506</v>
      </c>
      <c r="E625" s="115">
        <f>B625-MOD(E$1-A625*3,B625)</f>
        <v>10157</v>
      </c>
      <c r="F625" s="644">
        <f>IF(MOD(E625,5)=0,B625,0)+E625</f>
        <v>10157</v>
      </c>
      <c r="G625" s="785">
        <f>IF(MOD(F625+$B625,5)=0,$B625,0)+$B625+F625</f>
        <v>33513</v>
      </c>
      <c r="H625" s="785">
        <f>IF(MOD(G625+$B625,5)=0,$B625,0)+$B625+G625</f>
        <v>45191</v>
      </c>
      <c r="I625" s="785">
        <f>IF(MOD(H625+$B625,5)=0,$B625,0)+$B625+H625</f>
        <v>56869</v>
      </c>
      <c r="J625" s="911">
        <v>1015</v>
      </c>
      <c r="K625" s="785">
        <v>3351</v>
      </c>
      <c r="L625" s="785">
        <v>4519</v>
      </c>
      <c r="M625" s="785">
        <v>5686</v>
      </c>
      <c r="N625" s="23" t="str">
        <f>D625&amp;FIXED(MOD(F625,10),0)</f>
        <v>hh97</v>
      </c>
      <c r="O625" s="78" t="str">
        <f>MID(A$5,((FIND(N625,A$4,1)-1)+1),4)</f>
        <v>db7e</v>
      </c>
      <c r="P625" s="76" t="s">
        <v>0</v>
      </c>
      <c r="Q625" s="219" t="s">
        <v>0</v>
      </c>
      <c r="R625" s="103" t="s">
        <v>0</v>
      </c>
      <c r="S625" s="103" t="s">
        <v>0</v>
      </c>
      <c r="T625" s="42" t="s">
        <v>1</v>
      </c>
    </row>
    <row r="626" spans="1:20" ht="12.75">
      <c r="A626" s="44">
        <v>5843</v>
      </c>
      <c r="B626" s="886">
        <v>11686</v>
      </c>
      <c r="C626" s="886">
        <v>34140649</v>
      </c>
      <c r="D626" s="950" t="s">
        <v>2496</v>
      </c>
      <c r="E626" s="115">
        <f>B626-MOD(E$1-A626*3,B626)</f>
        <v>7581</v>
      </c>
      <c r="F626" s="644">
        <f>IF(MOD(E626,5)=0,B626,0)+E626</f>
        <v>7581</v>
      </c>
      <c r="G626" s="785">
        <f>IF(MOD(F626+$B626,5)=0,$B626,0)+$B626+F626</f>
        <v>19267</v>
      </c>
      <c r="H626" s="785">
        <f>IF(MOD(G626+$B626,5)=0,$B626,0)+$B626+G626</f>
        <v>30953</v>
      </c>
      <c r="I626" s="785">
        <f>IF(MOD(H626+$B626,5)=0,$B626,0)+$B626+H626</f>
        <v>42639</v>
      </c>
      <c r="J626" s="911">
        <v>758</v>
      </c>
      <c r="K626" s="785">
        <v>1926</v>
      </c>
      <c r="L626" s="785">
        <v>3095</v>
      </c>
      <c r="M626" s="785">
        <v>4263</v>
      </c>
      <c r="N626" s="23" t="str">
        <f>D626&amp;FIXED(MOD(F626,10),0)</f>
        <v>hh31</v>
      </c>
      <c r="O626" s="78" t="str">
        <f>MID(A$5,((FIND(N626,A$4,1)-1)+1),4)</f>
        <v>7dbe</v>
      </c>
      <c r="P626" s="76" t="s">
        <v>0</v>
      </c>
      <c r="Q626" s="219" t="s">
        <v>0</v>
      </c>
      <c r="R626" s="103" t="s">
        <v>0</v>
      </c>
      <c r="S626" s="103" t="s">
        <v>0</v>
      </c>
      <c r="T626" s="42" t="s">
        <v>1</v>
      </c>
    </row>
    <row r="627" spans="1:20" ht="12.75">
      <c r="A627" s="44">
        <v>5849</v>
      </c>
      <c r="B627" s="886">
        <v>11698</v>
      </c>
      <c r="C627" s="886">
        <v>34210801</v>
      </c>
      <c r="D627" s="950" t="s">
        <v>2506</v>
      </c>
      <c r="E627" s="115">
        <f>B627-MOD(E$1-A627*3,B627)</f>
        <v>3597</v>
      </c>
      <c r="F627" s="644">
        <f>IF(MOD(E627,5)=0,B627,0)+E627</f>
        <v>3597</v>
      </c>
      <c r="G627" s="785">
        <f>IF(MOD(F627+$B627,5)=0,$B627,0)+$B627+F627</f>
        <v>26993</v>
      </c>
      <c r="H627" s="785">
        <f>IF(MOD(G627+$B627,5)=0,$B627,0)+$B627+G627</f>
        <v>38691</v>
      </c>
      <c r="I627" s="785">
        <f>IF(MOD(H627+$B627,5)=0,$B627,0)+$B627+H627</f>
        <v>50389</v>
      </c>
      <c r="J627" s="911">
        <v>359</v>
      </c>
      <c r="K627" s="785">
        <v>2699</v>
      </c>
      <c r="L627" s="785">
        <v>3869</v>
      </c>
      <c r="M627" s="785">
        <v>5038</v>
      </c>
      <c r="N627" s="23" t="str">
        <f>D627&amp;FIXED(MOD(F627,10),0)</f>
        <v>hh97</v>
      </c>
      <c r="O627" s="78" t="str">
        <f>MID(A$5,((FIND(N627,A$4,1)-1)+1),4)</f>
        <v>db7e</v>
      </c>
      <c r="P627" s="76" t="s">
        <v>0</v>
      </c>
      <c r="Q627" s="219" t="s">
        <v>0</v>
      </c>
      <c r="R627" s="103" t="s">
        <v>0</v>
      </c>
      <c r="S627" s="103" t="s">
        <v>0</v>
      </c>
      <c r="T627" s="42" t="s">
        <v>1</v>
      </c>
    </row>
    <row r="628" spans="1:20" ht="12.75">
      <c r="A628" s="44">
        <v>5851</v>
      </c>
      <c r="B628" s="886">
        <v>11702</v>
      </c>
      <c r="C628" s="886">
        <v>34234201</v>
      </c>
      <c r="D628" s="950" t="s">
        <v>2490</v>
      </c>
      <c r="E628" s="115">
        <f>B628-MOD(E$1-A628*3,B628)</f>
        <v>2813</v>
      </c>
      <c r="F628" s="644">
        <f>IF(MOD(E628,5)=0,B628,0)+E628</f>
        <v>2813</v>
      </c>
      <c r="G628" s="785">
        <f>IF(MOD(F628+$B628,5)=0,$B628,0)+$B628+F628</f>
        <v>26217</v>
      </c>
      <c r="H628" s="785">
        <f>IF(MOD(G628+$B628,5)=0,$B628,0)+$B628+G628</f>
        <v>37919</v>
      </c>
      <c r="I628" s="785">
        <f>IF(MOD(H628+$B628,5)=0,$B628,0)+$B628+H628</f>
        <v>49621</v>
      </c>
      <c r="J628" s="911">
        <v>281</v>
      </c>
      <c r="K628" s="785">
        <v>2621</v>
      </c>
      <c r="L628" s="785">
        <v>3791</v>
      </c>
      <c r="M628" s="785">
        <v>4962</v>
      </c>
      <c r="N628" s="23" t="str">
        <f>D628&amp;FIXED(MOD(F628,10),0)</f>
        <v>hh13</v>
      </c>
      <c r="O628" s="78" t="str">
        <f>MID(A$5,((FIND(N628,A$4,1)-1)+1),4)</f>
        <v>bde7</v>
      </c>
      <c r="P628" s="76" t="s">
        <v>0</v>
      </c>
      <c r="Q628" s="219" t="s">
        <v>0</v>
      </c>
      <c r="R628" s="103" t="s">
        <v>0</v>
      </c>
      <c r="S628" s="103" t="s">
        <v>0</v>
      </c>
      <c r="T628" s="42" t="s">
        <v>1</v>
      </c>
    </row>
    <row r="629" spans="1:20" ht="12.75">
      <c r="A629" s="44">
        <v>5857</v>
      </c>
      <c r="B629" s="886">
        <v>11714</v>
      </c>
      <c r="C629" s="886">
        <v>34304449</v>
      </c>
      <c r="D629" s="950" t="s">
        <v>2501</v>
      </c>
      <c r="E629" s="115">
        <f>B629-MOD(E$1-A629*3,B629)</f>
        <v>4109</v>
      </c>
      <c r="F629" s="644">
        <f>IF(MOD(E629,5)=0,B629,0)+E629</f>
        <v>4109</v>
      </c>
      <c r="G629" s="785">
        <f>IF(MOD(F629+$B629,5)=0,$B629,0)+$B629+F629</f>
        <v>15823</v>
      </c>
      <c r="H629" s="785">
        <f>IF(MOD(G629+$B629,5)=0,$B629,0)+$B629+G629</f>
        <v>27537</v>
      </c>
      <c r="I629" s="785">
        <f>IF(MOD(H629+$B629,5)=0,$B629,0)+$B629+H629</f>
        <v>39251</v>
      </c>
      <c r="J629" s="911">
        <v>410</v>
      </c>
      <c r="K629" s="785">
        <v>1582</v>
      </c>
      <c r="L629" s="785">
        <v>2753</v>
      </c>
      <c r="M629" s="785">
        <v>3925</v>
      </c>
      <c r="N629" s="23" t="str">
        <f>D629&amp;FIXED(MOD(F629,10),0)</f>
        <v>hh79</v>
      </c>
      <c r="O629" s="78" t="str">
        <f>MID(A$5,((FIND(N629,A$4,1)-1)+1),4)</f>
        <v>ebd7</v>
      </c>
      <c r="P629" s="76" t="s">
        <v>0</v>
      </c>
      <c r="Q629" s="219" t="s">
        <v>0</v>
      </c>
      <c r="R629" s="103" t="s">
        <v>0</v>
      </c>
      <c r="S629" s="103" t="s">
        <v>0</v>
      </c>
      <c r="T629" s="42" t="s">
        <v>1</v>
      </c>
    </row>
    <row r="630" spans="1:20" ht="12.75">
      <c r="A630" s="44">
        <v>5861</v>
      </c>
      <c r="B630" s="886">
        <v>11722</v>
      </c>
      <c r="C630" s="886">
        <v>34351321</v>
      </c>
      <c r="D630" s="950" t="s">
        <v>2490</v>
      </c>
      <c r="E630" s="115">
        <f>B630-MOD(E$1-A630*3,B630)</f>
        <v>9453</v>
      </c>
      <c r="F630" s="644">
        <f>IF(MOD(E630,5)=0,B630,0)+E630</f>
        <v>9453</v>
      </c>
      <c r="G630" s="785">
        <f>IF(MOD(F630+$B630,5)=0,$B630,0)+$B630+F630</f>
        <v>32897</v>
      </c>
      <c r="H630" s="785">
        <f>IF(MOD(G630+$B630,5)=0,$B630,0)+$B630+G630</f>
        <v>44619</v>
      </c>
      <c r="I630" s="785">
        <f>IF(MOD(H630+$B630,5)=0,$B630,0)+$B630+H630</f>
        <v>56341</v>
      </c>
      <c r="J630" s="911">
        <v>945</v>
      </c>
      <c r="K630" s="785">
        <v>3289</v>
      </c>
      <c r="L630" s="785">
        <v>4461</v>
      </c>
      <c r="M630" s="785">
        <v>5634</v>
      </c>
      <c r="N630" s="23" t="str">
        <f>D630&amp;FIXED(MOD(F630,10),0)</f>
        <v>hh13</v>
      </c>
      <c r="O630" s="78" t="str">
        <f>MID(A$5,((FIND(N630,A$4,1)-1)+1),4)</f>
        <v>bde7</v>
      </c>
      <c r="P630" s="76" t="s">
        <v>0</v>
      </c>
      <c r="Q630" s="219" t="s">
        <v>0</v>
      </c>
      <c r="R630" s="103" t="s">
        <v>0</v>
      </c>
      <c r="S630" s="103" t="s">
        <v>0</v>
      </c>
      <c r="T630" s="42" t="s">
        <v>1</v>
      </c>
    </row>
    <row r="631" spans="1:20" ht="12.75">
      <c r="A631" s="44">
        <v>5867</v>
      </c>
      <c r="B631" s="886">
        <v>11734</v>
      </c>
      <c r="C631" s="886">
        <v>34421689</v>
      </c>
      <c r="D631" s="950" t="s">
        <v>2501</v>
      </c>
      <c r="E631" s="115">
        <f>B631-MOD(E$1-A631*3,B631)</f>
        <v>3601</v>
      </c>
      <c r="F631" s="644">
        <f>IF(MOD(E631,5)=0,B631,0)+E631</f>
        <v>3601</v>
      </c>
      <c r="G631" s="785">
        <f>IF(MOD(F631+$B631,5)=0,$B631,0)+$B631+F631</f>
        <v>27069</v>
      </c>
      <c r="H631" s="785">
        <f>IF(MOD(G631+$B631,5)=0,$B631,0)+$B631+G631</f>
        <v>38803</v>
      </c>
      <c r="I631" s="785">
        <f>IF(MOD(H631+$B631,5)=0,$B631,0)+$B631+H631</f>
        <v>50537</v>
      </c>
      <c r="J631" s="911">
        <v>360</v>
      </c>
      <c r="K631" s="785">
        <v>2706</v>
      </c>
      <c r="L631" s="785">
        <v>3880</v>
      </c>
      <c r="M631" s="785">
        <v>5053</v>
      </c>
      <c r="N631" s="23" t="str">
        <f>D631&amp;FIXED(MOD(F631,10),0)</f>
        <v>hh71</v>
      </c>
      <c r="O631" s="78" t="str">
        <f>MID(A$5,((FIND(N631,A$4,1)-1)+1),4)</f>
        <v>7ebd</v>
      </c>
      <c r="P631" s="76" t="s">
        <v>0</v>
      </c>
      <c r="Q631" s="219" t="s">
        <v>0</v>
      </c>
      <c r="R631" s="103" t="s">
        <v>0</v>
      </c>
      <c r="S631" s="103" t="s">
        <v>0</v>
      </c>
      <c r="T631" s="42" t="s">
        <v>1</v>
      </c>
    </row>
    <row r="632" spans="1:20" ht="12.75">
      <c r="A632" s="44">
        <v>5869</v>
      </c>
      <c r="B632" s="886">
        <v>11738</v>
      </c>
      <c r="C632" s="886">
        <v>34445161</v>
      </c>
      <c r="D632" s="950" t="s">
        <v>2506</v>
      </c>
      <c r="E632" s="115">
        <f>B632-MOD(E$1-A632*3,B632)</f>
        <v>863</v>
      </c>
      <c r="F632" s="644">
        <f>IF(MOD(E632,5)=0,B632,0)+E632</f>
        <v>863</v>
      </c>
      <c r="G632" s="785">
        <f>IF(MOD(F632+$B632,5)=0,$B632,0)+$B632+F632</f>
        <v>12601</v>
      </c>
      <c r="H632" s="785">
        <f>IF(MOD(G632+$B632,5)=0,$B632,0)+$B632+G632</f>
        <v>24339</v>
      </c>
      <c r="I632" s="785">
        <f>IF(MOD(H632+$B632,5)=0,$B632,0)+$B632+H632</f>
        <v>36077</v>
      </c>
      <c r="J632" s="911">
        <v>86</v>
      </c>
      <c r="K632" s="785">
        <v>1260</v>
      </c>
      <c r="L632" s="785">
        <v>2433</v>
      </c>
      <c r="M632" s="785">
        <v>3607</v>
      </c>
      <c r="N632" s="23" t="str">
        <f>D632&amp;FIXED(MOD(F632,10),0)</f>
        <v>hh93</v>
      </c>
      <c r="O632" s="78" t="str">
        <f>MID(A$5,((FIND(N632,A$4,1)-1)+1),4)</f>
        <v>b7ed</v>
      </c>
      <c r="P632" s="76" t="s">
        <v>0</v>
      </c>
      <c r="Q632" s="219" t="s">
        <v>0</v>
      </c>
      <c r="R632" s="103" t="s">
        <v>0</v>
      </c>
      <c r="S632" s="103" t="s">
        <v>0</v>
      </c>
      <c r="T632" s="42" t="s">
        <v>1</v>
      </c>
    </row>
    <row r="633" spans="1:20" ht="12.75">
      <c r="A633" s="44">
        <v>5879</v>
      </c>
      <c r="B633" s="886">
        <v>11758</v>
      </c>
      <c r="C633" s="886">
        <v>34562641</v>
      </c>
      <c r="D633" s="950" t="s">
        <v>2506</v>
      </c>
      <c r="E633" s="115">
        <f>B633-MOD(E$1-A633*3,B633)</f>
        <v>5295</v>
      </c>
      <c r="F633" s="644">
        <f>IF(MOD(E633,5)=0,B633,0)+E633</f>
        <v>17053</v>
      </c>
      <c r="G633" s="785">
        <f>IF(MOD(F633+$B633,5)=0,$B633,0)+$B633+F633</f>
        <v>28811</v>
      </c>
      <c r="H633" s="785">
        <f>IF(MOD(G633+$B633,5)=0,$B633,0)+$B633+G633</f>
        <v>40569</v>
      </c>
      <c r="I633" s="785">
        <f>IF(MOD(H633+$B633,5)=0,$B633,0)+$B633+H633</f>
        <v>52327</v>
      </c>
      <c r="J633" s="911">
        <v>1705</v>
      </c>
      <c r="K633" s="785">
        <v>2881</v>
      </c>
      <c r="L633" s="785">
        <v>4056</v>
      </c>
      <c r="M633" s="785">
        <v>5232</v>
      </c>
      <c r="N633" s="23" t="str">
        <f>D633&amp;FIXED(MOD(F633,10),0)</f>
        <v>hh93</v>
      </c>
      <c r="O633" s="78" t="str">
        <f>MID(A$5,((FIND(N633,A$4,1)-1)+1),4)</f>
        <v>b7ed</v>
      </c>
      <c r="P633" s="76" t="s">
        <v>0</v>
      </c>
      <c r="Q633" s="219" t="s">
        <v>0</v>
      </c>
      <c r="R633" s="103" t="s">
        <v>0</v>
      </c>
      <c r="S633" s="103" t="s">
        <v>0</v>
      </c>
      <c r="T633" s="42" t="s">
        <v>1</v>
      </c>
    </row>
    <row r="634" spans="1:20" ht="12.75">
      <c r="A634" s="44">
        <v>5881</v>
      </c>
      <c r="B634" s="886">
        <v>11762</v>
      </c>
      <c r="C634" s="886">
        <v>34586161</v>
      </c>
      <c r="D634" s="950" t="s">
        <v>2490</v>
      </c>
      <c r="E634" s="115">
        <f>B634-MOD(E$1-A634*3,B634)</f>
        <v>3751</v>
      </c>
      <c r="F634" s="644">
        <f>IF(MOD(E634,5)=0,B634,0)+E634</f>
        <v>3751</v>
      </c>
      <c r="G634" s="785">
        <f>IF(MOD(F634+$B634,5)=0,$B634,0)+$B634+F634</f>
        <v>15513</v>
      </c>
      <c r="H634" s="785">
        <f>IF(MOD(G634+$B634,5)=0,$B634,0)+$B634+G634</f>
        <v>39037</v>
      </c>
      <c r="I634" s="785">
        <f>IF(MOD(H634+$B634,5)=0,$B634,0)+$B634+H634</f>
        <v>50799</v>
      </c>
      <c r="J634" s="911">
        <v>375</v>
      </c>
      <c r="K634" s="785">
        <v>1551</v>
      </c>
      <c r="L634" s="785">
        <v>3903</v>
      </c>
      <c r="M634" s="785">
        <v>5079</v>
      </c>
      <c r="N634" s="23" t="str">
        <f>D634&amp;FIXED(MOD(F634,10),0)</f>
        <v>hh11</v>
      </c>
      <c r="O634" s="78" t="str">
        <f>MID(A$5,((FIND(N634,A$4,1)-1)+1),4)</f>
        <v>7bde</v>
      </c>
      <c r="P634" s="76" t="s">
        <v>0</v>
      </c>
      <c r="Q634" s="219" t="s">
        <v>0</v>
      </c>
      <c r="R634" s="103" t="s">
        <v>0</v>
      </c>
      <c r="S634" s="103" t="s">
        <v>0</v>
      </c>
      <c r="T634" s="42" t="s">
        <v>1</v>
      </c>
    </row>
    <row r="635" spans="1:20" ht="12.75">
      <c r="A635" s="44">
        <v>5897</v>
      </c>
      <c r="B635" s="886">
        <v>11794</v>
      </c>
      <c r="C635" s="886">
        <v>34774609</v>
      </c>
      <c r="D635" s="950" t="s">
        <v>2501</v>
      </c>
      <c r="E635" s="115">
        <f>B635-MOD(E$1-A635*3,B635)</f>
        <v>4759</v>
      </c>
      <c r="F635" s="644">
        <f>IF(MOD(E635,5)=0,B635,0)+E635</f>
        <v>4759</v>
      </c>
      <c r="G635" s="785">
        <f>IF(MOD(F635+$B635,5)=0,$B635,0)+$B635+F635</f>
        <v>16553</v>
      </c>
      <c r="H635" s="785">
        <f>IF(MOD(G635+$B635,5)=0,$B635,0)+$B635+G635</f>
        <v>28347</v>
      </c>
      <c r="I635" s="785">
        <f>IF(MOD(H635+$B635,5)=0,$B635,0)+$B635+H635</f>
        <v>40141</v>
      </c>
      <c r="J635" s="911">
        <v>475</v>
      </c>
      <c r="K635" s="785">
        <v>1655</v>
      </c>
      <c r="L635" s="785">
        <v>2834</v>
      </c>
      <c r="M635" s="785">
        <v>4014</v>
      </c>
      <c r="N635" s="23" t="str">
        <f>D635&amp;FIXED(MOD(F635,10),0)</f>
        <v>hh79</v>
      </c>
      <c r="O635" s="78" t="str">
        <f>MID(A$5,((FIND(N635,A$4,1)-1)+1),4)</f>
        <v>ebd7</v>
      </c>
      <c r="P635" s="76" t="s">
        <v>0</v>
      </c>
      <c r="Q635" s="219" t="s">
        <v>0</v>
      </c>
      <c r="R635" s="103" t="s">
        <v>0</v>
      </c>
      <c r="S635" s="103" t="s">
        <v>0</v>
      </c>
      <c r="T635" s="42" t="s">
        <v>1</v>
      </c>
    </row>
    <row r="636" spans="1:20" ht="12.75">
      <c r="A636" s="44">
        <v>5903</v>
      </c>
      <c r="B636" s="886">
        <v>11806</v>
      </c>
      <c r="C636" s="886">
        <v>34845409</v>
      </c>
      <c r="D636" s="950" t="s">
        <v>2496</v>
      </c>
      <c r="E636" s="115">
        <f>B636-MOD(E$1-A636*3,B636)</f>
        <v>4847</v>
      </c>
      <c r="F636" s="644">
        <f>IF(MOD(E636,5)=0,B636,0)+E636</f>
        <v>4847</v>
      </c>
      <c r="G636" s="785">
        <f>IF(MOD(F636+$B636,5)=0,$B636,0)+$B636+F636</f>
        <v>16653</v>
      </c>
      <c r="H636" s="785">
        <f>IF(MOD(G636+$B636,5)=0,$B636,0)+$B636+G636</f>
        <v>28459</v>
      </c>
      <c r="I636" s="785">
        <f>IF(MOD(H636+$B636,5)=0,$B636,0)+$B636+H636</f>
        <v>52071</v>
      </c>
      <c r="J636" s="911">
        <v>484</v>
      </c>
      <c r="K636" s="785">
        <v>1665</v>
      </c>
      <c r="L636" s="785">
        <v>2845</v>
      </c>
      <c r="M636" s="785">
        <v>5207</v>
      </c>
      <c r="N636" s="23" t="str">
        <f>D636&amp;FIXED(MOD(F636,10),0)</f>
        <v>hh37</v>
      </c>
      <c r="O636" s="78" t="str">
        <f>MID(A$5,((FIND(N636,A$4,1)-1)+1),4)</f>
        <v>dbe7</v>
      </c>
      <c r="P636" s="76" t="s">
        <v>0</v>
      </c>
      <c r="Q636" s="219" t="s">
        <v>0</v>
      </c>
      <c r="R636" s="103" t="s">
        <v>0</v>
      </c>
      <c r="S636" s="103" t="s">
        <v>0</v>
      </c>
      <c r="T636" s="42" t="s">
        <v>1</v>
      </c>
    </row>
    <row r="637" spans="1:20" ht="12.75">
      <c r="A637" s="44">
        <v>5923</v>
      </c>
      <c r="B637" s="886">
        <v>11846</v>
      </c>
      <c r="C637" s="886">
        <v>35081929</v>
      </c>
      <c r="D637" s="950" t="s">
        <v>2496</v>
      </c>
      <c r="E637" s="115">
        <f>B637-MOD(E$1-A637*3,B637)</f>
        <v>1095</v>
      </c>
      <c r="F637" s="644">
        <f>IF(MOD(E637,5)=0,B637,0)+E637</f>
        <v>12941</v>
      </c>
      <c r="G637" s="785">
        <f>IF(MOD(F637+$B637,5)=0,$B637,0)+$B637+F637</f>
        <v>24787</v>
      </c>
      <c r="H637" s="785">
        <f>IF(MOD(G637+$B637,5)=0,$B637,0)+$B637+G637</f>
        <v>36633</v>
      </c>
      <c r="I637" s="785">
        <f>IF(MOD(H637+$B637,5)=0,$B637,0)+$B637+H637</f>
        <v>48479</v>
      </c>
      <c r="J637" s="911">
        <v>1294</v>
      </c>
      <c r="K637" s="785">
        <v>2478</v>
      </c>
      <c r="L637" s="785">
        <v>3663</v>
      </c>
      <c r="M637" s="785">
        <v>4847</v>
      </c>
      <c r="N637" s="23" t="str">
        <f>D637&amp;FIXED(MOD(F637,10),0)</f>
        <v>hh31</v>
      </c>
      <c r="O637" s="78" t="str">
        <f>MID(A$5,((FIND(N637,A$4,1)-1)+1),4)</f>
        <v>7dbe</v>
      </c>
      <c r="P637" s="76" t="s">
        <v>0</v>
      </c>
      <c r="Q637" s="219" t="s">
        <v>0</v>
      </c>
      <c r="R637" s="103" t="s">
        <v>0</v>
      </c>
      <c r="S637" s="103" t="s">
        <v>0</v>
      </c>
      <c r="T637" s="42" t="s">
        <v>1</v>
      </c>
    </row>
    <row r="638" spans="1:20" ht="12.75">
      <c r="A638" s="44">
        <v>5927</v>
      </c>
      <c r="B638" s="886">
        <v>11854</v>
      </c>
      <c r="C638" s="886">
        <v>35129329</v>
      </c>
      <c r="D638" s="950" t="s">
        <v>2501</v>
      </c>
      <c r="E638" s="115">
        <f>B638-MOD(E$1-A638*3,B638)</f>
        <v>8869</v>
      </c>
      <c r="F638" s="644">
        <f>IF(MOD(E638,5)=0,B638,0)+E638</f>
        <v>8869</v>
      </c>
      <c r="G638" s="785">
        <f>IF(MOD(F638+$B638,5)=0,$B638,0)+$B638+F638</f>
        <v>20723</v>
      </c>
      <c r="H638" s="785">
        <f>IF(MOD(G638+$B638,5)=0,$B638,0)+$B638+G638</f>
        <v>32577</v>
      </c>
      <c r="I638" s="785">
        <f>IF(MOD(H638+$B638,5)=0,$B638,0)+$B638+H638</f>
        <v>44431</v>
      </c>
      <c r="J638" s="911">
        <v>886</v>
      </c>
      <c r="K638" s="785">
        <v>2072</v>
      </c>
      <c r="L638" s="785">
        <v>3257</v>
      </c>
      <c r="M638" s="785">
        <v>4443</v>
      </c>
      <c r="N638" s="23" t="str">
        <f>D638&amp;FIXED(MOD(F638,10),0)</f>
        <v>hh79</v>
      </c>
      <c r="O638" s="78" t="str">
        <f>MID(A$5,((FIND(N638,A$4,1)-1)+1),4)</f>
        <v>ebd7</v>
      </c>
      <c r="P638" s="76" t="s">
        <v>0</v>
      </c>
      <c r="Q638" s="219" t="s">
        <v>0</v>
      </c>
      <c r="R638" s="103" t="s">
        <v>0</v>
      </c>
      <c r="S638" s="103" t="s">
        <v>0</v>
      </c>
      <c r="T638" s="42" t="s">
        <v>1</v>
      </c>
    </row>
    <row r="639" spans="1:20" ht="12.75">
      <c r="A639" s="44">
        <v>5939</v>
      </c>
      <c r="B639" s="886">
        <v>11878</v>
      </c>
      <c r="C639" s="886">
        <v>35271721</v>
      </c>
      <c r="D639" s="950" t="s">
        <v>2506</v>
      </c>
      <c r="E639" s="115">
        <f>B639-MOD(E$1-A639*3,B639)</f>
        <v>421</v>
      </c>
      <c r="F639" s="644">
        <f>IF(MOD(E639,5)=0,B639,0)+E639</f>
        <v>421</v>
      </c>
      <c r="G639" s="785">
        <f>IF(MOD(F639+$B639,5)=0,$B639,0)+$B639+F639</f>
        <v>12299</v>
      </c>
      <c r="H639" s="785">
        <f>IF(MOD(G639+$B639,5)=0,$B639,0)+$B639+G639</f>
        <v>24177</v>
      </c>
      <c r="I639" s="785">
        <f>IF(MOD(H639+$B639,5)=0,$B639,0)+$B639+H639</f>
        <v>47933</v>
      </c>
      <c r="J639" s="911">
        <v>42</v>
      </c>
      <c r="K639" s="785">
        <v>1229</v>
      </c>
      <c r="L639" s="785">
        <v>2417</v>
      </c>
      <c r="M639" s="785">
        <v>4793</v>
      </c>
      <c r="N639" s="23" t="str">
        <f>D639&amp;FIXED(MOD(F639,10),0)</f>
        <v>hh91</v>
      </c>
      <c r="O639" s="78" t="str">
        <f>MID(A$5,((FIND(N639,A$4,1)-1)+1),4)</f>
        <v>7edb</v>
      </c>
      <c r="P639" s="76" t="s">
        <v>0</v>
      </c>
      <c r="Q639" s="219" t="s">
        <v>0</v>
      </c>
      <c r="R639" s="103" t="s">
        <v>0</v>
      </c>
      <c r="S639" s="103" t="s">
        <v>0</v>
      </c>
      <c r="T639" s="42" t="s">
        <v>1</v>
      </c>
    </row>
    <row r="640" spans="1:20" ht="12.75">
      <c r="A640" s="44">
        <v>5953</v>
      </c>
      <c r="B640" s="886">
        <v>11906</v>
      </c>
      <c r="C640" s="886">
        <v>35438209</v>
      </c>
      <c r="D640" s="950" t="s">
        <v>2496</v>
      </c>
      <c r="E640" s="115">
        <f>B640-MOD(E$1-A640*3,B640)</f>
        <v>2315</v>
      </c>
      <c r="F640" s="644">
        <f>IF(MOD(E640,5)=0,B640,0)+E640</f>
        <v>14221</v>
      </c>
      <c r="G640" s="785">
        <f>IF(MOD(F640+$B640,5)=0,$B640,0)+$B640+F640</f>
        <v>26127</v>
      </c>
      <c r="H640" s="785">
        <f>IF(MOD(G640+$B640,5)=0,$B640,0)+$B640+G640</f>
        <v>38033</v>
      </c>
      <c r="I640" s="785">
        <f>IF(MOD(H640+$B640,5)=0,$B640,0)+$B640+H640</f>
        <v>49939</v>
      </c>
      <c r="J640" s="911">
        <v>1422</v>
      </c>
      <c r="K640" s="785">
        <v>2612</v>
      </c>
      <c r="L640" s="785">
        <v>3803</v>
      </c>
      <c r="M640" s="785">
        <v>4993</v>
      </c>
      <c r="N640" s="23" t="str">
        <f>D640&amp;FIXED(MOD(F640,10),0)</f>
        <v>hh31</v>
      </c>
      <c r="O640" s="78" t="str">
        <f>MID(A$5,((FIND(N640,A$4,1)-1)+1),4)</f>
        <v>7dbe</v>
      </c>
      <c r="P640" s="76" t="s">
        <v>0</v>
      </c>
      <c r="Q640" s="219" t="s">
        <v>0</v>
      </c>
      <c r="R640" s="103" t="s">
        <v>0</v>
      </c>
      <c r="S640" s="103" t="s">
        <v>0</v>
      </c>
      <c r="T640" s="42" t="s">
        <v>1</v>
      </c>
    </row>
    <row r="641" spans="1:20" ht="12.75">
      <c r="A641" s="44">
        <v>5981</v>
      </c>
      <c r="B641" s="886">
        <v>11962</v>
      </c>
      <c r="C641" s="886">
        <v>35772361</v>
      </c>
      <c r="D641" s="950" t="s">
        <v>2490</v>
      </c>
      <c r="E641" s="115">
        <f>B641-MOD(E$1-A641*3,B641)</f>
        <v>7777</v>
      </c>
      <c r="F641" s="644">
        <f>IF(MOD(E641,5)=0,B641,0)+E641</f>
        <v>7777</v>
      </c>
      <c r="G641" s="785">
        <f>IF(MOD(F641+$B641,5)=0,$B641,0)+$B641+F641</f>
        <v>19739</v>
      </c>
      <c r="H641" s="785">
        <f>IF(MOD(G641+$B641,5)=0,$B641,0)+$B641+G641</f>
        <v>31701</v>
      </c>
      <c r="I641" s="785">
        <f>IF(MOD(H641+$B641,5)=0,$B641,0)+$B641+H641</f>
        <v>43663</v>
      </c>
      <c r="J641" s="911">
        <v>777</v>
      </c>
      <c r="K641" s="785">
        <v>1973</v>
      </c>
      <c r="L641" s="785">
        <v>3170</v>
      </c>
      <c r="M641" s="785">
        <v>4366</v>
      </c>
      <c r="N641" s="23" t="str">
        <f>D641&amp;FIXED(MOD(F641,10),0)</f>
        <v>hh17</v>
      </c>
      <c r="O641" s="78" t="str">
        <f>MID(A$5,((FIND(N641,A$4,1)-1)+1),4)</f>
        <v>de7b</v>
      </c>
      <c r="P641" s="76" t="s">
        <v>0</v>
      </c>
      <c r="Q641" s="219" t="s">
        <v>0</v>
      </c>
      <c r="R641" s="103" t="s">
        <v>0</v>
      </c>
      <c r="S641" s="103" t="s">
        <v>0</v>
      </c>
      <c r="T641" s="42" t="s">
        <v>1</v>
      </c>
    </row>
    <row r="642" spans="1:20" ht="12.75">
      <c r="A642" s="44">
        <v>5987</v>
      </c>
      <c r="B642" s="886">
        <v>11974</v>
      </c>
      <c r="C642" s="886">
        <v>35844169</v>
      </c>
      <c r="D642" s="950" t="s">
        <v>2501</v>
      </c>
      <c r="E642" s="115">
        <f>B642-MOD(E$1-A642*3,B642)</f>
        <v>2265</v>
      </c>
      <c r="F642" s="644">
        <f>IF(MOD(E642,5)=0,B642,0)+E642</f>
        <v>14239</v>
      </c>
      <c r="G642" s="785">
        <f>IF(MOD(F642+$B642,5)=0,$B642,0)+$B642+F642</f>
        <v>26213</v>
      </c>
      <c r="H642" s="785">
        <f>IF(MOD(G642+$B642,5)=0,$B642,0)+$B642+G642</f>
        <v>38187</v>
      </c>
      <c r="I642" s="785">
        <f>IF(MOD(H642+$B642,5)=0,$B642,0)+$B642+H642</f>
        <v>50161</v>
      </c>
      <c r="J642" s="911">
        <v>1423</v>
      </c>
      <c r="K642" s="785">
        <v>2621</v>
      </c>
      <c r="L642" s="785">
        <v>3818</v>
      </c>
      <c r="M642" s="785">
        <v>5016</v>
      </c>
      <c r="N642" s="23" t="str">
        <f>D642&amp;FIXED(MOD(F642,10),0)</f>
        <v>hh79</v>
      </c>
      <c r="O642" s="78" t="str">
        <f>MID(A$5,((FIND(N642,A$4,1)-1)+1),4)</f>
        <v>ebd7</v>
      </c>
      <c r="P642" s="76" t="s">
        <v>0</v>
      </c>
      <c r="Q642" s="219" t="s">
        <v>0</v>
      </c>
      <c r="R642" s="103" t="s">
        <v>0</v>
      </c>
      <c r="S642" s="103" t="s">
        <v>0</v>
      </c>
      <c r="T642" s="42" t="s">
        <v>1</v>
      </c>
    </row>
    <row r="643" spans="1:20" ht="12.75">
      <c r="A643" s="44">
        <v>6007</v>
      </c>
      <c r="B643" s="886">
        <v>12014</v>
      </c>
      <c r="C643" s="886">
        <v>36084049</v>
      </c>
      <c r="D643" s="950" t="s">
        <v>2501</v>
      </c>
      <c r="E643" s="115">
        <f>B643-MOD(E$1-A643*3,B643)</f>
        <v>3473</v>
      </c>
      <c r="F643" s="644">
        <f>IF(MOD(E643,5)=0,B643,0)+E643</f>
        <v>3473</v>
      </c>
      <c r="G643" s="785">
        <f>IF(MOD(F643+$B643,5)=0,$B643,0)+$B643+F643</f>
        <v>15487</v>
      </c>
      <c r="H643" s="785">
        <f>IF(MOD(G643+$B643,5)=0,$B643,0)+$B643+G643</f>
        <v>27501</v>
      </c>
      <c r="I643" s="785">
        <f>IF(MOD(H643+$B643,5)=0,$B643,0)+$B643+H643</f>
        <v>51529</v>
      </c>
      <c r="J643" s="911">
        <v>347</v>
      </c>
      <c r="K643" s="785">
        <v>1548</v>
      </c>
      <c r="L643" s="785">
        <v>2750</v>
      </c>
      <c r="M643" s="785">
        <v>5152</v>
      </c>
      <c r="N643" s="23" t="str">
        <f>D643&amp;FIXED(MOD(F643,10),0)</f>
        <v>hh73</v>
      </c>
      <c r="O643" s="78" t="str">
        <f>MID(A$5,((FIND(N643,A$4,1)-1)+1),4)</f>
        <v>bd7e</v>
      </c>
      <c r="P643" s="76" t="s">
        <v>0</v>
      </c>
      <c r="Q643" s="219" t="s">
        <v>0</v>
      </c>
      <c r="R643" s="103" t="s">
        <v>0</v>
      </c>
      <c r="S643" s="103" t="s">
        <v>0</v>
      </c>
      <c r="T643" s="42" t="s">
        <v>1</v>
      </c>
    </row>
    <row r="644" spans="1:20" ht="12.75">
      <c r="A644" s="44">
        <v>6011</v>
      </c>
      <c r="B644" s="886">
        <v>12022</v>
      </c>
      <c r="C644" s="886">
        <v>36132121</v>
      </c>
      <c r="D644" s="950" t="s">
        <v>2490</v>
      </c>
      <c r="E644" s="115">
        <f>B644-MOD(E$1-A644*3,B644)</f>
        <v>11665</v>
      </c>
      <c r="F644" s="644">
        <f>IF(MOD(E644,5)=0,B644,0)+E644</f>
        <v>23687</v>
      </c>
      <c r="G644" s="785">
        <f>IF(MOD(F644+$B644,5)=0,$B644,0)+$B644+F644</f>
        <v>35709</v>
      </c>
      <c r="H644" s="785">
        <f>IF(MOD(G644+$B644,5)=0,$B644,0)+$B644+G644</f>
        <v>47731</v>
      </c>
      <c r="I644" s="785">
        <f>IF(MOD(H644+$B644,5)=0,$B644,0)+$B644+H644</f>
        <v>59753</v>
      </c>
      <c r="J644" s="911">
        <v>2368</v>
      </c>
      <c r="K644" s="785">
        <v>3570</v>
      </c>
      <c r="L644" s="785">
        <v>4773</v>
      </c>
      <c r="M644" s="785">
        <v>5975</v>
      </c>
      <c r="N644" s="23" t="str">
        <f>D644&amp;FIXED(MOD(F644,10),0)</f>
        <v>hh17</v>
      </c>
      <c r="O644" s="78" t="str">
        <f>MID(A$5,((FIND(N644,A$4,1)-1)+1),4)</f>
        <v>de7b</v>
      </c>
      <c r="P644" s="76" t="s">
        <v>0</v>
      </c>
      <c r="Q644" s="219" t="s">
        <v>0</v>
      </c>
      <c r="R644" s="103" t="s">
        <v>0</v>
      </c>
      <c r="S644" s="103" t="s">
        <v>0</v>
      </c>
      <c r="T644" s="42" t="s">
        <v>1</v>
      </c>
    </row>
    <row r="645" spans="1:20" ht="12.75">
      <c r="A645" s="44">
        <v>6029</v>
      </c>
      <c r="B645" s="886">
        <v>12058</v>
      </c>
      <c r="C645" s="886">
        <v>36348841</v>
      </c>
      <c r="D645" s="950" t="s">
        <v>2506</v>
      </c>
      <c r="E645" s="115">
        <f>B645-MOD(E$1-A645*3,B645)</f>
        <v>5831</v>
      </c>
      <c r="F645" s="644">
        <f>IF(MOD(E645,5)=0,B645,0)+E645</f>
        <v>5831</v>
      </c>
      <c r="G645" s="785">
        <f>IF(MOD(F645+$B645,5)=0,$B645,0)+$B645+F645</f>
        <v>17889</v>
      </c>
      <c r="H645" s="785">
        <f>IF(MOD(G645+$B645,5)=0,$B645,0)+$B645+G645</f>
        <v>29947</v>
      </c>
      <c r="I645" s="785">
        <f>IF(MOD(H645+$B645,5)=0,$B645,0)+$B645+H645</f>
        <v>54063</v>
      </c>
      <c r="J645" s="911">
        <v>583</v>
      </c>
      <c r="K645" s="785">
        <v>1788</v>
      </c>
      <c r="L645" s="785">
        <v>2994</v>
      </c>
      <c r="M645" s="785">
        <v>5406</v>
      </c>
      <c r="N645" s="23" t="str">
        <f>D645&amp;FIXED(MOD(F645,10),0)</f>
        <v>hh91</v>
      </c>
      <c r="O645" s="78" t="str">
        <f>MID(A$5,((FIND(N645,A$4,1)-1)+1),4)</f>
        <v>7edb</v>
      </c>
      <c r="P645" s="76" t="s">
        <v>0</v>
      </c>
      <c r="Q645" s="219" t="s">
        <v>0</v>
      </c>
      <c r="R645" s="103" t="s">
        <v>0</v>
      </c>
      <c r="S645" s="103" t="s">
        <v>0</v>
      </c>
      <c r="T645" s="42" t="s">
        <v>1</v>
      </c>
    </row>
    <row r="646" spans="1:20" ht="12.75">
      <c r="A646" s="44">
        <v>6037</v>
      </c>
      <c r="B646" s="886">
        <v>12074</v>
      </c>
      <c r="C646" s="886">
        <v>36445369</v>
      </c>
      <c r="D646" s="950" t="s">
        <v>2501</v>
      </c>
      <c r="E646" s="115">
        <f>B646-MOD(E$1-A646*3,B646)</f>
        <v>2617</v>
      </c>
      <c r="F646" s="644">
        <f>IF(MOD(E646,5)=0,B646,0)+E646</f>
        <v>2617</v>
      </c>
      <c r="G646" s="785">
        <f>IF(MOD(F646+$B646,5)=0,$B646,0)+$B646+F646</f>
        <v>14691</v>
      </c>
      <c r="H646" s="785">
        <f>IF(MOD(G646+$B646,5)=0,$B646,0)+$B646+G646</f>
        <v>38839</v>
      </c>
      <c r="I646" s="785">
        <f>IF(MOD(H646+$B646,5)=0,$B646,0)+$B646+H646</f>
        <v>50913</v>
      </c>
      <c r="J646" s="911">
        <v>261</v>
      </c>
      <c r="K646" s="785">
        <v>1469</v>
      </c>
      <c r="L646" s="785">
        <v>3883</v>
      </c>
      <c r="M646" s="785">
        <v>5091</v>
      </c>
      <c r="N646" s="23" t="str">
        <f>D646&amp;FIXED(MOD(F646,10),0)</f>
        <v>hh77</v>
      </c>
      <c r="O646" s="78" t="str">
        <f>MID(A$5,((FIND(N646,A$4,1)-1)+1),4)</f>
        <v>d7eb</v>
      </c>
      <c r="P646" s="76" t="s">
        <v>0</v>
      </c>
      <c r="Q646" s="219" t="s">
        <v>0</v>
      </c>
      <c r="R646" s="103" t="s">
        <v>0</v>
      </c>
      <c r="S646" s="103" t="s">
        <v>0</v>
      </c>
      <c r="T646" s="42" t="s">
        <v>1</v>
      </c>
    </row>
    <row r="647" spans="1:20" ht="12.75">
      <c r="A647" s="44">
        <v>6043</v>
      </c>
      <c r="B647" s="886">
        <v>12086</v>
      </c>
      <c r="C647" s="886">
        <v>36517849</v>
      </c>
      <c r="D647" s="950" t="s">
        <v>2496</v>
      </c>
      <c r="E647" s="115">
        <f>B647-MOD(E$1-A647*3,B647)</f>
        <v>11339</v>
      </c>
      <c r="F647" s="644">
        <f>IF(MOD(E647,5)=0,B647,0)+E647</f>
        <v>11339</v>
      </c>
      <c r="G647" s="785">
        <f>IF(MOD(F647+$B647,5)=0,$B647,0)+$B647+F647</f>
        <v>35511</v>
      </c>
      <c r="H647" s="785">
        <f>IF(MOD(G647+$B647,5)=0,$B647,0)+$B647+G647</f>
        <v>47597</v>
      </c>
      <c r="I647" s="785">
        <f>IF(MOD(H647+$B647,5)=0,$B647,0)+$B647+H647</f>
        <v>59683</v>
      </c>
      <c r="J647" s="911">
        <v>1133</v>
      </c>
      <c r="K647" s="785">
        <v>3551</v>
      </c>
      <c r="L647" s="785">
        <v>4759</v>
      </c>
      <c r="M647" s="785">
        <v>5968</v>
      </c>
      <c r="N647" s="23" t="str">
        <f>D647&amp;FIXED(MOD(F647,10),0)</f>
        <v>hh39</v>
      </c>
      <c r="O647" s="78" t="str">
        <f>MID(A$5,((FIND(N647,A$4,1)-1)+1),4)</f>
        <v>e7db</v>
      </c>
      <c r="P647" s="76" t="s">
        <v>0</v>
      </c>
      <c r="Q647" s="219" t="s">
        <v>0</v>
      </c>
      <c r="R647" s="103" t="s">
        <v>0</v>
      </c>
      <c r="S647" s="103" t="s">
        <v>0</v>
      </c>
      <c r="T647" s="42" t="s">
        <v>1</v>
      </c>
    </row>
    <row r="648" spans="1:20" ht="12.75">
      <c r="A648" s="44">
        <v>6047</v>
      </c>
      <c r="B648" s="886">
        <v>12094</v>
      </c>
      <c r="C648" s="886">
        <v>36566209</v>
      </c>
      <c r="D648" s="950" t="s">
        <v>2501</v>
      </c>
      <c r="E648" s="115">
        <f>B648-MOD(E$1-A648*3,B648)</f>
        <v>9745</v>
      </c>
      <c r="F648" s="644">
        <f>IF(MOD(E648,5)=0,B648,0)+E648</f>
        <v>21839</v>
      </c>
      <c r="G648" s="785">
        <f>IF(MOD(F648+$B648,5)=0,$B648,0)+$B648+F648</f>
        <v>33933</v>
      </c>
      <c r="H648" s="785">
        <f>IF(MOD(G648+$B648,5)=0,$B648,0)+$B648+G648</f>
        <v>46027</v>
      </c>
      <c r="I648" s="785">
        <f>IF(MOD(H648+$B648,5)=0,$B648,0)+$B648+H648</f>
        <v>58121</v>
      </c>
      <c r="J648" s="911">
        <v>2183</v>
      </c>
      <c r="K648" s="785">
        <v>3393</v>
      </c>
      <c r="L648" s="785">
        <v>4602</v>
      </c>
      <c r="M648" s="785">
        <v>5812</v>
      </c>
      <c r="N648" s="23" t="str">
        <f>D648&amp;FIXED(MOD(F648,10),0)</f>
        <v>hh79</v>
      </c>
      <c r="O648" s="78" t="str">
        <f>MID(A$5,((FIND(N648,A$4,1)-1)+1),4)</f>
        <v>ebd7</v>
      </c>
      <c r="P648" s="76" t="s">
        <v>0</v>
      </c>
      <c r="Q648" s="219" t="s">
        <v>0</v>
      </c>
      <c r="R648" s="103" t="s">
        <v>0</v>
      </c>
      <c r="S648" s="103" t="s">
        <v>0</v>
      </c>
      <c r="T648" s="42" t="s">
        <v>1</v>
      </c>
    </row>
    <row r="649" spans="1:20" ht="12.75">
      <c r="A649" s="44">
        <v>6053</v>
      </c>
      <c r="B649" s="886">
        <v>12106</v>
      </c>
      <c r="C649" s="886">
        <v>36638809</v>
      </c>
      <c r="D649" s="950" t="s">
        <v>2496</v>
      </c>
      <c r="E649" s="115">
        <f>B649-MOD(E$1-A649*3,B649)</f>
        <v>10923</v>
      </c>
      <c r="F649" s="644">
        <f>IF(MOD(E649,5)=0,B649,0)+E649</f>
        <v>10923</v>
      </c>
      <c r="G649" s="785">
        <f>IF(MOD(F649+$B649,5)=0,$B649,0)+$B649+F649</f>
        <v>23029</v>
      </c>
      <c r="H649" s="785">
        <f>IF(MOD(G649+$B649,5)=0,$B649,0)+$B649+G649</f>
        <v>47241</v>
      </c>
      <c r="I649" s="785">
        <f>IF(MOD(H649+$B649,5)=0,$B649,0)+$B649+H649</f>
        <v>59347</v>
      </c>
      <c r="J649" s="911">
        <v>1092</v>
      </c>
      <c r="K649" s="785">
        <v>2302</v>
      </c>
      <c r="L649" s="785">
        <v>4724</v>
      </c>
      <c r="M649" s="785">
        <v>5934</v>
      </c>
      <c r="N649" s="23" t="str">
        <f>D649&amp;FIXED(MOD(F649,10),0)</f>
        <v>hh33</v>
      </c>
      <c r="O649" s="78" t="str">
        <f>MID(A$5,((FIND(N649,A$4,1)-1)+1),4)</f>
        <v>be7d</v>
      </c>
      <c r="P649" s="76" t="s">
        <v>0</v>
      </c>
      <c r="Q649" s="219" t="s">
        <v>0</v>
      </c>
      <c r="R649" s="103" t="s">
        <v>0</v>
      </c>
      <c r="S649" s="103" t="s">
        <v>0</v>
      </c>
      <c r="T649" s="42" t="s">
        <v>1</v>
      </c>
    </row>
    <row r="650" spans="1:20" ht="12.75">
      <c r="A650" s="44">
        <v>6067</v>
      </c>
      <c r="B650" s="886">
        <v>12134</v>
      </c>
      <c r="C650" s="886">
        <v>36808489</v>
      </c>
      <c r="D650" s="950" t="s">
        <v>2501</v>
      </c>
      <c r="E650" s="115">
        <f>B650-MOD(E$1-A650*3,B650)</f>
        <v>47</v>
      </c>
      <c r="F650" s="644">
        <f>IF(MOD(E650,5)=0,B650,0)+E650</f>
        <v>47</v>
      </c>
      <c r="G650" s="785">
        <f>IF(MOD(F650+$B650,5)=0,$B650,0)+$B650+F650</f>
        <v>12181</v>
      </c>
      <c r="H650" s="785">
        <f>IF(MOD(G650+$B650,5)=0,$B650,0)+$B650+G650</f>
        <v>36449</v>
      </c>
      <c r="I650" s="785">
        <f>IF(MOD(H650+$B650,5)=0,$B650,0)+$B650+H650</f>
        <v>48583</v>
      </c>
      <c r="J650" s="911">
        <v>4</v>
      </c>
      <c r="K650" s="785">
        <v>1218</v>
      </c>
      <c r="L650" s="785">
        <v>3644</v>
      </c>
      <c r="M650" s="785">
        <v>4858</v>
      </c>
      <c r="N650" s="23" t="str">
        <f>D650&amp;FIXED(MOD(F650,10),0)</f>
        <v>hh77</v>
      </c>
      <c r="O650" s="78" t="str">
        <f>MID(A$5,((FIND(N650,A$4,1)-1)+1),4)</f>
        <v>d7eb</v>
      </c>
      <c r="P650" s="76" t="s">
        <v>0</v>
      </c>
      <c r="Q650" s="219" t="s">
        <v>0</v>
      </c>
      <c r="R650" s="103" t="s">
        <v>0</v>
      </c>
      <c r="S650" s="103" t="s">
        <v>0</v>
      </c>
      <c r="T650" s="42" t="s">
        <v>1</v>
      </c>
    </row>
    <row r="651" spans="1:20" ht="12.75">
      <c r="A651" s="44">
        <v>6073</v>
      </c>
      <c r="B651" s="886">
        <v>12146</v>
      </c>
      <c r="C651" s="886">
        <v>36881329</v>
      </c>
      <c r="D651" s="950" t="s">
        <v>2496</v>
      </c>
      <c r="E651" s="115">
        <f>B651-MOD(E$1-A651*3,B651)</f>
        <v>3139</v>
      </c>
      <c r="F651" s="644">
        <f>IF(MOD(E651,5)=0,B651,0)+E651</f>
        <v>3139</v>
      </c>
      <c r="G651" s="785">
        <f>IF(MOD(F651+$B651,5)=0,$B651,0)+$B651+F651</f>
        <v>27431</v>
      </c>
      <c r="H651" s="785">
        <f>IF(MOD(G651+$B651,5)=0,$B651,0)+$B651+G651</f>
        <v>39577</v>
      </c>
      <c r="I651" s="785">
        <f>IF(MOD(H651+$B651,5)=0,$B651,0)+$B651+H651</f>
        <v>51723</v>
      </c>
      <c r="J651" s="911">
        <v>313</v>
      </c>
      <c r="K651" s="785">
        <v>2743</v>
      </c>
      <c r="L651" s="785">
        <v>3957</v>
      </c>
      <c r="M651" s="785">
        <v>5172</v>
      </c>
      <c r="N651" s="23" t="str">
        <f>D651&amp;FIXED(MOD(F651,10),0)</f>
        <v>hh39</v>
      </c>
      <c r="O651" s="78" t="str">
        <f>MID(A$5,((FIND(N651,A$4,1)-1)+1),4)</f>
        <v>e7db</v>
      </c>
      <c r="P651" s="76" t="s">
        <v>0</v>
      </c>
      <c r="Q651" s="219" t="s">
        <v>0</v>
      </c>
      <c r="R651" s="103" t="s">
        <v>0</v>
      </c>
      <c r="S651" s="103" t="s">
        <v>0</v>
      </c>
      <c r="T651" s="42" t="s">
        <v>1</v>
      </c>
    </row>
    <row r="652" spans="1:20" ht="12.75">
      <c r="A652" s="44">
        <v>6079</v>
      </c>
      <c r="B652" s="886">
        <v>12158</v>
      </c>
      <c r="C652" s="886">
        <v>36954241</v>
      </c>
      <c r="D652" s="950" t="s">
        <v>2506</v>
      </c>
      <c r="E652" s="115">
        <f>B652-MOD(E$1-A652*3,B652)</f>
        <v>3423</v>
      </c>
      <c r="F652" s="644">
        <f>IF(MOD(E652,5)=0,B652,0)+E652</f>
        <v>3423</v>
      </c>
      <c r="G652" s="785">
        <f>IF(MOD(F652+$B652,5)=0,$B652,0)+$B652+F652</f>
        <v>15581</v>
      </c>
      <c r="H652" s="785">
        <f>IF(MOD(G652+$B652,5)=0,$B652,0)+$B652+G652</f>
        <v>27739</v>
      </c>
      <c r="I652" s="785">
        <f>IF(MOD(H652+$B652,5)=0,$B652,0)+$B652+H652</f>
        <v>39897</v>
      </c>
      <c r="J652" s="911">
        <v>342</v>
      </c>
      <c r="K652" s="785">
        <v>1558</v>
      </c>
      <c r="L652" s="785">
        <v>2773</v>
      </c>
      <c r="M652" s="785">
        <v>3989</v>
      </c>
      <c r="N652" s="23" t="str">
        <f>D652&amp;FIXED(MOD(F652,10),0)</f>
        <v>hh93</v>
      </c>
      <c r="O652" s="78" t="str">
        <f>MID(A$5,((FIND(N652,A$4,1)-1)+1),4)</f>
        <v>b7ed</v>
      </c>
      <c r="P652" s="76" t="s">
        <v>0</v>
      </c>
      <c r="Q652" s="219" t="s">
        <v>0</v>
      </c>
      <c r="R652" s="103" t="s">
        <v>0</v>
      </c>
      <c r="S652" s="103" t="s">
        <v>0</v>
      </c>
      <c r="T652" s="42" t="s">
        <v>1</v>
      </c>
    </row>
    <row r="653" spans="1:20" ht="12.75">
      <c r="A653" s="44">
        <v>6089</v>
      </c>
      <c r="B653" s="886">
        <v>12178</v>
      </c>
      <c r="C653" s="886">
        <v>37075921</v>
      </c>
      <c r="D653" s="950" t="s">
        <v>2506</v>
      </c>
      <c r="E653" s="115">
        <f>B653-MOD(E$1-A653*3,B653)</f>
        <v>7043</v>
      </c>
      <c r="F653" s="644">
        <f>IF(MOD(E653,5)=0,B653,0)+E653</f>
        <v>7043</v>
      </c>
      <c r="G653" s="785">
        <f>IF(MOD(F653+$B653,5)=0,$B653,0)+$B653+F653</f>
        <v>19221</v>
      </c>
      <c r="H653" s="785">
        <f>IF(MOD(G653+$B653,5)=0,$B653,0)+$B653+G653</f>
        <v>31399</v>
      </c>
      <c r="I653" s="785">
        <f>IF(MOD(H653+$B653,5)=0,$B653,0)+$B653+H653</f>
        <v>43577</v>
      </c>
      <c r="J653" s="911">
        <v>704</v>
      </c>
      <c r="K653" s="785">
        <v>1922</v>
      </c>
      <c r="L653" s="785">
        <v>3139</v>
      </c>
      <c r="M653" s="785">
        <v>4357</v>
      </c>
      <c r="N653" s="23" t="str">
        <f>D653&amp;FIXED(MOD(F653,10),0)</f>
        <v>hh93</v>
      </c>
      <c r="O653" s="78" t="str">
        <f>MID(A$5,((FIND(N653,A$4,1)-1)+1),4)</f>
        <v>b7ed</v>
      </c>
      <c r="P653" s="76" t="s">
        <v>0</v>
      </c>
      <c r="Q653" s="219" t="s">
        <v>0</v>
      </c>
      <c r="R653" s="103" t="s">
        <v>0</v>
      </c>
      <c r="S653" s="103" t="s">
        <v>0</v>
      </c>
      <c r="T653" s="42" t="s">
        <v>1</v>
      </c>
    </row>
    <row r="654" spans="1:20" ht="12.75">
      <c r="A654" s="44">
        <v>6091</v>
      </c>
      <c r="B654" s="886">
        <v>12182</v>
      </c>
      <c r="C654" s="886">
        <v>37100281</v>
      </c>
      <c r="D654" s="950" t="s">
        <v>2490</v>
      </c>
      <c r="E654" s="115">
        <f>B654-MOD(E$1-A654*3,B654)</f>
        <v>9391</v>
      </c>
      <c r="F654" s="644">
        <f>IF(MOD(E654,5)=0,B654,0)+E654</f>
        <v>9391</v>
      </c>
      <c r="G654" s="785">
        <f>IF(MOD(F654+$B654,5)=0,$B654,0)+$B654+F654</f>
        <v>21573</v>
      </c>
      <c r="H654" s="785">
        <f>IF(MOD(G654+$B654,5)=0,$B654,0)+$B654+G654</f>
        <v>45937</v>
      </c>
      <c r="I654" s="785">
        <f>IF(MOD(H654+$B654,5)=0,$B654,0)+$B654+H654</f>
        <v>58119</v>
      </c>
      <c r="J654" s="911">
        <v>939</v>
      </c>
      <c r="K654" s="785">
        <v>2157</v>
      </c>
      <c r="L654" s="785">
        <v>4593</v>
      </c>
      <c r="M654" s="785">
        <v>5811</v>
      </c>
      <c r="N654" s="23" t="str">
        <f>D654&amp;FIXED(MOD(F654,10),0)</f>
        <v>hh11</v>
      </c>
      <c r="O654" s="78" t="str">
        <f>MID(A$5,((FIND(N654,A$4,1)-1)+1),4)</f>
        <v>7bde</v>
      </c>
      <c r="P654" s="76" t="s">
        <v>0</v>
      </c>
      <c r="Q654" s="219" t="s">
        <v>0</v>
      </c>
      <c r="R654" s="103" t="s">
        <v>0</v>
      </c>
      <c r="S654" s="103" t="s">
        <v>0</v>
      </c>
      <c r="T654" s="42" t="s">
        <v>1</v>
      </c>
    </row>
    <row r="655" spans="1:20" ht="12.75">
      <c r="A655" s="44">
        <v>6101</v>
      </c>
      <c r="B655" s="886">
        <v>12202</v>
      </c>
      <c r="C655" s="886">
        <v>37222201</v>
      </c>
      <c r="D655" s="950" t="s">
        <v>2490</v>
      </c>
      <c r="E655" s="115">
        <f>B655-MOD(E$1-A655*3,B655)</f>
        <v>11887</v>
      </c>
      <c r="F655" s="644">
        <f>IF(MOD(E655,5)=0,B655,0)+E655</f>
        <v>11887</v>
      </c>
      <c r="G655" s="785">
        <f>IF(MOD(F655+$B655,5)=0,$B655,0)+$B655+F655</f>
        <v>24089</v>
      </c>
      <c r="H655" s="785">
        <f>IF(MOD(G655+$B655,5)=0,$B655,0)+$B655+G655</f>
        <v>36291</v>
      </c>
      <c r="I655" s="785">
        <f>IF(MOD(H655+$B655,5)=0,$B655,0)+$B655+H655</f>
        <v>48493</v>
      </c>
      <c r="J655" s="911">
        <v>1188</v>
      </c>
      <c r="K655" s="785">
        <v>2408</v>
      </c>
      <c r="L655" s="785">
        <v>3629</v>
      </c>
      <c r="M655" s="785">
        <v>4849</v>
      </c>
      <c r="N655" s="23" t="str">
        <f>D655&amp;FIXED(MOD(F655,10),0)</f>
        <v>hh17</v>
      </c>
      <c r="O655" s="78" t="str">
        <f>MID(A$5,((FIND(N655,A$4,1)-1)+1),4)</f>
        <v>de7b</v>
      </c>
      <c r="P655" s="76" t="s">
        <v>0</v>
      </c>
      <c r="Q655" s="219" t="s">
        <v>0</v>
      </c>
      <c r="R655" s="103" t="s">
        <v>0</v>
      </c>
      <c r="S655" s="103" t="s">
        <v>0</v>
      </c>
      <c r="T655" s="42" t="s">
        <v>1</v>
      </c>
    </row>
    <row r="656" spans="1:20" ht="12.75">
      <c r="A656" s="44">
        <v>6113</v>
      </c>
      <c r="B656" s="886">
        <v>12226</v>
      </c>
      <c r="C656" s="886">
        <v>37368769</v>
      </c>
      <c r="D656" s="950" t="s">
        <v>2496</v>
      </c>
      <c r="E656" s="115">
        <f>B656-MOD(E$1-A656*3,B656)</f>
        <v>8785</v>
      </c>
      <c r="F656" s="644">
        <f>IF(MOD(E656,5)=0,B656,0)+E656</f>
        <v>21011</v>
      </c>
      <c r="G656" s="785">
        <f>IF(MOD(F656+$B656,5)=0,$B656,0)+$B656+F656</f>
        <v>33237</v>
      </c>
      <c r="H656" s="785">
        <f>IF(MOD(G656+$B656,5)=0,$B656,0)+$B656+G656</f>
        <v>45463</v>
      </c>
      <c r="I656" s="785">
        <f>IF(MOD(H656+$B656,5)=0,$B656,0)+$B656+H656</f>
        <v>57689</v>
      </c>
      <c r="J656" s="911">
        <v>2101</v>
      </c>
      <c r="K656" s="785">
        <v>3323</v>
      </c>
      <c r="L656" s="785">
        <v>4546</v>
      </c>
      <c r="M656" s="785">
        <v>5768</v>
      </c>
      <c r="N656" s="23" t="str">
        <f>D656&amp;FIXED(MOD(F656,10),0)</f>
        <v>hh31</v>
      </c>
      <c r="O656" s="78" t="str">
        <f>MID(A$5,((FIND(N656,A$4,1)-1)+1),4)</f>
        <v>7dbe</v>
      </c>
      <c r="P656" s="76" t="s">
        <v>0</v>
      </c>
      <c r="Q656" s="219" t="s">
        <v>0</v>
      </c>
      <c r="R656" s="103" t="s">
        <v>0</v>
      </c>
      <c r="S656" s="103" t="s">
        <v>0</v>
      </c>
      <c r="T656" s="42" t="s">
        <v>1</v>
      </c>
    </row>
    <row r="657" spans="1:20" ht="12.75">
      <c r="A657" s="44">
        <v>6121</v>
      </c>
      <c r="B657" s="886">
        <v>12242</v>
      </c>
      <c r="C657" s="886">
        <v>37466641</v>
      </c>
      <c r="D657" s="950" t="s">
        <v>2490</v>
      </c>
      <c r="E657" s="115">
        <f>B657-MOD(E$1-A657*3,B657)</f>
        <v>8977</v>
      </c>
      <c r="F657" s="644">
        <f>IF(MOD(E657,5)=0,B657,0)+E657</f>
        <v>8977</v>
      </c>
      <c r="G657" s="785">
        <f>IF(MOD(F657+$B657,5)=0,$B657,0)+$B657+F657</f>
        <v>21219</v>
      </c>
      <c r="H657" s="785">
        <f>IF(MOD(G657+$B657,5)=0,$B657,0)+$B657+G657</f>
        <v>33461</v>
      </c>
      <c r="I657" s="785">
        <f>IF(MOD(H657+$B657,5)=0,$B657,0)+$B657+H657</f>
        <v>45703</v>
      </c>
      <c r="J657" s="911">
        <v>897</v>
      </c>
      <c r="K657" s="785">
        <v>2121</v>
      </c>
      <c r="L657" s="785">
        <v>3346</v>
      </c>
      <c r="M657" s="785">
        <v>4570</v>
      </c>
      <c r="N657" s="23" t="str">
        <f>D657&amp;FIXED(MOD(F657,10),0)</f>
        <v>hh17</v>
      </c>
      <c r="O657" s="78" t="str">
        <f>MID(A$5,((FIND(N657,A$4,1)-1)+1),4)</f>
        <v>de7b</v>
      </c>
      <c r="P657" s="76" t="s">
        <v>0</v>
      </c>
      <c r="Q657" s="219" t="s">
        <v>0</v>
      </c>
      <c r="R657" s="103" t="s">
        <v>0</v>
      </c>
      <c r="S657" s="103" t="s">
        <v>0</v>
      </c>
      <c r="T657" s="42" t="s">
        <v>1</v>
      </c>
    </row>
    <row r="658" spans="1:20" ht="12.75">
      <c r="A658" s="44">
        <v>6131</v>
      </c>
      <c r="B658" s="886">
        <v>12262</v>
      </c>
      <c r="C658" s="886">
        <v>37589161</v>
      </c>
      <c r="D658" s="950" t="s">
        <v>2490</v>
      </c>
      <c r="E658" s="115">
        <f>B658-MOD(E$1-A658*3,B658)</f>
        <v>10607</v>
      </c>
      <c r="F658" s="644">
        <f>IF(MOD(E658,5)=0,B658,0)+E658</f>
        <v>10607</v>
      </c>
      <c r="G658" s="785">
        <f>IF(MOD(F658+$B658,5)=0,$B658,0)+$B658+F658</f>
        <v>22869</v>
      </c>
      <c r="H658" s="785">
        <f>IF(MOD(G658+$B658,5)=0,$B658,0)+$B658+G658</f>
        <v>35131</v>
      </c>
      <c r="I658" s="785">
        <f>IF(MOD(H658+$B658,5)=0,$B658,0)+$B658+H658</f>
        <v>47393</v>
      </c>
      <c r="J658" s="911">
        <v>1060</v>
      </c>
      <c r="K658" s="785">
        <v>2286</v>
      </c>
      <c r="L658" s="785">
        <v>3513</v>
      </c>
      <c r="M658" s="785">
        <v>4739</v>
      </c>
      <c r="N658" s="23" t="str">
        <f>D658&amp;FIXED(MOD(F658,10),0)</f>
        <v>hh17</v>
      </c>
      <c r="O658" s="78" t="str">
        <f>MID(A$5,((FIND(N658,A$4,1)-1)+1),4)</f>
        <v>de7b</v>
      </c>
      <c r="P658" s="76" t="s">
        <v>0</v>
      </c>
      <c r="Q658" s="219" t="s">
        <v>0</v>
      </c>
      <c r="R658" s="103" t="s">
        <v>0</v>
      </c>
      <c r="S658" s="103" t="s">
        <v>0</v>
      </c>
      <c r="T658" s="42" t="s">
        <v>1</v>
      </c>
    </row>
    <row r="659" spans="1:20" ht="12.75">
      <c r="A659" s="44">
        <v>6133</v>
      </c>
      <c r="B659" s="886">
        <v>12266</v>
      </c>
      <c r="C659" s="886">
        <v>37613689</v>
      </c>
      <c r="D659" s="950" t="s">
        <v>2496</v>
      </c>
      <c r="E659" s="115">
        <f>B659-MOD(E$1-A659*3,B659)</f>
        <v>8283</v>
      </c>
      <c r="F659" s="644">
        <f>IF(MOD(E659,5)=0,B659,0)+E659</f>
        <v>8283</v>
      </c>
      <c r="G659" s="785">
        <f>IF(MOD(F659+$B659,5)=0,$B659,0)+$B659+F659</f>
        <v>20549</v>
      </c>
      <c r="H659" s="785">
        <f>IF(MOD(G659+$B659,5)=0,$B659,0)+$B659+G659</f>
        <v>45081</v>
      </c>
      <c r="I659" s="785">
        <f>IF(MOD(H659+$B659,5)=0,$B659,0)+$B659+H659</f>
        <v>57347</v>
      </c>
      <c r="J659" s="911">
        <v>828</v>
      </c>
      <c r="K659" s="785">
        <v>2054</v>
      </c>
      <c r="L659" s="785">
        <v>4508</v>
      </c>
      <c r="M659" s="785">
        <v>5734</v>
      </c>
      <c r="N659" s="23" t="str">
        <f>D659&amp;FIXED(MOD(F659,10),0)</f>
        <v>hh33</v>
      </c>
      <c r="O659" s="78" t="str">
        <f>MID(A$5,((FIND(N659,A$4,1)-1)+1),4)</f>
        <v>be7d</v>
      </c>
      <c r="P659" s="76" t="s">
        <v>0</v>
      </c>
      <c r="Q659" s="219" t="s">
        <v>0</v>
      </c>
      <c r="R659" s="103" t="s">
        <v>0</v>
      </c>
      <c r="S659" s="103" t="s">
        <v>0</v>
      </c>
      <c r="T659" s="42" t="s">
        <v>1</v>
      </c>
    </row>
    <row r="660" spans="1:20" ht="12.75">
      <c r="A660" s="44">
        <v>6143</v>
      </c>
      <c r="B660" s="886">
        <v>12286</v>
      </c>
      <c r="C660" s="886">
        <v>37736449</v>
      </c>
      <c r="D660" s="950" t="s">
        <v>2496</v>
      </c>
      <c r="E660" s="115">
        <f>B660-MOD(E$1-A660*3,B660)</f>
        <v>2519</v>
      </c>
      <c r="F660" s="644">
        <f>IF(MOD(E660,5)=0,B660,0)+E660</f>
        <v>2519</v>
      </c>
      <c r="G660" s="785">
        <f>IF(MOD(F660+$B660,5)=0,$B660,0)+$B660+F660</f>
        <v>27091</v>
      </c>
      <c r="H660" s="785">
        <f>IF(MOD(G660+$B660,5)=0,$B660,0)+$B660+G660</f>
        <v>39377</v>
      </c>
      <c r="I660" s="785">
        <f>IF(MOD(H660+$B660,5)=0,$B660,0)+$B660+H660</f>
        <v>51663</v>
      </c>
      <c r="J660" s="911">
        <v>251</v>
      </c>
      <c r="K660" s="785">
        <v>2709</v>
      </c>
      <c r="L660" s="785">
        <v>3937</v>
      </c>
      <c r="M660" s="785">
        <v>5166</v>
      </c>
      <c r="N660" s="23" t="str">
        <f>D660&amp;FIXED(MOD(F660,10),0)</f>
        <v>hh39</v>
      </c>
      <c r="O660" s="78" t="str">
        <f>MID(A$5,((FIND(N660,A$4,1)-1)+1),4)</f>
        <v>e7db</v>
      </c>
      <c r="P660" s="76" t="s">
        <v>0</v>
      </c>
      <c r="Q660" s="219" t="s">
        <v>0</v>
      </c>
      <c r="R660" s="103" t="s">
        <v>0</v>
      </c>
      <c r="S660" s="103" t="s">
        <v>0</v>
      </c>
      <c r="T660" s="42" t="s">
        <v>1</v>
      </c>
    </row>
    <row r="661" spans="1:20" ht="12.75">
      <c r="A661" s="44">
        <v>6151</v>
      </c>
      <c r="B661" s="886">
        <v>12302</v>
      </c>
      <c r="C661" s="886">
        <v>37834801</v>
      </c>
      <c r="D661" s="950" t="s">
        <v>2490</v>
      </c>
      <c r="E661" s="115">
        <f>B661-MOD(E$1-A661*3,B661)</f>
        <v>121</v>
      </c>
      <c r="F661" s="644">
        <f>IF(MOD(E661,5)=0,B661,0)+E661</f>
        <v>121</v>
      </c>
      <c r="G661" s="785">
        <f>IF(MOD(F661+$B661,5)=0,$B661,0)+$B661+F661</f>
        <v>12423</v>
      </c>
      <c r="H661" s="785">
        <f>IF(MOD(G661+$B661,5)=0,$B661,0)+$B661+G661</f>
        <v>37027</v>
      </c>
      <c r="I661" s="785">
        <f>IF(MOD(H661+$B661,5)=0,$B661,0)+$B661+H661</f>
        <v>49329</v>
      </c>
      <c r="J661" s="911">
        <v>12</v>
      </c>
      <c r="K661" s="785">
        <v>1242</v>
      </c>
      <c r="L661" s="785">
        <v>3702</v>
      </c>
      <c r="M661" s="785">
        <v>4932</v>
      </c>
      <c r="N661" s="23" t="str">
        <f>D661&amp;FIXED(MOD(F661,10),0)</f>
        <v>hh11</v>
      </c>
      <c r="O661" s="78" t="str">
        <f>MID(A$5,((FIND(N661,A$4,1)-1)+1),4)</f>
        <v>7bde</v>
      </c>
      <c r="P661" s="76" t="s">
        <v>0</v>
      </c>
      <c r="Q661" s="219" t="s">
        <v>0</v>
      </c>
      <c r="R661" s="103" t="s">
        <v>0</v>
      </c>
      <c r="S661" s="103" t="s">
        <v>0</v>
      </c>
      <c r="T661" s="42" t="s">
        <v>1</v>
      </c>
    </row>
    <row r="662" spans="1:20" ht="12.75">
      <c r="A662" s="44">
        <v>6163</v>
      </c>
      <c r="B662" s="886">
        <v>12326</v>
      </c>
      <c r="C662" s="886">
        <v>37982569</v>
      </c>
      <c r="D662" s="950" t="s">
        <v>2496</v>
      </c>
      <c r="E662" s="115">
        <f>B662-MOD(E$1-A662*3,B662)</f>
        <v>8561</v>
      </c>
      <c r="F662" s="644">
        <f>IF(MOD(E662,5)=0,B662,0)+E662</f>
        <v>8561</v>
      </c>
      <c r="G662" s="785">
        <f>IF(MOD(F662+$B662,5)=0,$B662,0)+$B662+F662</f>
        <v>20887</v>
      </c>
      <c r="H662" s="785">
        <f>IF(MOD(G662+$B662,5)=0,$B662,0)+$B662+G662</f>
        <v>33213</v>
      </c>
      <c r="I662" s="785">
        <f>IF(MOD(H662+$B662,5)=0,$B662,0)+$B662+H662</f>
        <v>45539</v>
      </c>
      <c r="J662" s="911">
        <v>856</v>
      </c>
      <c r="K662" s="785">
        <v>2088</v>
      </c>
      <c r="L662" s="785">
        <v>3321</v>
      </c>
      <c r="M662" s="785">
        <v>4553</v>
      </c>
      <c r="N662" s="23" t="str">
        <f>D662&amp;FIXED(MOD(F662,10),0)</f>
        <v>hh31</v>
      </c>
      <c r="O662" s="78" t="str">
        <f>MID(A$5,((FIND(N662,A$4,1)-1)+1),4)</f>
        <v>7dbe</v>
      </c>
      <c r="P662" s="76" t="s">
        <v>0</v>
      </c>
      <c r="Q662" s="219" t="s">
        <v>0</v>
      </c>
      <c r="R662" s="103" t="s">
        <v>0</v>
      </c>
      <c r="S662" s="103" t="s">
        <v>0</v>
      </c>
      <c r="T662" s="42" t="s">
        <v>1</v>
      </c>
    </row>
    <row r="663" spans="1:20" ht="12.75">
      <c r="A663" s="44">
        <v>6173</v>
      </c>
      <c r="B663" s="886">
        <v>12346</v>
      </c>
      <c r="C663" s="886">
        <v>38105929</v>
      </c>
      <c r="D663" s="950" t="s">
        <v>2496</v>
      </c>
      <c r="E663" s="115">
        <f>B663-MOD(E$1-A663*3,B663)</f>
        <v>1983</v>
      </c>
      <c r="F663" s="644">
        <f>IF(MOD(E663,5)=0,B663,0)+E663</f>
        <v>1983</v>
      </c>
      <c r="G663" s="785">
        <f>IF(MOD(F663+$B663,5)=0,$B663,0)+$B663+F663</f>
        <v>14329</v>
      </c>
      <c r="H663" s="785">
        <f>IF(MOD(G663+$B663,5)=0,$B663,0)+$B663+G663</f>
        <v>39021</v>
      </c>
      <c r="I663" s="785">
        <f>IF(MOD(H663+$B663,5)=0,$B663,0)+$B663+H663</f>
        <v>51367</v>
      </c>
      <c r="J663" s="911">
        <v>198</v>
      </c>
      <c r="K663" s="785">
        <v>1432</v>
      </c>
      <c r="L663" s="785">
        <v>3902</v>
      </c>
      <c r="M663" s="785">
        <v>5136</v>
      </c>
      <c r="N663" s="23" t="str">
        <f>D663&amp;FIXED(MOD(F663,10),0)</f>
        <v>hh33</v>
      </c>
      <c r="O663" s="78" t="str">
        <f>MID(A$5,((FIND(N663,A$4,1)-1)+1),4)</f>
        <v>be7d</v>
      </c>
      <c r="P663" s="76" t="s">
        <v>0</v>
      </c>
      <c r="Q663" s="219" t="s">
        <v>0</v>
      </c>
      <c r="R663" s="103" t="s">
        <v>0</v>
      </c>
      <c r="S663" s="103" t="s">
        <v>0</v>
      </c>
      <c r="T663" s="42" t="s">
        <v>1</v>
      </c>
    </row>
    <row r="664" spans="1:20" ht="12.75">
      <c r="A664" s="44">
        <v>6197</v>
      </c>
      <c r="B664" s="886">
        <v>12394</v>
      </c>
      <c r="C664" s="886">
        <v>38402809</v>
      </c>
      <c r="D664" s="950" t="s">
        <v>2501</v>
      </c>
      <c r="E664" s="115">
        <f>B664-MOD(E$1-A664*3,B664)</f>
        <v>11765</v>
      </c>
      <c r="F664" s="644">
        <f>IF(MOD(E664,5)=0,B664,0)+E664</f>
        <v>24159</v>
      </c>
      <c r="G664" s="785">
        <f>IF(MOD(F664+$B664,5)=0,$B664,0)+$B664+F664</f>
        <v>36553</v>
      </c>
      <c r="H664" s="785">
        <f>IF(MOD(G664+$B664,5)=0,$B664,0)+$B664+G664</f>
        <v>48947</v>
      </c>
      <c r="I664" s="785">
        <f>IF(MOD(H664+$B664,5)=0,$B664,0)+$B664+H664</f>
        <v>61341</v>
      </c>
      <c r="J664" s="911">
        <v>2415</v>
      </c>
      <c r="K664" s="785">
        <v>3655</v>
      </c>
      <c r="L664" s="785">
        <v>4894</v>
      </c>
      <c r="M664" s="785">
        <v>6134</v>
      </c>
      <c r="N664" s="23" t="str">
        <f>D664&amp;FIXED(MOD(F664,10),0)</f>
        <v>hh79</v>
      </c>
      <c r="O664" s="78" t="str">
        <f>MID(A$5,((FIND(N664,A$4,1)-1)+1),4)</f>
        <v>ebd7</v>
      </c>
      <c r="P664" s="76" t="s">
        <v>0</v>
      </c>
      <c r="Q664" s="219" t="s">
        <v>0</v>
      </c>
      <c r="R664" s="103" t="s">
        <v>0</v>
      </c>
      <c r="S664" s="103" t="s">
        <v>0</v>
      </c>
      <c r="T664" s="42" t="s">
        <v>1</v>
      </c>
    </row>
    <row r="665" spans="1:20" ht="12.75">
      <c r="A665" s="44">
        <v>6199</v>
      </c>
      <c r="B665" s="886">
        <v>12398</v>
      </c>
      <c r="C665" s="886">
        <v>38427601</v>
      </c>
      <c r="D665" s="950" t="s">
        <v>2506</v>
      </c>
      <c r="E665" s="115">
        <f>B665-MOD(E$1-A665*3,B665)</f>
        <v>5627</v>
      </c>
      <c r="F665" s="644">
        <f>IF(MOD(E665,5)=0,B665,0)+E665</f>
        <v>5627</v>
      </c>
      <c r="G665" s="785">
        <f>IF(MOD(F665+$B665,5)=0,$B665,0)+$B665+F665</f>
        <v>30423</v>
      </c>
      <c r="H665" s="785">
        <f>IF(MOD(G665+$B665,5)=0,$B665,0)+$B665+G665</f>
        <v>42821</v>
      </c>
      <c r="I665" s="785">
        <f>IF(MOD(H665+$B665,5)=0,$B665,0)+$B665+H665</f>
        <v>55219</v>
      </c>
      <c r="J665" s="911">
        <v>562</v>
      </c>
      <c r="K665" s="785">
        <v>3042</v>
      </c>
      <c r="L665" s="785">
        <v>4282</v>
      </c>
      <c r="M665" s="785">
        <v>5521</v>
      </c>
      <c r="N665" s="23" t="str">
        <f>D665&amp;FIXED(MOD(F665,10),0)</f>
        <v>hh97</v>
      </c>
      <c r="O665" s="78" t="str">
        <f>MID(A$5,((FIND(N665,A$4,1)-1)+1),4)</f>
        <v>db7e</v>
      </c>
      <c r="P665" s="76" t="s">
        <v>0</v>
      </c>
      <c r="Q665" s="219" t="s">
        <v>0</v>
      </c>
      <c r="R665" s="103" t="s">
        <v>0</v>
      </c>
      <c r="S665" s="103" t="s">
        <v>0</v>
      </c>
      <c r="T665" s="42" t="s">
        <v>1</v>
      </c>
    </row>
    <row r="666" spans="1:20" ht="12.75">
      <c r="A666" s="44">
        <v>6203</v>
      </c>
      <c r="B666" s="886">
        <v>12406</v>
      </c>
      <c r="C666" s="886">
        <v>38477209</v>
      </c>
      <c r="D666" s="950" t="s">
        <v>2496</v>
      </c>
      <c r="E666" s="115">
        <f>B666-MOD(E$1-A666*3,B666)</f>
        <v>3873</v>
      </c>
      <c r="F666" s="644">
        <f>IF(MOD(E666,5)=0,B666,0)+E666</f>
        <v>3873</v>
      </c>
      <c r="G666" s="785">
        <f>IF(MOD(F666+$B666,5)=0,$B666,0)+$B666+F666</f>
        <v>16279</v>
      </c>
      <c r="H666" s="785">
        <f>IF(MOD(G666+$B666,5)=0,$B666,0)+$B666+G666</f>
        <v>41091</v>
      </c>
      <c r="I666" s="785">
        <f>IF(MOD(H666+$B666,5)=0,$B666,0)+$B666+H666</f>
        <v>53497</v>
      </c>
      <c r="J666" s="911">
        <v>387</v>
      </c>
      <c r="K666" s="785">
        <v>1627</v>
      </c>
      <c r="L666" s="785">
        <v>4109</v>
      </c>
      <c r="M666" s="785">
        <v>5349</v>
      </c>
      <c r="N666" s="23" t="str">
        <f>D666&amp;FIXED(MOD(F666,10),0)</f>
        <v>hh33</v>
      </c>
      <c r="O666" s="78" t="str">
        <f>MID(A$5,((FIND(N666,A$4,1)-1)+1),4)</f>
        <v>be7d</v>
      </c>
      <c r="P666" s="76" t="s">
        <v>0</v>
      </c>
      <c r="Q666" s="219" t="s">
        <v>0</v>
      </c>
      <c r="R666" s="103" t="s">
        <v>0</v>
      </c>
      <c r="S666" s="103" t="s">
        <v>0</v>
      </c>
      <c r="T666" s="42" t="s">
        <v>1</v>
      </c>
    </row>
    <row r="667" spans="1:20" ht="12.75">
      <c r="A667" s="44">
        <v>6211</v>
      </c>
      <c r="B667" s="886">
        <v>12422</v>
      </c>
      <c r="C667" s="886">
        <v>38576521</v>
      </c>
      <c r="D667" s="950" t="s">
        <v>2490</v>
      </c>
      <c r="E667" s="115">
        <f>B667-MOD(E$1-A667*3,B667)</f>
        <v>8659</v>
      </c>
      <c r="F667" s="644">
        <f>IF(MOD(E667,5)=0,B667,0)+E667</f>
        <v>8659</v>
      </c>
      <c r="G667" s="785">
        <f>IF(MOD(F667+$B667,5)=0,$B667,0)+$B667+F667</f>
        <v>21081</v>
      </c>
      <c r="H667" s="785">
        <f>IF(MOD(G667+$B667,5)=0,$B667,0)+$B667+G667</f>
        <v>33503</v>
      </c>
      <c r="I667" s="785">
        <f>IF(MOD(H667+$B667,5)=0,$B667,0)+$B667+H667</f>
        <v>58347</v>
      </c>
      <c r="J667" s="911">
        <v>865</v>
      </c>
      <c r="K667" s="785">
        <v>2108</v>
      </c>
      <c r="L667" s="785">
        <v>3350</v>
      </c>
      <c r="M667" s="785">
        <v>5834</v>
      </c>
      <c r="N667" s="23" t="str">
        <f>D667&amp;FIXED(MOD(F667,10),0)</f>
        <v>hh19</v>
      </c>
      <c r="O667" s="78" t="str">
        <f>MID(A$5,((FIND(N667,A$4,1)-1)+1),4)</f>
        <v>e7bd</v>
      </c>
      <c r="P667" s="76" t="s">
        <v>0</v>
      </c>
      <c r="Q667" s="219" t="s">
        <v>0</v>
      </c>
      <c r="R667" s="103" t="s">
        <v>0</v>
      </c>
      <c r="S667" s="103" t="s">
        <v>0</v>
      </c>
      <c r="T667" s="42" t="s">
        <v>1</v>
      </c>
    </row>
    <row r="668" spans="1:20" ht="12.75">
      <c r="A668" s="44">
        <v>6217</v>
      </c>
      <c r="B668" s="886">
        <v>12434</v>
      </c>
      <c r="C668" s="886">
        <v>38651089</v>
      </c>
      <c r="D668" s="950" t="s">
        <v>2501</v>
      </c>
      <c r="E668" s="115">
        <f>B668-MOD(E$1-A668*3,B668)</f>
        <v>9329</v>
      </c>
      <c r="F668" s="644">
        <f>IF(MOD(E668,5)=0,B668,0)+E668</f>
        <v>9329</v>
      </c>
      <c r="G668" s="785">
        <f>IF(MOD(F668+$B668,5)=0,$B668,0)+$B668+F668</f>
        <v>21763</v>
      </c>
      <c r="H668" s="785">
        <f>IF(MOD(G668+$B668,5)=0,$B668,0)+$B668+G668</f>
        <v>34197</v>
      </c>
      <c r="I668" s="785">
        <f>IF(MOD(H668+$B668,5)=0,$B668,0)+$B668+H668</f>
        <v>46631</v>
      </c>
      <c r="J668" s="911">
        <v>932</v>
      </c>
      <c r="K668" s="785">
        <v>2176</v>
      </c>
      <c r="L668" s="785">
        <v>3419</v>
      </c>
      <c r="M668" s="785">
        <v>4663</v>
      </c>
      <c r="N668" s="23" t="str">
        <f>D668&amp;FIXED(MOD(F668,10),0)</f>
        <v>hh79</v>
      </c>
      <c r="O668" s="78" t="str">
        <f>MID(A$5,((FIND(N668,A$4,1)-1)+1),4)</f>
        <v>ebd7</v>
      </c>
      <c r="P668" s="76" t="s">
        <v>0</v>
      </c>
      <c r="Q668" s="219" t="s">
        <v>0</v>
      </c>
      <c r="R668" s="103" t="s">
        <v>0</v>
      </c>
      <c r="S668" s="103" t="s">
        <v>0</v>
      </c>
      <c r="T668" s="42" t="s">
        <v>1</v>
      </c>
    </row>
    <row r="669" spans="1:20" ht="12.75">
      <c r="A669" s="44">
        <v>6221</v>
      </c>
      <c r="B669" s="886">
        <v>12442</v>
      </c>
      <c r="C669" s="886">
        <v>38700841</v>
      </c>
      <c r="D669" s="950" t="s">
        <v>2490</v>
      </c>
      <c r="E669" s="115">
        <f>B669-MOD(E$1-A669*3,B669)</f>
        <v>7515</v>
      </c>
      <c r="F669" s="644">
        <f>IF(MOD(E669,5)=0,B669,0)+E669</f>
        <v>19957</v>
      </c>
      <c r="G669" s="785">
        <f>IF(MOD(F669+$B669,5)=0,$B669,0)+$B669+F669</f>
        <v>32399</v>
      </c>
      <c r="H669" s="785">
        <f>IF(MOD(G669+$B669,5)=0,$B669,0)+$B669+G669</f>
        <v>44841</v>
      </c>
      <c r="I669" s="785">
        <f>IF(MOD(H669+$B669,5)=0,$B669,0)+$B669+H669</f>
        <v>57283</v>
      </c>
      <c r="J669" s="911">
        <v>1995</v>
      </c>
      <c r="K669" s="785">
        <v>3239</v>
      </c>
      <c r="L669" s="785">
        <v>4484</v>
      </c>
      <c r="M669" s="785">
        <v>5728</v>
      </c>
      <c r="N669" s="23" t="str">
        <f>D669&amp;FIXED(MOD(F669,10),0)</f>
        <v>hh17</v>
      </c>
      <c r="O669" s="78" t="str">
        <f>MID(A$5,((FIND(N669,A$4,1)-1)+1),4)</f>
        <v>de7b</v>
      </c>
      <c r="P669" s="76" t="s">
        <v>0</v>
      </c>
      <c r="Q669" s="219" t="s">
        <v>0</v>
      </c>
      <c r="R669" s="103" t="s">
        <v>0</v>
      </c>
      <c r="S669" s="103" t="s">
        <v>0</v>
      </c>
      <c r="T669" s="42" t="s">
        <v>1</v>
      </c>
    </row>
    <row r="670" spans="1:20" ht="12.75">
      <c r="A670" s="44">
        <v>6229</v>
      </c>
      <c r="B670" s="886">
        <v>12458</v>
      </c>
      <c r="C670" s="886">
        <v>38800441</v>
      </c>
      <c r="D670" s="950" t="s">
        <v>2506</v>
      </c>
      <c r="E670" s="115">
        <f>B670-MOD(E$1-A670*3,B670)</f>
        <v>261</v>
      </c>
      <c r="F670" s="644">
        <f>IF(MOD(E670,5)=0,B670,0)+E670</f>
        <v>261</v>
      </c>
      <c r="G670" s="785">
        <f>IF(MOD(F670+$B670,5)=0,$B670,0)+$B670+F670</f>
        <v>12719</v>
      </c>
      <c r="H670" s="785">
        <f>IF(MOD(G670+$B670,5)=0,$B670,0)+$B670+G670</f>
        <v>25177</v>
      </c>
      <c r="I670" s="785">
        <f>IF(MOD(H670+$B670,5)=0,$B670,0)+$B670+H670</f>
        <v>50093</v>
      </c>
      <c r="J670" s="911">
        <v>26</v>
      </c>
      <c r="K670" s="785">
        <v>1271</v>
      </c>
      <c r="L670" s="785">
        <v>2517</v>
      </c>
      <c r="M670" s="785">
        <v>5009</v>
      </c>
      <c r="N670" s="23" t="str">
        <f>D670&amp;FIXED(MOD(F670,10),0)</f>
        <v>hh91</v>
      </c>
      <c r="O670" s="78" t="str">
        <f>MID(A$5,((FIND(N670,A$4,1)-1)+1),4)</f>
        <v>7edb</v>
      </c>
      <c r="P670" s="76" t="s">
        <v>0</v>
      </c>
      <c r="Q670" s="219" t="s">
        <v>0</v>
      </c>
      <c r="R670" s="103" t="s">
        <v>0</v>
      </c>
      <c r="S670" s="103" t="s">
        <v>0</v>
      </c>
      <c r="T670" s="42" t="s">
        <v>1</v>
      </c>
    </row>
    <row r="671" spans="1:20" ht="12.75">
      <c r="A671" s="44">
        <v>6247</v>
      </c>
      <c r="B671" s="886">
        <v>12494</v>
      </c>
      <c r="C671" s="886">
        <v>39025009</v>
      </c>
      <c r="D671" s="950" t="s">
        <v>2501</v>
      </c>
      <c r="E671" s="115">
        <f>B671-MOD(E$1-A671*3,B671)</f>
        <v>8879</v>
      </c>
      <c r="F671" s="644">
        <f>IF(MOD(E671,5)=0,B671,0)+E671</f>
        <v>8879</v>
      </c>
      <c r="G671" s="785">
        <f>IF(MOD(F671+$B671,5)=0,$B671,0)+$B671+F671</f>
        <v>21373</v>
      </c>
      <c r="H671" s="785">
        <f>IF(MOD(G671+$B671,5)=0,$B671,0)+$B671+G671</f>
        <v>33867</v>
      </c>
      <c r="I671" s="785">
        <f>IF(MOD(H671+$B671,5)=0,$B671,0)+$B671+H671</f>
        <v>46361</v>
      </c>
      <c r="J671" s="911">
        <v>887</v>
      </c>
      <c r="K671" s="785">
        <v>2137</v>
      </c>
      <c r="L671" s="785">
        <v>3386</v>
      </c>
      <c r="M671" s="785">
        <v>4636</v>
      </c>
      <c r="N671" s="23" t="str">
        <f>D671&amp;FIXED(MOD(F671,10),0)</f>
        <v>hh79</v>
      </c>
      <c r="O671" s="78" t="str">
        <f>MID(A$5,((FIND(N671,A$4,1)-1)+1),4)</f>
        <v>ebd7</v>
      </c>
      <c r="P671" s="76" t="s">
        <v>0</v>
      </c>
      <c r="Q671" s="219" t="s">
        <v>0</v>
      </c>
      <c r="R671" s="103" t="s">
        <v>0</v>
      </c>
      <c r="S671" s="103" t="s">
        <v>0</v>
      </c>
      <c r="T671" s="42" t="s">
        <v>1</v>
      </c>
    </row>
    <row r="672" spans="1:20" ht="12.75">
      <c r="A672" s="44">
        <v>6257</v>
      </c>
      <c r="B672" s="886">
        <v>12514</v>
      </c>
      <c r="C672" s="886">
        <v>39150049</v>
      </c>
      <c r="D672" s="950" t="s">
        <v>2501</v>
      </c>
      <c r="E672" s="115">
        <f>B672-MOD(E$1-A672*3,B672)</f>
        <v>11731</v>
      </c>
      <c r="F672" s="644">
        <f>IF(MOD(E672,5)=0,B672,0)+E672</f>
        <v>11731</v>
      </c>
      <c r="G672" s="785">
        <f>IF(MOD(F672+$B672,5)=0,$B672,0)+$B672+F672</f>
        <v>36759</v>
      </c>
      <c r="H672" s="785">
        <f>IF(MOD(G672+$B672,5)=0,$B672,0)+$B672+G672</f>
        <v>49273</v>
      </c>
      <c r="I672" s="785">
        <f>IF(MOD(H672+$B672,5)=0,$B672,0)+$B672+H672</f>
        <v>61787</v>
      </c>
      <c r="J672" s="911">
        <v>1173</v>
      </c>
      <c r="K672" s="785">
        <v>3675</v>
      </c>
      <c r="L672" s="785">
        <v>4927</v>
      </c>
      <c r="M672" s="785">
        <v>6178</v>
      </c>
      <c r="N672" s="23" t="str">
        <f>D672&amp;FIXED(MOD(F672,10),0)</f>
        <v>hh71</v>
      </c>
      <c r="O672" s="78" t="str">
        <f>MID(A$5,((FIND(N672,A$4,1)-1)+1),4)</f>
        <v>7ebd</v>
      </c>
      <c r="P672" s="76" t="s">
        <v>0</v>
      </c>
      <c r="Q672" s="219" t="s">
        <v>0</v>
      </c>
      <c r="R672" s="103" t="s">
        <v>0</v>
      </c>
      <c r="S672" s="103" t="s">
        <v>0</v>
      </c>
      <c r="T672" s="42" t="s">
        <v>1</v>
      </c>
    </row>
    <row r="673" spans="1:20" ht="12.75">
      <c r="A673" s="44">
        <v>6263</v>
      </c>
      <c r="B673" s="886">
        <v>12526</v>
      </c>
      <c r="C673" s="886">
        <v>39225169</v>
      </c>
      <c r="D673" s="950" t="s">
        <v>2496</v>
      </c>
      <c r="E673" s="115">
        <f>B673-MOD(E$1-A673*3,B673)</f>
        <v>11019</v>
      </c>
      <c r="F673" s="644">
        <f>IF(MOD(E673,5)=0,B673,0)+E673</f>
        <v>11019</v>
      </c>
      <c r="G673" s="785">
        <f>IF(MOD(F673+$B673,5)=0,$B673,0)+$B673+F673</f>
        <v>36071</v>
      </c>
      <c r="H673" s="785">
        <f>IF(MOD(G673+$B673,5)=0,$B673,0)+$B673+G673</f>
        <v>48597</v>
      </c>
      <c r="I673" s="785">
        <f>IF(MOD(H673+$B673,5)=0,$B673,0)+$B673+H673</f>
        <v>61123</v>
      </c>
      <c r="J673" s="911">
        <v>1101</v>
      </c>
      <c r="K673" s="785">
        <v>3607</v>
      </c>
      <c r="L673" s="785">
        <v>4859</v>
      </c>
      <c r="M673" s="785">
        <v>6112</v>
      </c>
      <c r="N673" s="23" t="str">
        <f>D673&amp;FIXED(MOD(F673,10),0)</f>
        <v>hh39</v>
      </c>
      <c r="O673" s="78" t="str">
        <f>MID(A$5,((FIND(N673,A$4,1)-1)+1),4)</f>
        <v>e7db</v>
      </c>
      <c r="P673" s="76" t="s">
        <v>0</v>
      </c>
      <c r="Q673" s="219" t="s">
        <v>0</v>
      </c>
      <c r="R673" s="103" t="s">
        <v>0</v>
      </c>
      <c r="S673" s="103" t="s">
        <v>0</v>
      </c>
      <c r="T673" s="42" t="s">
        <v>1</v>
      </c>
    </row>
    <row r="674" spans="1:20" ht="12.75">
      <c r="A674" s="44">
        <v>6269</v>
      </c>
      <c r="B674" s="886">
        <v>12538</v>
      </c>
      <c r="C674" s="886">
        <v>39300361</v>
      </c>
      <c r="D674" s="950" t="s">
        <v>2506</v>
      </c>
      <c r="E674" s="115">
        <f>B674-MOD(E$1-A674*3,B674)</f>
        <v>1073</v>
      </c>
      <c r="F674" s="644">
        <f>IF(MOD(E674,5)=0,B674,0)+E674</f>
        <v>1073</v>
      </c>
      <c r="G674" s="785">
        <f>IF(MOD(F674+$B674,5)=0,$B674,0)+$B674+F674</f>
        <v>13611</v>
      </c>
      <c r="H674" s="785">
        <f>IF(MOD(G674+$B674,5)=0,$B674,0)+$B674+G674</f>
        <v>26149</v>
      </c>
      <c r="I674" s="785">
        <f>IF(MOD(H674+$B674,5)=0,$B674,0)+$B674+H674</f>
        <v>38687</v>
      </c>
      <c r="J674" s="911">
        <v>107</v>
      </c>
      <c r="K674" s="785">
        <v>1361</v>
      </c>
      <c r="L674" s="785">
        <v>2614</v>
      </c>
      <c r="M674" s="785">
        <v>3868</v>
      </c>
      <c r="N674" s="23" t="str">
        <f>D674&amp;FIXED(MOD(F674,10),0)</f>
        <v>hh93</v>
      </c>
      <c r="O674" s="78" t="str">
        <f>MID(A$5,((FIND(N674,A$4,1)-1)+1),4)</f>
        <v>b7ed</v>
      </c>
      <c r="P674" s="76" t="s">
        <v>0</v>
      </c>
      <c r="Q674" s="219" t="s">
        <v>0</v>
      </c>
      <c r="R674" s="103" t="s">
        <v>0</v>
      </c>
      <c r="S674" s="103" t="s">
        <v>0</v>
      </c>
      <c r="T674" s="42" t="s">
        <v>1</v>
      </c>
    </row>
    <row r="675" spans="1:20" ht="12.75">
      <c r="A675" s="44">
        <v>6271</v>
      </c>
      <c r="B675" s="886">
        <v>12542</v>
      </c>
      <c r="C675" s="886">
        <v>39325441</v>
      </c>
      <c r="D675" s="950" t="s">
        <v>2490</v>
      </c>
      <c r="E675" s="115">
        <f>B675-MOD(E$1-A675*3,B675)</f>
        <v>8789</v>
      </c>
      <c r="F675" s="644">
        <f>IF(MOD(E675,5)=0,B675,0)+E675</f>
        <v>8789</v>
      </c>
      <c r="G675" s="785">
        <f>IF(MOD(F675+$B675,5)=0,$B675,0)+$B675+F675</f>
        <v>21331</v>
      </c>
      <c r="H675" s="785">
        <f>IF(MOD(G675+$B675,5)=0,$B675,0)+$B675+G675</f>
        <v>33873</v>
      </c>
      <c r="I675" s="785">
        <f>IF(MOD(H675+$B675,5)=0,$B675,0)+$B675+H675</f>
        <v>58957</v>
      </c>
      <c r="J675" s="911">
        <v>878</v>
      </c>
      <c r="K675" s="785">
        <v>2133</v>
      </c>
      <c r="L675" s="785">
        <v>3387</v>
      </c>
      <c r="M675" s="785">
        <v>5895</v>
      </c>
      <c r="N675" s="23" t="str">
        <f>D675&amp;FIXED(MOD(F675,10),0)</f>
        <v>hh19</v>
      </c>
      <c r="O675" s="78" t="str">
        <f>MID(A$5,((FIND(N675,A$4,1)-1)+1),4)</f>
        <v>e7bd</v>
      </c>
      <c r="P675" s="76" t="s">
        <v>0</v>
      </c>
      <c r="Q675" s="219" t="s">
        <v>0</v>
      </c>
      <c r="R675" s="103" t="s">
        <v>0</v>
      </c>
      <c r="S675" s="103" t="s">
        <v>0</v>
      </c>
      <c r="T675" s="42" t="s">
        <v>1</v>
      </c>
    </row>
    <row r="676" spans="1:20" ht="12.75">
      <c r="A676" s="44">
        <v>6277</v>
      </c>
      <c r="B676" s="886">
        <v>12554</v>
      </c>
      <c r="C676" s="886">
        <v>39400729</v>
      </c>
      <c r="D676" s="950" t="s">
        <v>2501</v>
      </c>
      <c r="E676" s="115">
        <f>B676-MOD(E$1-A676*3,B676)</f>
        <v>3969</v>
      </c>
      <c r="F676" s="644">
        <f>IF(MOD(E676,5)=0,B676,0)+E676</f>
        <v>3969</v>
      </c>
      <c r="G676" s="785">
        <f>IF(MOD(F676+$B676,5)=0,$B676,0)+$B676+F676</f>
        <v>16523</v>
      </c>
      <c r="H676" s="785">
        <f>IF(MOD(G676+$B676,5)=0,$B676,0)+$B676+G676</f>
        <v>29077</v>
      </c>
      <c r="I676" s="785">
        <f>IF(MOD(H676+$B676,5)=0,$B676,0)+$B676+H676</f>
        <v>41631</v>
      </c>
      <c r="J676" s="911">
        <v>396</v>
      </c>
      <c r="K676" s="785">
        <v>1652</v>
      </c>
      <c r="L676" s="785">
        <v>2907</v>
      </c>
      <c r="M676" s="785">
        <v>4163</v>
      </c>
      <c r="N676" s="23" t="str">
        <f>D676&amp;FIXED(MOD(F676,10),0)</f>
        <v>hh79</v>
      </c>
      <c r="O676" s="78" t="str">
        <f>MID(A$5,((FIND(N676,A$4,1)-1)+1),4)</f>
        <v>ebd7</v>
      </c>
      <c r="P676" s="76" t="s">
        <v>0</v>
      </c>
      <c r="Q676" s="219" t="s">
        <v>0</v>
      </c>
      <c r="R676" s="103" t="s">
        <v>0</v>
      </c>
      <c r="S676" s="103" t="s">
        <v>0</v>
      </c>
      <c r="T676" s="42" t="s">
        <v>1</v>
      </c>
    </row>
    <row r="677" spans="1:20" ht="12.75">
      <c r="A677" s="44">
        <v>6287</v>
      </c>
      <c r="B677" s="886">
        <v>12574</v>
      </c>
      <c r="C677" s="886">
        <v>39526369</v>
      </c>
      <c r="D677" s="950" t="s">
        <v>2501</v>
      </c>
      <c r="E677" s="115">
        <f>B677-MOD(E$1-A677*3,B677)</f>
        <v>10021</v>
      </c>
      <c r="F677" s="644">
        <f>IF(MOD(E677,5)=0,B677,0)+E677</f>
        <v>10021</v>
      </c>
      <c r="G677" s="785">
        <f>IF(MOD(F677+$B677,5)=0,$B677,0)+$B677+F677</f>
        <v>35169</v>
      </c>
      <c r="H677" s="785">
        <f>IF(MOD(G677+$B677,5)=0,$B677,0)+$B677+G677</f>
        <v>47743</v>
      </c>
      <c r="I677" s="785">
        <f>IF(MOD(H677+$B677,5)=0,$B677,0)+$B677+H677</f>
        <v>60317</v>
      </c>
      <c r="J677" s="911">
        <v>1002</v>
      </c>
      <c r="K677" s="785">
        <v>3516</v>
      </c>
      <c r="L677" s="785">
        <v>4774</v>
      </c>
      <c r="M677" s="785">
        <v>6031</v>
      </c>
      <c r="N677" s="23" t="str">
        <f>D677&amp;FIXED(MOD(F677,10),0)</f>
        <v>hh71</v>
      </c>
      <c r="O677" s="78" t="str">
        <f>MID(A$5,((FIND(N677,A$4,1)-1)+1),4)</f>
        <v>7ebd</v>
      </c>
      <c r="P677" s="76" t="s">
        <v>0</v>
      </c>
      <c r="Q677" s="219" t="s">
        <v>0</v>
      </c>
      <c r="R677" s="103" t="s">
        <v>0</v>
      </c>
      <c r="S677" s="103" t="s">
        <v>0</v>
      </c>
      <c r="T677" s="42" t="s">
        <v>1</v>
      </c>
    </row>
    <row r="678" spans="1:20" ht="12.75">
      <c r="A678" s="44">
        <v>6299</v>
      </c>
      <c r="B678" s="886">
        <v>12598</v>
      </c>
      <c r="C678" s="886">
        <v>39677401</v>
      </c>
      <c r="D678" s="950" t="s">
        <v>2506</v>
      </c>
      <c r="E678" s="115">
        <f>B678-MOD(E$1-A678*3,B678)</f>
        <v>10639</v>
      </c>
      <c r="F678" s="644">
        <f>IF(MOD(E678,5)=0,B678,0)+E678</f>
        <v>10639</v>
      </c>
      <c r="G678" s="785">
        <f>IF(MOD(F678+$B678,5)=0,$B678,0)+$B678+F678</f>
        <v>23237</v>
      </c>
      <c r="H678" s="785">
        <f>IF(MOD(G678+$B678,5)=0,$B678,0)+$B678+G678</f>
        <v>48433</v>
      </c>
      <c r="I678" s="785">
        <f>IF(MOD(H678+$B678,5)=0,$B678,0)+$B678+H678</f>
        <v>61031</v>
      </c>
      <c r="J678" s="911">
        <v>1063</v>
      </c>
      <c r="K678" s="785">
        <v>2323</v>
      </c>
      <c r="L678" s="785">
        <v>4843</v>
      </c>
      <c r="M678" s="785">
        <v>6103</v>
      </c>
      <c r="N678" s="23" t="str">
        <f>D678&amp;FIXED(MOD(F678,10),0)</f>
        <v>hh99</v>
      </c>
      <c r="O678" s="78" t="str">
        <f>MID(A$5,((FIND(N678,A$4,1)-1)+1),4)</f>
        <v>edb7</v>
      </c>
      <c r="P678" s="76" t="s">
        <v>0</v>
      </c>
      <c r="Q678" s="219" t="s">
        <v>0</v>
      </c>
      <c r="R678" s="103" t="s">
        <v>0</v>
      </c>
      <c r="S678" s="103" t="s">
        <v>0</v>
      </c>
      <c r="T678" s="42" t="s">
        <v>1</v>
      </c>
    </row>
    <row r="679" spans="1:20" ht="12.75">
      <c r="A679" s="44">
        <v>6301</v>
      </c>
      <c r="B679" s="886">
        <v>12602</v>
      </c>
      <c r="C679" s="886">
        <v>39702601</v>
      </c>
      <c r="D679" s="950" t="s">
        <v>2490</v>
      </c>
      <c r="E679" s="115">
        <f>B679-MOD(E$1-A679*3,B679)</f>
        <v>9591</v>
      </c>
      <c r="F679" s="644">
        <f>IF(MOD(E679,5)=0,B679,0)+E679</f>
        <v>9591</v>
      </c>
      <c r="G679" s="785">
        <f>IF(MOD(F679+$B679,5)=0,$B679,0)+$B679+F679</f>
        <v>22193</v>
      </c>
      <c r="H679" s="785">
        <f>IF(MOD(G679+$B679,5)=0,$B679,0)+$B679+G679</f>
        <v>47397</v>
      </c>
      <c r="I679" s="785">
        <f>IF(MOD(H679+$B679,5)=0,$B679,0)+$B679+H679</f>
        <v>59999</v>
      </c>
      <c r="J679" s="911">
        <v>959</v>
      </c>
      <c r="K679" s="785">
        <v>2219</v>
      </c>
      <c r="L679" s="785">
        <v>4739</v>
      </c>
      <c r="M679" s="785">
        <v>5999</v>
      </c>
      <c r="N679" s="23" t="str">
        <f>D679&amp;FIXED(MOD(F679,10),0)</f>
        <v>hh11</v>
      </c>
      <c r="O679" s="78" t="str">
        <f>MID(A$5,((FIND(N679,A$4,1)-1)+1),4)</f>
        <v>7bde</v>
      </c>
      <c r="P679" s="76" t="s">
        <v>0</v>
      </c>
      <c r="Q679" s="219" t="s">
        <v>0</v>
      </c>
      <c r="R679" s="103" t="s">
        <v>0</v>
      </c>
      <c r="S679" s="103" t="s">
        <v>0</v>
      </c>
      <c r="T679" s="42" t="s">
        <v>1</v>
      </c>
    </row>
    <row r="680" spans="1:20" ht="12.75">
      <c r="A680" s="44">
        <v>6311</v>
      </c>
      <c r="B680" s="886">
        <v>12622</v>
      </c>
      <c r="C680" s="886">
        <v>39828721</v>
      </c>
      <c r="D680" s="950" t="s">
        <v>2490</v>
      </c>
      <c r="E680" s="115">
        <f>B680-MOD(E$1-A680*3,B680)</f>
        <v>11719</v>
      </c>
      <c r="F680" s="644">
        <f>IF(MOD(E680,5)=0,B680,0)+E680</f>
        <v>11719</v>
      </c>
      <c r="G680" s="785">
        <f>IF(MOD(F680+$B680,5)=0,$B680,0)+$B680+F680</f>
        <v>24341</v>
      </c>
      <c r="H680" s="785">
        <f>IF(MOD(G680+$B680,5)=0,$B680,0)+$B680+G680</f>
        <v>36963</v>
      </c>
      <c r="I680" s="785">
        <f>IF(MOD(H680+$B680,5)=0,$B680,0)+$B680+H680</f>
        <v>62207</v>
      </c>
      <c r="J680" s="911">
        <v>1171</v>
      </c>
      <c r="K680" s="785">
        <v>2434</v>
      </c>
      <c r="L680" s="785">
        <v>3696</v>
      </c>
      <c r="M680" s="785">
        <v>6220</v>
      </c>
      <c r="N680" s="23" t="str">
        <f>D680&amp;FIXED(MOD(F680,10),0)</f>
        <v>hh19</v>
      </c>
      <c r="O680" s="78" t="str">
        <f>MID(A$5,((FIND(N680,A$4,1)-1)+1),4)</f>
        <v>e7bd</v>
      </c>
      <c r="P680" s="76" t="s">
        <v>0</v>
      </c>
      <c r="Q680" s="219" t="s">
        <v>0</v>
      </c>
      <c r="R680" s="103" t="s">
        <v>0</v>
      </c>
      <c r="S680" s="103" t="s">
        <v>0</v>
      </c>
      <c r="T680" s="42" t="s">
        <v>1</v>
      </c>
    </row>
    <row r="681" spans="1:20" ht="12.75">
      <c r="A681" s="44">
        <v>6317</v>
      </c>
      <c r="B681" s="886">
        <v>12634</v>
      </c>
      <c r="C681" s="886">
        <v>39904489</v>
      </c>
      <c r="D681" s="950" t="s">
        <v>2501</v>
      </c>
      <c r="E681" s="115">
        <f>B681-MOD(E$1-A681*3,B681)</f>
        <v>2823</v>
      </c>
      <c r="F681" s="644">
        <f>IF(MOD(E681,5)=0,B681,0)+E681</f>
        <v>2823</v>
      </c>
      <c r="G681" s="785">
        <f>IF(MOD(F681+$B681,5)=0,$B681,0)+$B681+F681</f>
        <v>15457</v>
      </c>
      <c r="H681" s="785">
        <f>IF(MOD(G681+$B681,5)=0,$B681,0)+$B681+G681</f>
        <v>28091</v>
      </c>
      <c r="I681" s="785">
        <f>IF(MOD(H681+$B681,5)=0,$B681,0)+$B681+H681</f>
        <v>53359</v>
      </c>
      <c r="J681" s="911">
        <v>282</v>
      </c>
      <c r="K681" s="785">
        <v>1545</v>
      </c>
      <c r="L681" s="785">
        <v>2809</v>
      </c>
      <c r="M681" s="785">
        <v>5335</v>
      </c>
      <c r="N681" s="23" t="str">
        <f>D681&amp;FIXED(MOD(F681,10),0)</f>
        <v>hh73</v>
      </c>
      <c r="O681" s="78" t="str">
        <f>MID(A$5,((FIND(N681,A$4,1)-1)+1),4)</f>
        <v>bd7e</v>
      </c>
      <c r="P681" s="76" t="s">
        <v>0</v>
      </c>
      <c r="Q681" s="219" t="s">
        <v>0</v>
      </c>
      <c r="R681" s="103" t="s">
        <v>0</v>
      </c>
      <c r="S681" s="103" t="s">
        <v>0</v>
      </c>
      <c r="T681" s="42" t="s">
        <v>1</v>
      </c>
    </row>
    <row r="682" spans="1:20" ht="12.75">
      <c r="A682" s="44">
        <v>6323</v>
      </c>
      <c r="B682" s="886">
        <v>12646</v>
      </c>
      <c r="C682" s="886">
        <v>39980329</v>
      </c>
      <c r="D682" s="950" t="s">
        <v>2496</v>
      </c>
      <c r="E682" s="115">
        <f>B682-MOD(E$1-A682*3,B682)</f>
        <v>163</v>
      </c>
      <c r="F682" s="644">
        <f>IF(MOD(E682,5)=0,B682,0)+E682</f>
        <v>163</v>
      </c>
      <c r="G682" s="785">
        <f>IF(MOD(F682+$B682,5)=0,$B682,0)+$B682+F682</f>
        <v>12809</v>
      </c>
      <c r="H682" s="785">
        <f>IF(MOD(G682+$B682,5)=0,$B682,0)+$B682+G682</f>
        <v>38101</v>
      </c>
      <c r="I682" s="785">
        <f>IF(MOD(H682+$B682,5)=0,$B682,0)+$B682+H682</f>
        <v>50747</v>
      </c>
      <c r="J682" s="911">
        <v>16</v>
      </c>
      <c r="K682" s="785">
        <v>1280</v>
      </c>
      <c r="L682" s="785">
        <v>3810</v>
      </c>
      <c r="M682" s="785">
        <v>5074</v>
      </c>
      <c r="N682" s="23" t="str">
        <f>D682&amp;FIXED(MOD(F682,10),0)</f>
        <v>hh33</v>
      </c>
      <c r="O682" s="78" t="str">
        <f>MID(A$5,((FIND(N682,A$4,1)-1)+1),4)</f>
        <v>be7d</v>
      </c>
      <c r="P682" s="76" t="s">
        <v>0</v>
      </c>
      <c r="Q682" s="219" t="s">
        <v>0</v>
      </c>
      <c r="R682" s="103" t="s">
        <v>0</v>
      </c>
      <c r="S682" s="103" t="s">
        <v>0</v>
      </c>
      <c r="T682" s="42" t="s">
        <v>1</v>
      </c>
    </row>
    <row r="683" spans="1:20" ht="12.75">
      <c r="A683" s="44">
        <v>6329</v>
      </c>
      <c r="B683" s="886">
        <v>12658</v>
      </c>
      <c r="C683" s="886">
        <v>40056241</v>
      </c>
      <c r="D683" s="950" t="s">
        <v>2506</v>
      </c>
      <c r="E683" s="115">
        <f>B683-MOD(E$1-A683*3,B683)</f>
        <v>6835</v>
      </c>
      <c r="F683" s="644">
        <f>IF(MOD(E683,5)=0,B683,0)+E683</f>
        <v>19493</v>
      </c>
      <c r="G683" s="785">
        <f>IF(MOD(F683+$B683,5)=0,$B683,0)+$B683+F683</f>
        <v>32151</v>
      </c>
      <c r="H683" s="785">
        <f>IF(MOD(G683+$B683,5)=0,$B683,0)+$B683+G683</f>
        <v>44809</v>
      </c>
      <c r="I683" s="785">
        <f>IF(MOD(H683+$B683,5)=0,$B683,0)+$B683+H683</f>
        <v>57467</v>
      </c>
      <c r="J683" s="911">
        <v>1949</v>
      </c>
      <c r="K683" s="785">
        <v>3215</v>
      </c>
      <c r="L683" s="785">
        <v>4480</v>
      </c>
      <c r="M683" s="785">
        <v>5746</v>
      </c>
      <c r="N683" s="23" t="str">
        <f>D683&amp;FIXED(MOD(F683,10),0)</f>
        <v>hh93</v>
      </c>
      <c r="O683" s="78" t="str">
        <f>MID(A$5,((FIND(N683,A$4,1)-1)+1),4)</f>
        <v>b7ed</v>
      </c>
      <c r="P683" s="76" t="s">
        <v>0</v>
      </c>
      <c r="Q683" s="219" t="s">
        <v>0</v>
      </c>
      <c r="R683" s="103" t="s">
        <v>0</v>
      </c>
      <c r="S683" s="103" t="s">
        <v>0</v>
      </c>
      <c r="T683" s="42" t="s">
        <v>1</v>
      </c>
    </row>
    <row r="684" spans="1:20" ht="12.75">
      <c r="A684" s="44">
        <v>6337</v>
      </c>
      <c r="B684" s="886">
        <v>12674</v>
      </c>
      <c r="C684" s="886">
        <v>40157569</v>
      </c>
      <c r="D684" s="950" t="s">
        <v>2501</v>
      </c>
      <c r="E684" s="115">
        <f>B684-MOD(E$1-A684*3,B684)</f>
        <v>393</v>
      </c>
      <c r="F684" s="644">
        <f>IF(MOD(E684,5)=0,B684,0)+E684</f>
        <v>393</v>
      </c>
      <c r="G684" s="785">
        <f>IF(MOD(F684+$B684,5)=0,$B684,0)+$B684+F684</f>
        <v>13067</v>
      </c>
      <c r="H684" s="785">
        <f>IF(MOD(G684+$B684,5)=0,$B684,0)+$B684+G684</f>
        <v>25741</v>
      </c>
      <c r="I684" s="785">
        <f>IF(MOD(H684+$B684,5)=0,$B684,0)+$B684+H684</f>
        <v>51089</v>
      </c>
      <c r="J684" s="911">
        <v>39</v>
      </c>
      <c r="K684" s="785">
        <v>1306</v>
      </c>
      <c r="L684" s="785">
        <v>2574</v>
      </c>
      <c r="M684" s="785">
        <v>5108</v>
      </c>
      <c r="N684" s="23" t="str">
        <f>D684&amp;FIXED(MOD(F684,10),0)</f>
        <v>hh73</v>
      </c>
      <c r="O684" s="78" t="str">
        <f>MID(A$5,((FIND(N684,A$4,1)-1)+1),4)</f>
        <v>bd7e</v>
      </c>
      <c r="P684" s="76" t="s">
        <v>0</v>
      </c>
      <c r="Q684" s="219" t="s">
        <v>0</v>
      </c>
      <c r="R684" s="103" t="s">
        <v>0</v>
      </c>
      <c r="S684" s="103" t="s">
        <v>0</v>
      </c>
      <c r="T684" s="42" t="s">
        <v>1</v>
      </c>
    </row>
    <row r="685" spans="1:20" ht="12.75">
      <c r="A685" s="44">
        <v>6343</v>
      </c>
      <c r="B685" s="886">
        <v>12686</v>
      </c>
      <c r="C685" s="886">
        <v>40233649</v>
      </c>
      <c r="D685" s="950" t="s">
        <v>2496</v>
      </c>
      <c r="E685" s="115">
        <f>B685-MOD(E$1-A685*3,B685)</f>
        <v>7017</v>
      </c>
      <c r="F685" s="644">
        <f>IF(MOD(E685,5)=0,B685,0)+E685</f>
        <v>7017</v>
      </c>
      <c r="G685" s="785">
        <f>IF(MOD(F685+$B685,5)=0,$B685,0)+$B685+F685</f>
        <v>19703</v>
      </c>
      <c r="H685" s="785">
        <f>IF(MOD(G685+$B685,5)=0,$B685,0)+$B685+G685</f>
        <v>32389</v>
      </c>
      <c r="I685" s="785">
        <f>IF(MOD(H685+$B685,5)=0,$B685,0)+$B685+H685</f>
        <v>57761</v>
      </c>
      <c r="J685" s="911">
        <v>701</v>
      </c>
      <c r="K685" s="785">
        <v>1970</v>
      </c>
      <c r="L685" s="785">
        <v>3238</v>
      </c>
      <c r="M685" s="785">
        <v>5776</v>
      </c>
      <c r="N685" s="23" t="str">
        <f>D685&amp;FIXED(MOD(F685,10),0)</f>
        <v>hh37</v>
      </c>
      <c r="O685" s="78" t="str">
        <f>MID(A$5,((FIND(N685,A$4,1)-1)+1),4)</f>
        <v>dbe7</v>
      </c>
      <c r="P685" s="76" t="s">
        <v>0</v>
      </c>
      <c r="Q685" s="219" t="s">
        <v>0</v>
      </c>
      <c r="R685" s="103" t="s">
        <v>0</v>
      </c>
      <c r="S685" s="103" t="s">
        <v>0</v>
      </c>
      <c r="T685" s="42" t="s">
        <v>1</v>
      </c>
    </row>
    <row r="686" spans="1:20" ht="12.75">
      <c r="A686" s="44">
        <v>6353</v>
      </c>
      <c r="B686" s="886">
        <v>12706</v>
      </c>
      <c r="C686" s="886">
        <v>40360609</v>
      </c>
      <c r="D686" s="950" t="s">
        <v>2496</v>
      </c>
      <c r="E686" s="115">
        <f>B686-MOD(E$1-A686*3,B686)</f>
        <v>10879</v>
      </c>
      <c r="F686" s="644">
        <f>IF(MOD(E686,5)=0,B686,0)+E686</f>
        <v>10879</v>
      </c>
      <c r="G686" s="785">
        <f>IF(MOD(F686+$B686,5)=0,$B686,0)+$B686+F686</f>
        <v>36291</v>
      </c>
      <c r="H686" s="785">
        <f>IF(MOD(G686+$B686,5)=0,$B686,0)+$B686+G686</f>
        <v>48997</v>
      </c>
      <c r="I686" s="785">
        <f>IF(MOD(H686+$B686,5)=0,$B686,0)+$B686+H686</f>
        <v>61703</v>
      </c>
      <c r="J686" s="911">
        <v>1087</v>
      </c>
      <c r="K686" s="785">
        <v>3629</v>
      </c>
      <c r="L686" s="785">
        <v>4899</v>
      </c>
      <c r="M686" s="785">
        <v>6170</v>
      </c>
      <c r="N686" s="23" t="str">
        <f>D686&amp;FIXED(MOD(F686,10),0)</f>
        <v>hh39</v>
      </c>
      <c r="O686" s="78" t="str">
        <f>MID(A$5,((FIND(N686,A$4,1)-1)+1),4)</f>
        <v>e7db</v>
      </c>
      <c r="P686" s="76" t="s">
        <v>0</v>
      </c>
      <c r="Q686" s="219" t="s">
        <v>0</v>
      </c>
      <c r="R686" s="103" t="s">
        <v>0</v>
      </c>
      <c r="S686" s="103" t="s">
        <v>0</v>
      </c>
      <c r="T686" s="42" t="s">
        <v>1</v>
      </c>
    </row>
    <row r="687" spans="1:20" ht="12.75">
      <c r="A687" s="44">
        <v>6359</v>
      </c>
      <c r="B687" s="886">
        <v>12718</v>
      </c>
      <c r="C687" s="886">
        <v>40436881</v>
      </c>
      <c r="D687" s="950" t="s">
        <v>2506</v>
      </c>
      <c r="E687" s="115">
        <f>B687-MOD(E$1-A687*3,B687)</f>
        <v>8739</v>
      </c>
      <c r="F687" s="644">
        <f>IF(MOD(E687,5)=0,B687,0)+E687</f>
        <v>8739</v>
      </c>
      <c r="G687" s="785">
        <f>IF(MOD(F687+$B687,5)=0,$B687,0)+$B687+F687</f>
        <v>21457</v>
      </c>
      <c r="H687" s="785">
        <f>IF(MOD(G687+$B687,5)=0,$B687,0)+$B687+G687</f>
        <v>46893</v>
      </c>
      <c r="I687" s="785">
        <f>IF(MOD(H687+$B687,5)=0,$B687,0)+$B687+H687</f>
        <v>59611</v>
      </c>
      <c r="J687" s="911">
        <v>873</v>
      </c>
      <c r="K687" s="785">
        <v>2145</v>
      </c>
      <c r="L687" s="785">
        <v>4689</v>
      </c>
      <c r="M687" s="785">
        <v>5961</v>
      </c>
      <c r="N687" s="23" t="str">
        <f>D687&amp;FIXED(MOD(F687,10),0)</f>
        <v>hh99</v>
      </c>
      <c r="O687" s="78" t="str">
        <f>MID(A$5,((FIND(N687,A$4,1)-1)+1),4)</f>
        <v>edb7</v>
      </c>
      <c r="P687" s="76" t="s">
        <v>0</v>
      </c>
      <c r="Q687" s="219" t="s">
        <v>0</v>
      </c>
      <c r="R687" s="103" t="s">
        <v>0</v>
      </c>
      <c r="S687" s="103" t="s">
        <v>0</v>
      </c>
      <c r="T687" s="42" t="s">
        <v>1</v>
      </c>
    </row>
    <row r="688" spans="1:20" ht="12.75">
      <c r="A688" s="44">
        <v>6361</v>
      </c>
      <c r="B688" s="886">
        <v>12722</v>
      </c>
      <c r="C688" s="886">
        <v>40462321</v>
      </c>
      <c r="D688" s="950" t="s">
        <v>2490</v>
      </c>
      <c r="E688" s="115">
        <f>B688-MOD(E$1-A688*3,B688)</f>
        <v>4137</v>
      </c>
      <c r="F688" s="644">
        <f>IF(MOD(E688,5)=0,B688,0)+E688</f>
        <v>4137</v>
      </c>
      <c r="G688" s="785">
        <f>IF(MOD(F688+$B688,5)=0,$B688,0)+$B688+F688</f>
        <v>16859</v>
      </c>
      <c r="H688" s="785">
        <f>IF(MOD(G688+$B688,5)=0,$B688,0)+$B688+G688</f>
        <v>29581</v>
      </c>
      <c r="I688" s="785">
        <f>IF(MOD(H688+$B688,5)=0,$B688,0)+$B688+H688</f>
        <v>42303</v>
      </c>
      <c r="J688" s="911">
        <v>413</v>
      </c>
      <c r="K688" s="785">
        <v>1685</v>
      </c>
      <c r="L688" s="785">
        <v>2958</v>
      </c>
      <c r="M688" s="785">
        <v>4230</v>
      </c>
      <c r="N688" s="23" t="str">
        <f>D688&amp;FIXED(MOD(F688,10),0)</f>
        <v>hh17</v>
      </c>
      <c r="O688" s="78" t="str">
        <f>MID(A$5,((FIND(N688,A$4,1)-1)+1),4)</f>
        <v>de7b</v>
      </c>
      <c r="P688" s="76" t="s">
        <v>0</v>
      </c>
      <c r="Q688" s="219" t="s">
        <v>0</v>
      </c>
      <c r="R688" s="103" t="s">
        <v>0</v>
      </c>
      <c r="S688" s="103" t="s">
        <v>0</v>
      </c>
      <c r="T688" s="42" t="s">
        <v>1</v>
      </c>
    </row>
    <row r="689" spans="1:20" ht="12.75">
      <c r="A689" s="44">
        <v>6367</v>
      </c>
      <c r="B689" s="886">
        <v>12734</v>
      </c>
      <c r="C689" s="886">
        <v>40538689</v>
      </c>
      <c r="D689" s="950" t="s">
        <v>2501</v>
      </c>
      <c r="E689" s="115">
        <f>B689-MOD(E$1-A689*3,B689)</f>
        <v>5673</v>
      </c>
      <c r="F689" s="644">
        <f>IF(MOD(E689,5)=0,B689,0)+E689</f>
        <v>5673</v>
      </c>
      <c r="G689" s="785">
        <f>IF(MOD(F689+$B689,5)=0,$B689,0)+$B689+F689</f>
        <v>18407</v>
      </c>
      <c r="H689" s="785">
        <f>IF(MOD(G689+$B689,5)=0,$B689,0)+$B689+G689</f>
        <v>31141</v>
      </c>
      <c r="I689" s="785">
        <f>IF(MOD(H689+$B689,5)=0,$B689,0)+$B689+H689</f>
        <v>56609</v>
      </c>
      <c r="J689" s="911">
        <v>567</v>
      </c>
      <c r="K689" s="785">
        <v>1840</v>
      </c>
      <c r="L689" s="785">
        <v>3114</v>
      </c>
      <c r="M689" s="785">
        <v>5660</v>
      </c>
      <c r="N689" s="23" t="str">
        <f>D689&amp;FIXED(MOD(F689,10),0)</f>
        <v>hh73</v>
      </c>
      <c r="O689" s="78" t="str">
        <f>MID(A$5,((FIND(N689,A$4,1)-1)+1),4)</f>
        <v>bd7e</v>
      </c>
      <c r="P689" s="76" t="s">
        <v>0</v>
      </c>
      <c r="Q689" s="219" t="s">
        <v>0</v>
      </c>
      <c r="R689" s="103" t="s">
        <v>0</v>
      </c>
      <c r="S689" s="103" t="s">
        <v>0</v>
      </c>
      <c r="T689" s="42" t="s">
        <v>1</v>
      </c>
    </row>
    <row r="690" spans="1:20" ht="12.75">
      <c r="A690" s="44">
        <v>6373</v>
      </c>
      <c r="B690" s="886">
        <v>12746</v>
      </c>
      <c r="C690" s="886">
        <v>40615129</v>
      </c>
      <c r="D690" s="950" t="s">
        <v>2496</v>
      </c>
      <c r="E690" s="115">
        <f>B690-MOD(E$1-A690*3,B690)</f>
        <v>751</v>
      </c>
      <c r="F690" s="644">
        <f>IF(MOD(E690,5)=0,B690,0)+E690</f>
        <v>751</v>
      </c>
      <c r="G690" s="785">
        <f>IF(MOD(F690+$B690,5)=0,$B690,0)+$B690+F690</f>
        <v>13497</v>
      </c>
      <c r="H690" s="785">
        <f>IF(MOD(G690+$B690,5)=0,$B690,0)+$B690+G690</f>
        <v>26243</v>
      </c>
      <c r="I690" s="785">
        <f>IF(MOD(H690+$B690,5)=0,$B690,0)+$B690+H690</f>
        <v>38989</v>
      </c>
      <c r="J690" s="911">
        <v>75</v>
      </c>
      <c r="K690" s="785">
        <v>1349</v>
      </c>
      <c r="L690" s="785">
        <v>2624</v>
      </c>
      <c r="M690" s="785">
        <v>3898</v>
      </c>
      <c r="N690" s="23" t="str">
        <f>D690&amp;FIXED(MOD(F690,10),0)</f>
        <v>hh31</v>
      </c>
      <c r="O690" s="78" t="str">
        <f>MID(A$5,((FIND(N690,A$4,1)-1)+1),4)</f>
        <v>7dbe</v>
      </c>
      <c r="P690" s="76" t="s">
        <v>0</v>
      </c>
      <c r="Q690" s="219" t="s">
        <v>0</v>
      </c>
      <c r="R690" s="103" t="s">
        <v>0</v>
      </c>
      <c r="S690" s="103" t="s">
        <v>0</v>
      </c>
      <c r="T690" s="42" t="s">
        <v>1</v>
      </c>
    </row>
    <row r="691" spans="1:20" ht="12.75">
      <c r="A691" s="44">
        <v>6379</v>
      </c>
      <c r="B691" s="886">
        <v>12758</v>
      </c>
      <c r="C691" s="886">
        <v>40691641</v>
      </c>
      <c r="D691" s="950" t="s">
        <v>2506</v>
      </c>
      <c r="E691" s="115">
        <f>B691-MOD(E$1-A691*3,B691)</f>
        <v>5117</v>
      </c>
      <c r="F691" s="644">
        <f>IF(MOD(E691,5)=0,B691,0)+E691</f>
        <v>5117</v>
      </c>
      <c r="G691" s="785">
        <f>IF(MOD(F691+$B691,5)=0,$B691,0)+$B691+F691</f>
        <v>30633</v>
      </c>
      <c r="H691" s="785">
        <f>IF(MOD(G691+$B691,5)=0,$B691,0)+$B691+G691</f>
        <v>43391</v>
      </c>
      <c r="I691" s="785">
        <f>IF(MOD(H691+$B691,5)=0,$B691,0)+$B691+H691</f>
        <v>56149</v>
      </c>
      <c r="J691" s="911">
        <v>511</v>
      </c>
      <c r="K691" s="785">
        <v>3063</v>
      </c>
      <c r="L691" s="785">
        <v>4339</v>
      </c>
      <c r="M691" s="785">
        <v>5614</v>
      </c>
      <c r="N691" s="23" t="str">
        <f>D691&amp;FIXED(MOD(F691,10),0)</f>
        <v>hh97</v>
      </c>
      <c r="O691" s="78" t="str">
        <f>MID(A$5,((FIND(N691,A$4,1)-1)+1),4)</f>
        <v>db7e</v>
      </c>
      <c r="P691" s="76" t="s">
        <v>0</v>
      </c>
      <c r="Q691" s="219" t="s">
        <v>0</v>
      </c>
      <c r="R691" s="103" t="s">
        <v>0</v>
      </c>
      <c r="S691" s="103" t="s">
        <v>0</v>
      </c>
      <c r="T691" s="42" t="s">
        <v>1</v>
      </c>
    </row>
    <row r="692" spans="1:20" ht="12.75">
      <c r="A692" s="44">
        <v>6389</v>
      </c>
      <c r="B692" s="886">
        <v>12778</v>
      </c>
      <c r="C692" s="886">
        <v>40819321</v>
      </c>
      <c r="D692" s="950" t="s">
        <v>2506</v>
      </c>
      <c r="E692" s="115">
        <f>B692-MOD(E$1-A692*3,B692)</f>
        <v>2913</v>
      </c>
      <c r="F692" s="644">
        <f>IF(MOD(E692,5)=0,B692,0)+E692</f>
        <v>2913</v>
      </c>
      <c r="G692" s="785">
        <f>IF(MOD(F692+$B692,5)=0,$B692,0)+$B692+F692</f>
        <v>15691</v>
      </c>
      <c r="H692" s="785">
        <f>IF(MOD(G692+$B692,5)=0,$B692,0)+$B692+G692</f>
        <v>28469</v>
      </c>
      <c r="I692" s="785">
        <f>IF(MOD(H692+$B692,5)=0,$B692,0)+$B692+H692</f>
        <v>41247</v>
      </c>
      <c r="J692" s="911">
        <v>291</v>
      </c>
      <c r="K692" s="785">
        <v>1569</v>
      </c>
      <c r="L692" s="785">
        <v>2846</v>
      </c>
      <c r="M692" s="785">
        <v>4124</v>
      </c>
      <c r="N692" s="23" t="str">
        <f>D692&amp;FIXED(MOD(F692,10),0)</f>
        <v>hh93</v>
      </c>
      <c r="O692" s="78" t="str">
        <f>MID(A$5,((FIND(N692,A$4,1)-1)+1),4)</f>
        <v>b7ed</v>
      </c>
      <c r="P692" s="76" t="s">
        <v>0</v>
      </c>
      <c r="Q692" s="219" t="s">
        <v>0</v>
      </c>
      <c r="R692" s="103" t="s">
        <v>0</v>
      </c>
      <c r="S692" s="103" t="s">
        <v>0</v>
      </c>
      <c r="T692" s="42" t="s">
        <v>1</v>
      </c>
    </row>
    <row r="693" spans="1:20" ht="12.75">
      <c r="A693" s="44">
        <v>6397</v>
      </c>
      <c r="B693" s="886">
        <v>12794</v>
      </c>
      <c r="C693" s="886">
        <v>40921609</v>
      </c>
      <c r="D693" s="950" t="s">
        <v>2501</v>
      </c>
      <c r="E693" s="115">
        <f>B693-MOD(E$1-A693*3,B693)</f>
        <v>1831</v>
      </c>
      <c r="F693" s="644">
        <f>IF(MOD(E693,5)=0,B693,0)+E693</f>
        <v>1831</v>
      </c>
      <c r="G693" s="785">
        <f>IF(MOD(F693+$B693,5)=0,$B693,0)+$B693+F693</f>
        <v>27419</v>
      </c>
      <c r="H693" s="785">
        <f>IF(MOD(G693+$B693,5)=0,$B693,0)+$B693+G693</f>
        <v>40213</v>
      </c>
      <c r="I693" s="785">
        <f>IF(MOD(H693+$B693,5)=0,$B693,0)+$B693+H693</f>
        <v>53007</v>
      </c>
      <c r="J693" s="911">
        <v>183</v>
      </c>
      <c r="K693" s="785">
        <v>2741</v>
      </c>
      <c r="L693" s="785">
        <v>4021</v>
      </c>
      <c r="M693" s="785">
        <v>5300</v>
      </c>
      <c r="N693" s="23" t="str">
        <f>D693&amp;FIXED(MOD(F693,10),0)</f>
        <v>hh71</v>
      </c>
      <c r="O693" s="78" t="str">
        <f>MID(A$5,((FIND(N693,A$4,1)-1)+1),4)</f>
        <v>7ebd</v>
      </c>
      <c r="P693" s="76" t="s">
        <v>0</v>
      </c>
      <c r="Q693" s="219" t="s">
        <v>0</v>
      </c>
      <c r="R693" s="103" t="s">
        <v>0</v>
      </c>
      <c r="S693" s="103" t="s">
        <v>0</v>
      </c>
      <c r="T693" s="42" t="s">
        <v>1</v>
      </c>
    </row>
    <row r="694" spans="1:20" ht="12.75">
      <c r="A694" s="44">
        <v>6421</v>
      </c>
      <c r="B694" s="886">
        <v>12842</v>
      </c>
      <c r="C694" s="886">
        <v>41229241</v>
      </c>
      <c r="D694" s="950" t="s">
        <v>2490</v>
      </c>
      <c r="E694" s="115">
        <f>B694-MOD(E$1-A694*3,B694)</f>
        <v>10395</v>
      </c>
      <c r="F694" s="644">
        <f>IF(MOD(E694,5)=0,B694,0)+E694</f>
        <v>23237</v>
      </c>
      <c r="G694" s="785">
        <f>IF(MOD(F694+$B694,5)=0,$B694,0)+$B694+F694</f>
        <v>36079</v>
      </c>
      <c r="H694" s="785">
        <f>IF(MOD(G694+$B694,5)=0,$B694,0)+$B694+G694</f>
        <v>48921</v>
      </c>
      <c r="I694" s="785">
        <f>IF(MOD(H694+$B694,5)=0,$B694,0)+$B694+H694</f>
        <v>61763</v>
      </c>
      <c r="J694" s="911">
        <v>2323</v>
      </c>
      <c r="K694" s="785">
        <v>3607</v>
      </c>
      <c r="L694" s="785">
        <v>4892</v>
      </c>
      <c r="M694" s="785">
        <v>6176</v>
      </c>
      <c r="N694" s="23" t="str">
        <f>D694&amp;FIXED(MOD(F694,10),0)</f>
        <v>hh17</v>
      </c>
      <c r="O694" s="78" t="str">
        <f>MID(A$5,((FIND(N694,A$4,1)-1)+1),4)</f>
        <v>de7b</v>
      </c>
      <c r="P694" s="76" t="s">
        <v>0</v>
      </c>
      <c r="Q694" s="219" t="s">
        <v>0</v>
      </c>
      <c r="R694" s="103" t="s">
        <v>0</v>
      </c>
      <c r="S694" s="103" t="s">
        <v>0</v>
      </c>
      <c r="T694" s="42" t="s">
        <v>1</v>
      </c>
    </row>
    <row r="695" spans="1:20" ht="12.75">
      <c r="A695" s="44">
        <v>6427</v>
      </c>
      <c r="B695" s="886">
        <v>12854</v>
      </c>
      <c r="C695" s="886">
        <v>41306329</v>
      </c>
      <c r="D695" s="950" t="s">
        <v>2501</v>
      </c>
      <c r="E695" s="115">
        <f>B695-MOD(E$1-A695*3,B695)</f>
        <v>4615</v>
      </c>
      <c r="F695" s="644">
        <f>IF(MOD(E695,5)=0,B695,0)+E695</f>
        <v>17469</v>
      </c>
      <c r="G695" s="785">
        <f>IF(MOD(F695+$B695,5)=0,$B695,0)+$B695+F695</f>
        <v>30323</v>
      </c>
      <c r="H695" s="785">
        <f>IF(MOD(G695+$B695,5)=0,$B695,0)+$B695+G695</f>
        <v>43177</v>
      </c>
      <c r="I695" s="785">
        <f>IF(MOD(H695+$B695,5)=0,$B695,0)+$B695+H695</f>
        <v>56031</v>
      </c>
      <c r="J695" s="911">
        <v>1746</v>
      </c>
      <c r="K695" s="785">
        <v>3032</v>
      </c>
      <c r="L695" s="785">
        <v>4317</v>
      </c>
      <c r="M695" s="785">
        <v>5603</v>
      </c>
      <c r="N695" s="23" t="str">
        <f>D695&amp;FIXED(MOD(F695,10),0)</f>
        <v>hh79</v>
      </c>
      <c r="O695" s="78" t="str">
        <f>MID(A$5,((FIND(N695,A$4,1)-1)+1),4)</f>
        <v>ebd7</v>
      </c>
      <c r="P695" s="76" t="s">
        <v>0</v>
      </c>
      <c r="Q695" s="219" t="s">
        <v>0</v>
      </c>
      <c r="R695" s="103" t="s">
        <v>0</v>
      </c>
      <c r="S695" s="103" t="s">
        <v>0</v>
      </c>
      <c r="T695" s="42" t="s">
        <v>1</v>
      </c>
    </row>
    <row r="696" spans="1:20" ht="12.75">
      <c r="A696" s="44">
        <v>6449</v>
      </c>
      <c r="B696" s="886">
        <v>12898</v>
      </c>
      <c r="C696" s="886">
        <v>41589601</v>
      </c>
      <c r="D696" s="950" t="s">
        <v>2506</v>
      </c>
      <c r="E696" s="115">
        <f>B696-MOD(E$1-A696*3,B696)</f>
        <v>6099</v>
      </c>
      <c r="F696" s="644">
        <f>IF(MOD(E696,5)=0,B696,0)+E696</f>
        <v>6099</v>
      </c>
      <c r="G696" s="785">
        <f>IF(MOD(F696+$B696,5)=0,$B696,0)+$B696+F696</f>
        <v>18997</v>
      </c>
      <c r="H696" s="785">
        <f>IF(MOD(G696+$B696,5)=0,$B696,0)+$B696+G696</f>
        <v>44793</v>
      </c>
      <c r="I696" s="785">
        <f>IF(MOD(H696+$B696,5)=0,$B696,0)+$B696+H696</f>
        <v>57691</v>
      </c>
      <c r="J696" s="911">
        <v>609</v>
      </c>
      <c r="K696" s="785">
        <v>1899</v>
      </c>
      <c r="L696" s="785">
        <v>4479</v>
      </c>
      <c r="M696" s="785">
        <v>5769</v>
      </c>
      <c r="N696" s="23" t="str">
        <f>D696&amp;FIXED(MOD(F696,10),0)</f>
        <v>hh99</v>
      </c>
      <c r="O696" s="78" t="str">
        <f>MID(A$5,((FIND(N696,A$4,1)-1)+1),4)</f>
        <v>edb7</v>
      </c>
      <c r="P696" s="76" t="s">
        <v>0</v>
      </c>
      <c r="Q696" s="219" t="s">
        <v>0</v>
      </c>
      <c r="R696" s="103" t="s">
        <v>0</v>
      </c>
      <c r="S696" s="103" t="s">
        <v>0</v>
      </c>
      <c r="T696" s="42" t="s">
        <v>1</v>
      </c>
    </row>
    <row r="697" spans="1:20" ht="12.75">
      <c r="A697" s="44">
        <v>6451</v>
      </c>
      <c r="B697" s="886">
        <v>12902</v>
      </c>
      <c r="C697" s="886">
        <v>41615401</v>
      </c>
      <c r="D697" s="950" t="s">
        <v>2490</v>
      </c>
      <c r="E697" s="115">
        <f>B697-MOD(E$1-A697*3,B697)</f>
        <v>11919</v>
      </c>
      <c r="F697" s="644">
        <f>IF(MOD(E697,5)=0,B697,0)+E697</f>
        <v>11919</v>
      </c>
      <c r="G697" s="785">
        <f>IF(MOD(F697+$B697,5)=0,$B697,0)+$B697+F697</f>
        <v>24821</v>
      </c>
      <c r="H697" s="785">
        <f>IF(MOD(G697+$B697,5)=0,$B697,0)+$B697+G697</f>
        <v>37723</v>
      </c>
      <c r="I697" s="785">
        <f>IF(MOD(H697+$B697,5)=0,$B697,0)+$B697+H697</f>
        <v>63527</v>
      </c>
      <c r="J697" s="911">
        <v>1191</v>
      </c>
      <c r="K697" s="785">
        <v>2482</v>
      </c>
      <c r="L697" s="785">
        <v>3772</v>
      </c>
      <c r="M697" s="785">
        <v>6352</v>
      </c>
      <c r="N697" s="23" t="str">
        <f>D697&amp;FIXED(MOD(F697,10),0)</f>
        <v>hh19</v>
      </c>
      <c r="O697" s="78" t="str">
        <f>MID(A$5,((FIND(N697,A$4,1)-1)+1),4)</f>
        <v>e7bd</v>
      </c>
      <c r="P697" s="76" t="s">
        <v>0</v>
      </c>
      <c r="Q697" s="219" t="s">
        <v>0</v>
      </c>
      <c r="R697" s="103" t="s">
        <v>0</v>
      </c>
      <c r="S697" s="103" t="s">
        <v>0</v>
      </c>
      <c r="T697" s="42" t="s">
        <v>1</v>
      </c>
    </row>
    <row r="698" spans="1:20" ht="12.75">
      <c r="A698" s="44">
        <v>6469</v>
      </c>
      <c r="B698" s="886">
        <v>12938</v>
      </c>
      <c r="C698" s="886">
        <v>41847961</v>
      </c>
      <c r="D698" s="950" t="s">
        <v>2506</v>
      </c>
      <c r="E698" s="115">
        <f>B698-MOD(E$1-A698*3,B698)</f>
        <v>6987</v>
      </c>
      <c r="F698" s="644">
        <f>IF(MOD(E698,5)=0,B698,0)+E698</f>
        <v>6987</v>
      </c>
      <c r="G698" s="785">
        <f>IF(MOD(F698+$B698,5)=0,$B698,0)+$B698+F698</f>
        <v>32863</v>
      </c>
      <c r="H698" s="785">
        <f>IF(MOD(G698+$B698,5)=0,$B698,0)+$B698+G698</f>
        <v>45801</v>
      </c>
      <c r="I698" s="785">
        <f>IF(MOD(H698+$B698,5)=0,$B698,0)+$B698+H698</f>
        <v>58739</v>
      </c>
      <c r="J698" s="911">
        <v>698</v>
      </c>
      <c r="K698" s="785">
        <v>3286</v>
      </c>
      <c r="L698" s="785">
        <v>4580</v>
      </c>
      <c r="M698" s="785">
        <v>5873</v>
      </c>
      <c r="N698" s="23" t="str">
        <f>D698&amp;FIXED(MOD(F698,10),0)</f>
        <v>hh97</v>
      </c>
      <c r="O698" s="78" t="str">
        <f>MID(A$5,((FIND(N698,A$4,1)-1)+1),4)</f>
        <v>db7e</v>
      </c>
      <c r="P698" s="76" t="s">
        <v>0</v>
      </c>
      <c r="Q698" s="219" t="s">
        <v>0</v>
      </c>
      <c r="R698" s="103" t="s">
        <v>0</v>
      </c>
      <c r="S698" s="103" t="s">
        <v>0</v>
      </c>
      <c r="T698" s="42" t="s">
        <v>1</v>
      </c>
    </row>
    <row r="699" spans="1:20" ht="12.75">
      <c r="A699" s="44">
        <v>6473</v>
      </c>
      <c r="B699" s="886">
        <v>12946</v>
      </c>
      <c r="C699" s="886">
        <v>41899729</v>
      </c>
      <c r="D699" s="950" t="s">
        <v>2496</v>
      </c>
      <c r="E699" s="115">
        <f>B699-MOD(E$1-A699*3,B699)</f>
        <v>12063</v>
      </c>
      <c r="F699" s="644">
        <f>IF(MOD(E699,5)=0,B699,0)+E699</f>
        <v>12063</v>
      </c>
      <c r="G699" s="785">
        <f>IF(MOD(F699+$B699,5)=0,$B699,0)+$B699+F699</f>
        <v>25009</v>
      </c>
      <c r="H699" s="785">
        <f>IF(MOD(G699+$B699,5)=0,$B699,0)+$B699+G699</f>
        <v>50901</v>
      </c>
      <c r="I699" s="785">
        <f>IF(MOD(H699+$B699,5)=0,$B699,0)+$B699+H699</f>
        <v>63847</v>
      </c>
      <c r="J699" s="911">
        <v>1206</v>
      </c>
      <c r="K699" s="785">
        <v>2500</v>
      </c>
      <c r="L699" s="785">
        <v>5090</v>
      </c>
      <c r="M699" s="785">
        <v>6384</v>
      </c>
      <c r="N699" s="23" t="str">
        <f>D699&amp;FIXED(MOD(F699,10),0)</f>
        <v>hh33</v>
      </c>
      <c r="O699" s="78" t="str">
        <f>MID(A$5,((FIND(N699,A$4,1)-1)+1),4)</f>
        <v>be7d</v>
      </c>
      <c r="P699" s="76" t="s">
        <v>0</v>
      </c>
      <c r="Q699" s="219" t="s">
        <v>0</v>
      </c>
      <c r="R699" s="103" t="s">
        <v>0</v>
      </c>
      <c r="S699" s="103" t="s">
        <v>0</v>
      </c>
      <c r="T699" s="42" t="s">
        <v>1</v>
      </c>
    </row>
    <row r="700" spans="1:20" ht="12.75">
      <c r="A700" s="44">
        <v>6481</v>
      </c>
      <c r="B700" s="886">
        <v>12962</v>
      </c>
      <c r="C700" s="886">
        <v>42003361</v>
      </c>
      <c r="D700" s="950" t="s">
        <v>2490</v>
      </c>
      <c r="E700" s="115">
        <f>B700-MOD(E$1-A700*3,B700)</f>
        <v>10617</v>
      </c>
      <c r="F700" s="644">
        <f>IF(MOD(E700,5)=0,B700,0)+E700</f>
        <v>10617</v>
      </c>
      <c r="G700" s="785">
        <f>IF(MOD(F700+$B700,5)=0,$B700,0)+$B700+F700</f>
        <v>23579</v>
      </c>
      <c r="H700" s="785">
        <f>IF(MOD(G700+$B700,5)=0,$B700,0)+$B700+G700</f>
        <v>36541</v>
      </c>
      <c r="I700" s="785">
        <f>IF(MOD(H700+$B700,5)=0,$B700,0)+$B700+H700</f>
        <v>49503</v>
      </c>
      <c r="J700" s="911">
        <v>1061</v>
      </c>
      <c r="K700" s="785">
        <v>2357</v>
      </c>
      <c r="L700" s="785">
        <v>3654</v>
      </c>
      <c r="M700" s="785">
        <v>4950</v>
      </c>
      <c r="N700" s="23" t="str">
        <f>D700&amp;FIXED(MOD(F700,10),0)</f>
        <v>hh17</v>
      </c>
      <c r="O700" s="78" t="str">
        <f>MID(A$5,((FIND(N700,A$4,1)-1)+1),4)</f>
        <v>de7b</v>
      </c>
      <c r="P700" s="76" t="s">
        <v>0</v>
      </c>
      <c r="Q700" s="219" t="s">
        <v>0</v>
      </c>
      <c r="R700" s="103" t="s">
        <v>0</v>
      </c>
      <c r="S700" s="103" t="s">
        <v>0</v>
      </c>
      <c r="T700" s="42" t="s">
        <v>1</v>
      </c>
    </row>
    <row r="701" spans="1:20" ht="12.75">
      <c r="A701" s="44">
        <v>6491</v>
      </c>
      <c r="B701" s="886">
        <v>12982</v>
      </c>
      <c r="C701" s="886">
        <v>42133081</v>
      </c>
      <c r="D701" s="950" t="s">
        <v>2490</v>
      </c>
      <c r="E701" s="115">
        <f>B701-MOD(E$1-A701*3,B701)</f>
        <v>7085</v>
      </c>
      <c r="F701" s="644">
        <f>IF(MOD(E701,5)=0,B701,0)+E701</f>
        <v>20067</v>
      </c>
      <c r="G701" s="785">
        <f>IF(MOD(F701+$B701,5)=0,$B701,0)+$B701+F701</f>
        <v>33049</v>
      </c>
      <c r="H701" s="785">
        <f>IF(MOD(G701+$B701,5)=0,$B701,0)+$B701+G701</f>
        <v>46031</v>
      </c>
      <c r="I701" s="785">
        <f>IF(MOD(H701+$B701,5)=0,$B701,0)+$B701+H701</f>
        <v>59013</v>
      </c>
      <c r="J701" s="911">
        <v>2006</v>
      </c>
      <c r="K701" s="785">
        <v>3304</v>
      </c>
      <c r="L701" s="785">
        <v>4603</v>
      </c>
      <c r="M701" s="785">
        <v>5901</v>
      </c>
      <c r="N701" s="23" t="str">
        <f>D701&amp;FIXED(MOD(F701,10),0)</f>
        <v>hh17</v>
      </c>
      <c r="O701" s="78" t="str">
        <f>MID(A$5,((FIND(N701,A$4,1)-1)+1),4)</f>
        <v>de7b</v>
      </c>
      <c r="P701" s="76" t="s">
        <v>0</v>
      </c>
      <c r="Q701" s="219" t="s">
        <v>0</v>
      </c>
      <c r="R701" s="103" t="s">
        <v>0</v>
      </c>
      <c r="S701" s="103" t="s">
        <v>0</v>
      </c>
      <c r="T701" s="42" t="s">
        <v>1</v>
      </c>
    </row>
    <row r="702" spans="1:20" ht="12.75">
      <c r="A702" s="44">
        <v>6521</v>
      </c>
      <c r="B702" s="886">
        <v>13042</v>
      </c>
      <c r="C702" s="886">
        <v>42523441</v>
      </c>
      <c r="D702" s="950" t="s">
        <v>2490</v>
      </c>
      <c r="E702" s="115">
        <f>B702-MOD(E$1-A702*3,B702)</f>
        <v>2869</v>
      </c>
      <c r="F702" s="644">
        <f>IF(MOD(E702,5)=0,B702,0)+E702</f>
        <v>2869</v>
      </c>
      <c r="G702" s="785">
        <f>IF(MOD(F702+$B702,5)=0,$B702,0)+$B702+F702</f>
        <v>15911</v>
      </c>
      <c r="H702" s="785">
        <f>IF(MOD(G702+$B702,5)=0,$B702,0)+$B702+G702</f>
        <v>28953</v>
      </c>
      <c r="I702" s="785">
        <f>IF(MOD(H702+$B702,5)=0,$B702,0)+$B702+H702</f>
        <v>55037</v>
      </c>
      <c r="J702" s="911">
        <v>286</v>
      </c>
      <c r="K702" s="785">
        <v>1591</v>
      </c>
      <c r="L702" s="785">
        <v>2895</v>
      </c>
      <c r="M702" s="785">
        <v>5503</v>
      </c>
      <c r="N702" s="23" t="str">
        <f>D702&amp;FIXED(MOD(F702,10),0)</f>
        <v>hh19</v>
      </c>
      <c r="O702" s="78" t="str">
        <f>MID(A$5,((FIND(N702,A$4,1)-1)+1),4)</f>
        <v>e7bd</v>
      </c>
      <c r="P702" s="76" t="s">
        <v>0</v>
      </c>
      <c r="Q702" s="219" t="s">
        <v>0</v>
      </c>
      <c r="R702" s="103" t="s">
        <v>0</v>
      </c>
      <c r="S702" s="103" t="s">
        <v>0</v>
      </c>
      <c r="T702" s="42" t="s">
        <v>1</v>
      </c>
    </row>
    <row r="703" spans="1:20" ht="12.75">
      <c r="A703" s="44">
        <v>6529</v>
      </c>
      <c r="B703" s="886">
        <v>13058</v>
      </c>
      <c r="C703" s="886">
        <v>42627841</v>
      </c>
      <c r="D703" s="950" t="s">
        <v>2506</v>
      </c>
      <c r="E703" s="115">
        <f>B703-MOD(E$1-A703*3,B703)</f>
        <v>3881</v>
      </c>
      <c r="F703" s="644">
        <f>IF(MOD(E703,5)=0,B703,0)+E703</f>
        <v>3881</v>
      </c>
      <c r="G703" s="785">
        <f>IF(MOD(F703+$B703,5)=0,$B703,0)+$B703+F703</f>
        <v>16939</v>
      </c>
      <c r="H703" s="785">
        <f>IF(MOD(G703+$B703,5)=0,$B703,0)+$B703+G703</f>
        <v>29997</v>
      </c>
      <c r="I703" s="785">
        <f>IF(MOD(H703+$B703,5)=0,$B703,0)+$B703+H703</f>
        <v>56113</v>
      </c>
      <c r="J703" s="911">
        <v>388</v>
      </c>
      <c r="K703" s="785">
        <v>1693</v>
      </c>
      <c r="L703" s="785">
        <v>2999</v>
      </c>
      <c r="M703" s="785">
        <v>5611</v>
      </c>
      <c r="N703" s="23" t="str">
        <f>D703&amp;FIXED(MOD(F703,10),0)</f>
        <v>hh91</v>
      </c>
      <c r="O703" s="78" t="str">
        <f>MID(A$5,((FIND(N703,A$4,1)-1)+1),4)</f>
        <v>7edb</v>
      </c>
      <c r="P703" s="76" t="s">
        <v>0</v>
      </c>
      <c r="Q703" s="219" t="s">
        <v>0</v>
      </c>
      <c r="R703" s="103" t="s">
        <v>0</v>
      </c>
      <c r="S703" s="103" t="s">
        <v>0</v>
      </c>
      <c r="T703" s="42" t="s">
        <v>1</v>
      </c>
    </row>
    <row r="704" spans="1:20" ht="12.75">
      <c r="A704" s="44">
        <v>6547</v>
      </c>
      <c r="B704" s="886">
        <v>13094</v>
      </c>
      <c r="C704" s="886">
        <v>42863209</v>
      </c>
      <c r="D704" s="950" t="s">
        <v>2501</v>
      </c>
      <c r="E704" s="115">
        <f>B704-MOD(E$1-A704*3,B704)</f>
        <v>4643</v>
      </c>
      <c r="F704" s="644">
        <f>IF(MOD(E704,5)=0,B704,0)+E704</f>
        <v>4643</v>
      </c>
      <c r="G704" s="785">
        <f>IF(MOD(F704+$B704,5)=0,$B704,0)+$B704+F704</f>
        <v>17737</v>
      </c>
      <c r="H704" s="785">
        <f>IF(MOD(G704+$B704,5)=0,$B704,0)+$B704+G704</f>
        <v>30831</v>
      </c>
      <c r="I704" s="785">
        <f>IF(MOD(H704+$B704,5)=0,$B704,0)+$B704+H704</f>
        <v>57019</v>
      </c>
      <c r="J704" s="911">
        <v>464</v>
      </c>
      <c r="K704" s="785">
        <v>1773</v>
      </c>
      <c r="L704" s="785">
        <v>3083</v>
      </c>
      <c r="M704" s="785">
        <v>5701</v>
      </c>
      <c r="N704" s="23" t="str">
        <f>D704&amp;FIXED(MOD(F704,10),0)</f>
        <v>hh73</v>
      </c>
      <c r="O704" s="78" t="str">
        <f>MID(A$5,((FIND(N704,A$4,1)-1)+1),4)</f>
        <v>bd7e</v>
      </c>
      <c r="P704" s="76" t="s">
        <v>0</v>
      </c>
      <c r="Q704" s="219" t="s">
        <v>0</v>
      </c>
      <c r="R704" s="103" t="s">
        <v>0</v>
      </c>
      <c r="S704" s="103" t="s">
        <v>0</v>
      </c>
      <c r="T704" s="42" t="s">
        <v>1</v>
      </c>
    </row>
    <row r="705" spans="1:20" ht="12.75">
      <c r="A705" s="44">
        <v>6551</v>
      </c>
      <c r="B705" s="886">
        <v>13102</v>
      </c>
      <c r="C705" s="886">
        <v>42915601</v>
      </c>
      <c r="D705" s="950" t="s">
        <v>2490</v>
      </c>
      <c r="E705" s="115">
        <f>B705-MOD(E$1-A705*3,B705)</f>
        <v>8181</v>
      </c>
      <c r="F705" s="644">
        <f>IF(MOD(E705,5)=0,B705,0)+E705</f>
        <v>8181</v>
      </c>
      <c r="G705" s="785">
        <f>IF(MOD(F705+$B705,5)=0,$B705,0)+$B705+F705</f>
        <v>21283</v>
      </c>
      <c r="H705" s="785">
        <f>IF(MOD(G705+$B705,5)=0,$B705,0)+$B705+G705</f>
        <v>47487</v>
      </c>
      <c r="I705" s="785">
        <f>IF(MOD(H705+$B705,5)=0,$B705,0)+$B705+H705</f>
        <v>60589</v>
      </c>
      <c r="J705" s="911">
        <v>818</v>
      </c>
      <c r="K705" s="785">
        <v>2128</v>
      </c>
      <c r="L705" s="785">
        <v>4748</v>
      </c>
      <c r="M705" s="785">
        <v>6058</v>
      </c>
      <c r="N705" s="23" t="str">
        <f>D705&amp;FIXED(MOD(F705,10),0)</f>
        <v>hh11</v>
      </c>
      <c r="O705" s="78" t="str">
        <f>MID(A$5,((FIND(N705,A$4,1)-1)+1),4)</f>
        <v>7bde</v>
      </c>
      <c r="P705" s="76" t="s">
        <v>0</v>
      </c>
      <c r="Q705" s="219" t="s">
        <v>0</v>
      </c>
      <c r="R705" s="103" t="s">
        <v>0</v>
      </c>
      <c r="S705" s="103" t="s">
        <v>0</v>
      </c>
      <c r="T705" s="42" t="s">
        <v>1</v>
      </c>
    </row>
    <row r="706" spans="1:20" ht="12.75">
      <c r="A706" s="44">
        <v>6553</v>
      </c>
      <c r="B706" s="886">
        <v>13106</v>
      </c>
      <c r="C706" s="886">
        <v>42941809</v>
      </c>
      <c r="D706" s="950" t="s">
        <v>2496</v>
      </c>
      <c r="E706" s="115">
        <f>B706-MOD(E$1-A706*3,B706)</f>
        <v>6261</v>
      </c>
      <c r="F706" s="644">
        <f>IF(MOD(E706,5)=0,B706,0)+E706</f>
        <v>6261</v>
      </c>
      <c r="G706" s="785">
        <f>IF(MOD(F706+$B706,5)=0,$B706,0)+$B706+F706</f>
        <v>19367</v>
      </c>
      <c r="H706" s="785">
        <f>IF(MOD(G706+$B706,5)=0,$B706,0)+$B706+G706</f>
        <v>32473</v>
      </c>
      <c r="I706" s="785">
        <f>IF(MOD(H706+$B706,5)=0,$B706,0)+$B706+H706</f>
        <v>45579</v>
      </c>
      <c r="J706" s="911">
        <v>626</v>
      </c>
      <c r="K706" s="785">
        <v>1936</v>
      </c>
      <c r="L706" s="785">
        <v>3247</v>
      </c>
      <c r="M706" s="785">
        <v>4557</v>
      </c>
      <c r="N706" s="23" t="str">
        <f>D706&amp;FIXED(MOD(F706,10),0)</f>
        <v>hh31</v>
      </c>
      <c r="O706" s="78" t="str">
        <f>MID(A$5,((FIND(N706,A$4,1)-1)+1),4)</f>
        <v>7dbe</v>
      </c>
      <c r="P706" s="76" t="s">
        <v>0</v>
      </c>
      <c r="Q706" s="219" t="s">
        <v>0</v>
      </c>
      <c r="R706" s="103" t="s">
        <v>0</v>
      </c>
      <c r="S706" s="103" t="s">
        <v>0</v>
      </c>
      <c r="T706" s="42" t="s">
        <v>1</v>
      </c>
    </row>
    <row r="707" spans="1:20" ht="12.75">
      <c r="A707" s="44">
        <v>6563</v>
      </c>
      <c r="B707" s="886">
        <v>13126</v>
      </c>
      <c r="C707" s="886">
        <v>43072969</v>
      </c>
      <c r="D707" s="950" t="s">
        <v>2496</v>
      </c>
      <c r="E707" s="115">
        <f>B707-MOD(E$1-A707*3,B707)</f>
        <v>3149</v>
      </c>
      <c r="F707" s="644">
        <f>IF(MOD(E707,5)=0,B707,0)+E707</f>
        <v>3149</v>
      </c>
      <c r="G707" s="785">
        <f>IF(MOD(F707+$B707,5)=0,$B707,0)+$B707+F707</f>
        <v>29401</v>
      </c>
      <c r="H707" s="785">
        <f>IF(MOD(G707+$B707,5)=0,$B707,0)+$B707+G707</f>
        <v>42527</v>
      </c>
      <c r="I707" s="785">
        <f>IF(MOD(H707+$B707,5)=0,$B707,0)+$B707+H707</f>
        <v>55653</v>
      </c>
      <c r="J707" s="911">
        <v>314</v>
      </c>
      <c r="K707" s="785">
        <v>2940</v>
      </c>
      <c r="L707" s="785">
        <v>4252</v>
      </c>
      <c r="M707" s="785">
        <v>5565</v>
      </c>
      <c r="N707" s="23" t="str">
        <f>D707&amp;FIXED(MOD(F707,10),0)</f>
        <v>hh39</v>
      </c>
      <c r="O707" s="78" t="str">
        <f>MID(A$5,((FIND(N707,A$4,1)-1)+1),4)</f>
        <v>e7db</v>
      </c>
      <c r="P707" s="76" t="s">
        <v>0</v>
      </c>
      <c r="Q707" s="219" t="s">
        <v>0</v>
      </c>
      <c r="R707" s="103" t="s">
        <v>0</v>
      </c>
      <c r="S707" s="103" t="s">
        <v>0</v>
      </c>
      <c r="T707" s="42" t="s">
        <v>1</v>
      </c>
    </row>
    <row r="708" spans="1:20" ht="12.75">
      <c r="A708" s="44">
        <v>6569</v>
      </c>
      <c r="B708" s="886">
        <v>13138</v>
      </c>
      <c r="C708" s="886">
        <v>43151761</v>
      </c>
      <c r="D708" s="950" t="s">
        <v>2506</v>
      </c>
      <c r="E708" s="115">
        <f>B708-MOD(E$1-A708*3,B708)</f>
        <v>7531</v>
      </c>
      <c r="F708" s="644">
        <f>IF(MOD(E708,5)=0,B708,0)+E708</f>
        <v>7531</v>
      </c>
      <c r="G708" s="785">
        <f>IF(MOD(F708+$B708,5)=0,$B708,0)+$B708+F708</f>
        <v>20669</v>
      </c>
      <c r="H708" s="785">
        <f>IF(MOD(G708+$B708,5)=0,$B708,0)+$B708+G708</f>
        <v>33807</v>
      </c>
      <c r="I708" s="785">
        <f>IF(MOD(H708+$B708,5)=0,$B708,0)+$B708+H708</f>
        <v>60083</v>
      </c>
      <c r="J708" s="911">
        <v>753</v>
      </c>
      <c r="K708" s="785">
        <v>2066</v>
      </c>
      <c r="L708" s="785">
        <v>3380</v>
      </c>
      <c r="M708" s="785">
        <v>6008</v>
      </c>
      <c r="N708" s="23" t="str">
        <f>D708&amp;FIXED(MOD(F708,10),0)</f>
        <v>hh91</v>
      </c>
      <c r="O708" s="78" t="str">
        <f>MID(A$5,((FIND(N708,A$4,1)-1)+1),4)</f>
        <v>7edb</v>
      </c>
      <c r="P708" s="76" t="s">
        <v>0</v>
      </c>
      <c r="Q708" s="219" t="s">
        <v>0</v>
      </c>
      <c r="R708" s="103" t="s">
        <v>0</v>
      </c>
      <c r="S708" s="103" t="s">
        <v>0</v>
      </c>
      <c r="T708" s="42" t="s">
        <v>1</v>
      </c>
    </row>
    <row r="709" spans="1:20" ht="12.75">
      <c r="A709" s="44">
        <v>6571</v>
      </c>
      <c r="B709" s="886">
        <v>13142</v>
      </c>
      <c r="C709" s="886">
        <v>43178041</v>
      </c>
      <c r="D709" s="950" t="s">
        <v>2490</v>
      </c>
      <c r="E709" s="115">
        <f>B709-MOD(E$1-A709*3,B709)</f>
        <v>1447</v>
      </c>
      <c r="F709" s="644">
        <f>IF(MOD(E709,5)=0,B709,0)+E709</f>
        <v>1447</v>
      </c>
      <c r="G709" s="785">
        <f>IF(MOD(F709+$B709,5)=0,$B709,0)+$B709+F709</f>
        <v>14589</v>
      </c>
      <c r="H709" s="785">
        <f>IF(MOD(G709+$B709,5)=0,$B709,0)+$B709+G709</f>
        <v>27731</v>
      </c>
      <c r="I709" s="785">
        <f>IF(MOD(H709+$B709,5)=0,$B709,0)+$B709+H709</f>
        <v>40873</v>
      </c>
      <c r="J709" s="911">
        <v>144</v>
      </c>
      <c r="K709" s="785">
        <v>1458</v>
      </c>
      <c r="L709" s="785">
        <v>2773</v>
      </c>
      <c r="M709" s="785">
        <v>4087</v>
      </c>
      <c r="N709" s="23" t="str">
        <f>D709&amp;FIXED(MOD(F709,10),0)</f>
        <v>hh17</v>
      </c>
      <c r="O709" s="78" t="str">
        <f>MID(A$5,((FIND(N709,A$4,1)-1)+1),4)</f>
        <v>de7b</v>
      </c>
      <c r="P709" s="76" t="s">
        <v>0</v>
      </c>
      <c r="Q709" s="219" t="s">
        <v>0</v>
      </c>
      <c r="R709" s="103" t="s">
        <v>0</v>
      </c>
      <c r="S709" s="103" t="s">
        <v>0</v>
      </c>
      <c r="T709" s="42" t="s">
        <v>1</v>
      </c>
    </row>
    <row r="710" spans="1:20" ht="12.75">
      <c r="A710" s="44">
        <v>6577</v>
      </c>
      <c r="B710" s="886">
        <v>13154</v>
      </c>
      <c r="C710" s="886">
        <v>43256929</v>
      </c>
      <c r="D710" s="950" t="s">
        <v>2501</v>
      </c>
      <c r="E710" s="115">
        <f>B710-MOD(E$1-A710*3,B710)</f>
        <v>1395</v>
      </c>
      <c r="F710" s="644">
        <f>IF(MOD(E710,5)=0,B710,0)+E710</f>
        <v>14549</v>
      </c>
      <c r="G710" s="785">
        <f>IF(MOD(F710+$B710,5)=0,$B710,0)+$B710+F710</f>
        <v>27703</v>
      </c>
      <c r="H710" s="785">
        <f>IF(MOD(G710+$B710,5)=0,$B710,0)+$B710+G710</f>
        <v>40857</v>
      </c>
      <c r="I710" s="785">
        <f>IF(MOD(H710+$B710,5)=0,$B710,0)+$B710+H710</f>
        <v>54011</v>
      </c>
      <c r="J710" s="911">
        <v>1454</v>
      </c>
      <c r="K710" s="785">
        <v>2770</v>
      </c>
      <c r="L710" s="785">
        <v>4085</v>
      </c>
      <c r="M710" s="785">
        <v>5401</v>
      </c>
      <c r="N710" s="23" t="str">
        <f>D710&amp;FIXED(MOD(F710,10),0)</f>
        <v>hh79</v>
      </c>
      <c r="O710" s="78" t="str">
        <f>MID(A$5,((FIND(N710,A$4,1)-1)+1),4)</f>
        <v>ebd7</v>
      </c>
      <c r="P710" s="76" t="s">
        <v>0</v>
      </c>
      <c r="Q710" s="219" t="s">
        <v>0</v>
      </c>
      <c r="R710" s="103" t="s">
        <v>0</v>
      </c>
      <c r="S710" s="103" t="s">
        <v>0</v>
      </c>
      <c r="T710" s="42" t="s">
        <v>1</v>
      </c>
    </row>
    <row r="711" spans="1:20" ht="12.75">
      <c r="A711" s="44">
        <v>6581</v>
      </c>
      <c r="B711" s="886">
        <v>13162</v>
      </c>
      <c r="C711" s="886">
        <v>43309561</v>
      </c>
      <c r="D711" s="950" t="s">
        <v>2490</v>
      </c>
      <c r="E711" s="115">
        <f>B711-MOD(E$1-A711*3,B711)</f>
        <v>4405</v>
      </c>
      <c r="F711" s="644">
        <f>IF(MOD(E711,5)=0,B711,0)+E711</f>
        <v>17567</v>
      </c>
      <c r="G711" s="785">
        <f>IF(MOD(F711+$B711,5)=0,$B711,0)+$B711+F711</f>
        <v>30729</v>
      </c>
      <c r="H711" s="785">
        <f>IF(MOD(G711+$B711,5)=0,$B711,0)+$B711+G711</f>
        <v>43891</v>
      </c>
      <c r="I711" s="785">
        <f>IF(MOD(H711+$B711,5)=0,$B711,0)+$B711+H711</f>
        <v>57053</v>
      </c>
      <c r="J711" s="911">
        <v>1756</v>
      </c>
      <c r="K711" s="785">
        <v>3072</v>
      </c>
      <c r="L711" s="785">
        <v>4389</v>
      </c>
      <c r="M711" s="785">
        <v>5705</v>
      </c>
      <c r="N711" s="23" t="str">
        <f>D711&amp;FIXED(MOD(F711,10),0)</f>
        <v>hh17</v>
      </c>
      <c r="O711" s="78" t="str">
        <f>MID(A$5,((FIND(N711,A$4,1)-1)+1),4)</f>
        <v>de7b</v>
      </c>
      <c r="P711" s="76" t="s">
        <v>0</v>
      </c>
      <c r="Q711" s="219" t="s">
        <v>0</v>
      </c>
      <c r="R711" s="103" t="s">
        <v>0</v>
      </c>
      <c r="S711" s="103" t="s">
        <v>0</v>
      </c>
      <c r="T711" s="42" t="s">
        <v>1</v>
      </c>
    </row>
    <row r="712" spans="1:20" ht="12.75">
      <c r="A712" s="44">
        <v>6599</v>
      </c>
      <c r="B712" s="886">
        <v>13198</v>
      </c>
      <c r="C712" s="886">
        <v>43546801</v>
      </c>
      <c r="D712" s="950" t="s">
        <v>2506</v>
      </c>
      <c r="E712" s="115">
        <f>B712-MOD(E$1-A712*3,B712)</f>
        <v>10851</v>
      </c>
      <c r="F712" s="644">
        <f>IF(MOD(E712,5)=0,B712,0)+E712</f>
        <v>10851</v>
      </c>
      <c r="G712" s="785">
        <f>IF(MOD(F712+$B712,5)=0,$B712,0)+$B712+F712</f>
        <v>24049</v>
      </c>
      <c r="H712" s="785">
        <f>IF(MOD(G712+$B712,5)=0,$B712,0)+$B712+G712</f>
        <v>37247</v>
      </c>
      <c r="I712" s="785">
        <f>IF(MOD(H712+$B712,5)=0,$B712,0)+$B712+H712</f>
        <v>63643</v>
      </c>
      <c r="J712" s="911">
        <v>1085</v>
      </c>
      <c r="K712" s="785">
        <v>2404</v>
      </c>
      <c r="L712" s="785">
        <v>3724</v>
      </c>
      <c r="M712" s="785">
        <v>6364</v>
      </c>
      <c r="N712" s="23" t="str">
        <f>D712&amp;FIXED(MOD(F712,10),0)</f>
        <v>hh91</v>
      </c>
      <c r="O712" s="78" t="str">
        <f>MID(A$5,((FIND(N712,A$4,1)-1)+1),4)</f>
        <v>7edb</v>
      </c>
      <c r="P712" s="76" t="s">
        <v>0</v>
      </c>
      <c r="Q712" s="219" t="s">
        <v>0</v>
      </c>
      <c r="R712" s="103" t="s">
        <v>0</v>
      </c>
      <c r="S712" s="103" t="s">
        <v>0</v>
      </c>
      <c r="T712" s="42" t="s">
        <v>1</v>
      </c>
    </row>
    <row r="713" spans="1:20" ht="12.75">
      <c r="A713" s="44">
        <v>6607</v>
      </c>
      <c r="B713" s="886">
        <v>13214</v>
      </c>
      <c r="C713" s="886">
        <v>43652449</v>
      </c>
      <c r="D713" s="950" t="s">
        <v>2501</v>
      </c>
      <c r="E713" s="115">
        <f>B713-MOD(E$1-A713*3,B713)</f>
        <v>10637</v>
      </c>
      <c r="F713" s="644">
        <f>IF(MOD(E713,5)=0,B713,0)+E713</f>
        <v>10637</v>
      </c>
      <c r="G713" s="785">
        <f>IF(MOD(F713+$B713,5)=0,$B713,0)+$B713+F713</f>
        <v>23851</v>
      </c>
      <c r="H713" s="785">
        <f>IF(MOD(G713+$B713,5)=0,$B713,0)+$B713+G713</f>
        <v>50279</v>
      </c>
      <c r="I713" s="785">
        <f>IF(MOD(H713+$B713,5)=0,$B713,0)+$B713+H713</f>
        <v>63493</v>
      </c>
      <c r="J713" s="911">
        <v>1063</v>
      </c>
      <c r="K713" s="785">
        <v>2385</v>
      </c>
      <c r="L713" s="785">
        <v>5027</v>
      </c>
      <c r="M713" s="785">
        <v>6349</v>
      </c>
      <c r="N713" s="23" t="str">
        <f>D713&amp;FIXED(MOD(F713,10),0)</f>
        <v>hh77</v>
      </c>
      <c r="O713" s="78" t="str">
        <f>MID(A$5,((FIND(N713,A$4,1)-1)+1),4)</f>
        <v>d7eb</v>
      </c>
      <c r="P713" s="76" t="s">
        <v>0</v>
      </c>
      <c r="Q713" s="219" t="s">
        <v>0</v>
      </c>
      <c r="R713" s="103" t="s">
        <v>0</v>
      </c>
      <c r="S713" s="103" t="s">
        <v>0</v>
      </c>
      <c r="T713" s="42" t="s">
        <v>1</v>
      </c>
    </row>
    <row r="714" spans="1:20" ht="12.75">
      <c r="A714" s="44">
        <v>6619</v>
      </c>
      <c r="B714" s="886">
        <v>13238</v>
      </c>
      <c r="C714" s="886">
        <v>43811161</v>
      </c>
      <c r="D714" s="950" t="s">
        <v>2506</v>
      </c>
      <c r="E714" s="115">
        <f>B714-MOD(E$1-A714*3,B714)</f>
        <v>4219</v>
      </c>
      <c r="F714" s="644">
        <f>IF(MOD(E714,5)=0,B714,0)+E714</f>
        <v>4219</v>
      </c>
      <c r="G714" s="785">
        <f>IF(MOD(F714+$B714,5)=0,$B714,0)+$B714+F714</f>
        <v>17457</v>
      </c>
      <c r="H714" s="785">
        <f>IF(MOD(G714+$B714,5)=0,$B714,0)+$B714+G714</f>
        <v>43933</v>
      </c>
      <c r="I714" s="785">
        <f>IF(MOD(H714+$B714,5)=0,$B714,0)+$B714+H714</f>
        <v>57171</v>
      </c>
      <c r="J714" s="911">
        <v>421</v>
      </c>
      <c r="K714" s="785">
        <v>1745</v>
      </c>
      <c r="L714" s="785">
        <v>4393</v>
      </c>
      <c r="M714" s="785">
        <v>5717</v>
      </c>
      <c r="N714" s="23" t="str">
        <f>D714&amp;FIXED(MOD(F714,10),0)</f>
        <v>hh99</v>
      </c>
      <c r="O714" s="78" t="str">
        <f>MID(A$5,((FIND(N714,A$4,1)-1)+1),4)</f>
        <v>edb7</v>
      </c>
      <c r="P714" s="76" t="s">
        <v>0</v>
      </c>
      <c r="Q714" s="219" t="s">
        <v>0</v>
      </c>
      <c r="R714" s="103" t="s">
        <v>0</v>
      </c>
      <c r="S714" s="103" t="s">
        <v>0</v>
      </c>
      <c r="T714" s="42" t="s">
        <v>1</v>
      </c>
    </row>
    <row r="715" spans="1:20" ht="12.75">
      <c r="A715" s="44">
        <v>6637</v>
      </c>
      <c r="B715" s="886">
        <v>13274</v>
      </c>
      <c r="C715" s="886">
        <v>44049769</v>
      </c>
      <c r="D715" s="950" t="s">
        <v>2501</v>
      </c>
      <c r="E715" s="115">
        <f>B715-MOD(E$1-A715*3,B715)</f>
        <v>1797</v>
      </c>
      <c r="F715" s="644">
        <f>IF(MOD(E715,5)=0,B715,0)+E715</f>
        <v>1797</v>
      </c>
      <c r="G715" s="785">
        <f>IF(MOD(F715+$B715,5)=0,$B715,0)+$B715+F715</f>
        <v>15071</v>
      </c>
      <c r="H715" s="785">
        <f>IF(MOD(G715+$B715,5)=0,$B715,0)+$B715+G715</f>
        <v>41619</v>
      </c>
      <c r="I715" s="785">
        <f>IF(MOD(H715+$B715,5)=0,$B715,0)+$B715+H715</f>
        <v>54893</v>
      </c>
      <c r="J715" s="911">
        <v>179</v>
      </c>
      <c r="K715" s="785">
        <v>1507</v>
      </c>
      <c r="L715" s="785">
        <v>4161</v>
      </c>
      <c r="M715" s="785">
        <v>5489</v>
      </c>
      <c r="N715" s="23" t="str">
        <f>D715&amp;FIXED(MOD(F715,10),0)</f>
        <v>hh77</v>
      </c>
      <c r="O715" s="78" t="str">
        <f>MID(A$5,((FIND(N715,A$4,1)-1)+1),4)</f>
        <v>d7eb</v>
      </c>
      <c r="P715" s="76" t="s">
        <v>0</v>
      </c>
      <c r="Q715" s="219" t="s">
        <v>0</v>
      </c>
      <c r="R715" s="103" t="s">
        <v>0</v>
      </c>
      <c r="S715" s="103" t="s">
        <v>0</v>
      </c>
      <c r="T715" s="42" t="s">
        <v>1</v>
      </c>
    </row>
    <row r="716" spans="1:20" ht="12.75">
      <c r="A716" s="44">
        <v>6653</v>
      </c>
      <c r="B716" s="886">
        <v>13306</v>
      </c>
      <c r="C716" s="886">
        <v>44262409</v>
      </c>
      <c r="D716" s="950" t="s">
        <v>2496</v>
      </c>
      <c r="E716" s="115">
        <f>B716-MOD(E$1-A716*3,B716)</f>
        <v>11755</v>
      </c>
      <c r="F716" s="644">
        <f>IF(MOD(E716,5)=0,B716,0)+E716</f>
        <v>25061</v>
      </c>
      <c r="G716" s="785">
        <f>IF(MOD(F716+$B716,5)=0,$B716,0)+$B716+F716</f>
        <v>38367</v>
      </c>
      <c r="H716" s="785">
        <f>IF(MOD(G716+$B716,5)=0,$B716,0)+$B716+G716</f>
        <v>51673</v>
      </c>
      <c r="I716" s="785">
        <f>IF(MOD(H716+$B716,5)=0,$B716,0)+$B716+H716</f>
        <v>64979</v>
      </c>
      <c r="J716" s="911">
        <v>2506</v>
      </c>
      <c r="K716" s="785">
        <v>3836</v>
      </c>
      <c r="L716" s="785">
        <v>5167</v>
      </c>
      <c r="M716" s="785">
        <v>6497</v>
      </c>
      <c r="N716" s="23" t="str">
        <f>D716&amp;FIXED(MOD(F716,10),0)</f>
        <v>hh31</v>
      </c>
      <c r="O716" s="78" t="str">
        <f>MID(A$5,((FIND(N716,A$4,1)-1)+1),4)</f>
        <v>7dbe</v>
      </c>
      <c r="P716" s="76" t="s">
        <v>0</v>
      </c>
      <c r="Q716" s="219" t="s">
        <v>0</v>
      </c>
      <c r="R716" s="103" t="s">
        <v>0</v>
      </c>
      <c r="S716" s="103" t="s">
        <v>0</v>
      </c>
      <c r="T716" s="42" t="s">
        <v>1</v>
      </c>
    </row>
    <row r="717" spans="1:20" ht="12.75">
      <c r="A717" s="44">
        <v>6659</v>
      </c>
      <c r="B717" s="886">
        <v>13318</v>
      </c>
      <c r="C717" s="886">
        <v>44342281</v>
      </c>
      <c r="D717" s="950" t="s">
        <v>2506</v>
      </c>
      <c r="E717" s="115">
        <f>B717-MOD(E$1-A717*3,B717)</f>
        <v>1973</v>
      </c>
      <c r="F717" s="644">
        <f>IF(MOD(E717,5)=0,B717,0)+E717</f>
        <v>1973</v>
      </c>
      <c r="G717" s="785">
        <f>IF(MOD(F717+$B717,5)=0,$B717,0)+$B717+F717</f>
        <v>15291</v>
      </c>
      <c r="H717" s="785">
        <f>IF(MOD(G717+$B717,5)=0,$B717,0)+$B717+G717</f>
        <v>28609</v>
      </c>
      <c r="I717" s="785">
        <f>IF(MOD(H717+$B717,5)=0,$B717,0)+$B717+H717</f>
        <v>41927</v>
      </c>
      <c r="J717" s="911">
        <v>197</v>
      </c>
      <c r="K717" s="785">
        <v>1529</v>
      </c>
      <c r="L717" s="785">
        <v>2860</v>
      </c>
      <c r="M717" s="785">
        <v>4192</v>
      </c>
      <c r="N717" s="23" t="str">
        <f>D717&amp;FIXED(MOD(F717,10),0)</f>
        <v>hh93</v>
      </c>
      <c r="O717" s="78" t="str">
        <f>MID(A$5,((FIND(N717,A$4,1)-1)+1),4)</f>
        <v>b7ed</v>
      </c>
      <c r="P717" s="76" t="s">
        <v>0</v>
      </c>
      <c r="Q717" s="219" t="s">
        <v>0</v>
      </c>
      <c r="R717" s="103" t="s">
        <v>0</v>
      </c>
      <c r="S717" s="103" t="s">
        <v>0</v>
      </c>
      <c r="T717" s="42" t="s">
        <v>1</v>
      </c>
    </row>
    <row r="718" spans="1:20" ht="12.75">
      <c r="A718" s="44">
        <v>6661</v>
      </c>
      <c r="B718" s="886">
        <v>13322</v>
      </c>
      <c r="C718" s="886">
        <v>44368921</v>
      </c>
      <c r="D718" s="950" t="s">
        <v>2490</v>
      </c>
      <c r="E718" s="115">
        <f>B718-MOD(E$1-A718*3,B718)</f>
        <v>4511</v>
      </c>
      <c r="F718" s="644">
        <f>IF(MOD(E718,5)=0,B718,0)+E718</f>
        <v>4511</v>
      </c>
      <c r="G718" s="785">
        <f>IF(MOD(F718+$B718,5)=0,$B718,0)+$B718+F718</f>
        <v>17833</v>
      </c>
      <c r="H718" s="785">
        <f>IF(MOD(G718+$B718,5)=0,$B718,0)+$B718+G718</f>
        <v>44477</v>
      </c>
      <c r="I718" s="785">
        <f>IF(MOD(H718+$B718,5)=0,$B718,0)+$B718+H718</f>
        <v>57799</v>
      </c>
      <c r="J718" s="911">
        <v>451</v>
      </c>
      <c r="K718" s="785">
        <v>1783</v>
      </c>
      <c r="L718" s="785">
        <v>4447</v>
      </c>
      <c r="M718" s="785">
        <v>5779</v>
      </c>
      <c r="N718" s="23" t="str">
        <f>D718&amp;FIXED(MOD(F718,10),0)</f>
        <v>hh11</v>
      </c>
      <c r="O718" s="78" t="str">
        <f>MID(A$5,((FIND(N718,A$4,1)-1)+1),4)</f>
        <v>7bde</v>
      </c>
      <c r="P718" s="76" t="s">
        <v>0</v>
      </c>
      <c r="Q718" s="219" t="s">
        <v>0</v>
      </c>
      <c r="R718" s="103" t="s">
        <v>0</v>
      </c>
      <c r="S718" s="103" t="s">
        <v>0</v>
      </c>
      <c r="T718" s="42" t="s">
        <v>1</v>
      </c>
    </row>
    <row r="719" spans="1:20" ht="12.75">
      <c r="A719" s="44">
        <v>6673</v>
      </c>
      <c r="B719" s="886">
        <v>13346</v>
      </c>
      <c r="C719" s="886">
        <v>44528929</v>
      </c>
      <c r="D719" s="950" t="s">
        <v>2496</v>
      </c>
      <c r="E719" s="115">
        <f>B719-MOD(E$1-A719*3,B719)</f>
        <v>7549</v>
      </c>
      <c r="F719" s="644">
        <f>IF(MOD(E719,5)=0,B719,0)+E719</f>
        <v>7549</v>
      </c>
      <c r="G719" s="785">
        <f>IF(MOD(F719+$B719,5)=0,$B719,0)+$B719+F719</f>
        <v>34241</v>
      </c>
      <c r="H719" s="785">
        <f>IF(MOD(G719+$B719,5)=0,$B719,0)+$B719+G719</f>
        <v>47587</v>
      </c>
      <c r="I719" s="785">
        <f>IF(MOD(H719+$B719,5)=0,$B719,0)+$B719+H719</f>
        <v>60933</v>
      </c>
      <c r="J719" s="911">
        <v>754</v>
      </c>
      <c r="K719" s="785">
        <v>3424</v>
      </c>
      <c r="L719" s="785">
        <v>4758</v>
      </c>
      <c r="M719" s="785">
        <v>6093</v>
      </c>
      <c r="N719" s="23" t="str">
        <f>D719&amp;FIXED(MOD(F719,10),0)</f>
        <v>hh39</v>
      </c>
      <c r="O719" s="78" t="str">
        <f>MID(A$5,((FIND(N719,A$4,1)-1)+1),4)</f>
        <v>e7db</v>
      </c>
      <c r="P719" s="76" t="s">
        <v>0</v>
      </c>
      <c r="Q719" s="219" t="s">
        <v>0</v>
      </c>
      <c r="R719" s="103" t="s">
        <v>0</v>
      </c>
      <c r="S719" s="103" t="s">
        <v>0</v>
      </c>
      <c r="T719" s="42" t="s">
        <v>1</v>
      </c>
    </row>
    <row r="720" spans="1:20" ht="12.75">
      <c r="A720" s="44">
        <v>6679</v>
      </c>
      <c r="B720" s="886">
        <v>13358</v>
      </c>
      <c r="C720" s="886">
        <v>44609041</v>
      </c>
      <c r="D720" s="950" t="s">
        <v>2506</v>
      </c>
      <c r="E720" s="115">
        <f>B720-MOD(E$1-A720*3,B720)</f>
        <v>3669</v>
      </c>
      <c r="F720" s="644">
        <f>IF(MOD(E720,5)=0,B720,0)+E720</f>
        <v>3669</v>
      </c>
      <c r="G720" s="785">
        <f>IF(MOD(F720+$B720,5)=0,$B720,0)+$B720+F720</f>
        <v>17027</v>
      </c>
      <c r="H720" s="785">
        <f>IF(MOD(G720+$B720,5)=0,$B720,0)+$B720+G720</f>
        <v>43743</v>
      </c>
      <c r="I720" s="785">
        <f>IF(MOD(H720+$B720,5)=0,$B720,0)+$B720+H720</f>
        <v>57101</v>
      </c>
      <c r="J720" s="911">
        <v>366</v>
      </c>
      <c r="K720" s="785">
        <v>1702</v>
      </c>
      <c r="L720" s="785">
        <v>4374</v>
      </c>
      <c r="M720" s="785">
        <v>5710</v>
      </c>
      <c r="N720" s="23" t="str">
        <f>D720&amp;FIXED(MOD(F720,10),0)</f>
        <v>hh99</v>
      </c>
      <c r="O720" s="78" t="str">
        <f>MID(A$5,((FIND(N720,A$4,1)-1)+1),4)</f>
        <v>edb7</v>
      </c>
      <c r="P720" s="76" t="s">
        <v>0</v>
      </c>
      <c r="Q720" s="219" t="s">
        <v>0</v>
      </c>
      <c r="R720" s="103" t="s">
        <v>0</v>
      </c>
      <c r="S720" s="103" t="s">
        <v>0</v>
      </c>
      <c r="T720" s="42" t="s">
        <v>1</v>
      </c>
    </row>
    <row r="721" spans="1:20" ht="12.75">
      <c r="A721" s="44">
        <v>6689</v>
      </c>
      <c r="B721" s="886">
        <v>13378</v>
      </c>
      <c r="C721" s="886">
        <v>44742721</v>
      </c>
      <c r="D721" s="950" t="s">
        <v>2506</v>
      </c>
      <c r="E721" s="115">
        <f>B721-MOD(E$1-A721*3,B721)</f>
        <v>6133</v>
      </c>
      <c r="F721" s="644">
        <f>IF(MOD(E721,5)=0,B721,0)+E721</f>
        <v>6133</v>
      </c>
      <c r="G721" s="785">
        <f>IF(MOD(F721+$B721,5)=0,$B721,0)+$B721+F721</f>
        <v>19511</v>
      </c>
      <c r="H721" s="785">
        <f>IF(MOD(G721+$B721,5)=0,$B721,0)+$B721+G721</f>
        <v>32889</v>
      </c>
      <c r="I721" s="785">
        <f>IF(MOD(H721+$B721,5)=0,$B721,0)+$B721+H721</f>
        <v>46267</v>
      </c>
      <c r="J721" s="911">
        <v>613</v>
      </c>
      <c r="K721" s="785">
        <v>1951</v>
      </c>
      <c r="L721" s="785">
        <v>3288</v>
      </c>
      <c r="M721" s="785">
        <v>4626</v>
      </c>
      <c r="N721" s="23" t="str">
        <f>D721&amp;FIXED(MOD(F721,10),0)</f>
        <v>hh93</v>
      </c>
      <c r="O721" s="78" t="str">
        <f>MID(A$5,((FIND(N721,A$4,1)-1)+1),4)</f>
        <v>b7ed</v>
      </c>
      <c r="P721" s="76" t="s">
        <v>0</v>
      </c>
      <c r="Q721" s="219" t="s">
        <v>0</v>
      </c>
      <c r="R721" s="103" t="s">
        <v>0</v>
      </c>
      <c r="S721" s="103" t="s">
        <v>0</v>
      </c>
      <c r="T721" s="42" t="s">
        <v>1</v>
      </c>
    </row>
    <row r="722" spans="1:20" ht="12.75">
      <c r="A722" s="44">
        <v>6691</v>
      </c>
      <c r="B722" s="886">
        <v>13382</v>
      </c>
      <c r="C722" s="886">
        <v>44769481</v>
      </c>
      <c r="D722" s="950" t="s">
        <v>2490</v>
      </c>
      <c r="E722" s="115">
        <f>B722-MOD(E$1-A722*3,B722)</f>
        <v>11513</v>
      </c>
      <c r="F722" s="644">
        <f>IF(MOD(E722,5)=0,B722,0)+E722</f>
        <v>11513</v>
      </c>
      <c r="G722" s="785">
        <f>IF(MOD(F722+$B722,5)=0,$B722,0)+$B722+F722</f>
        <v>38277</v>
      </c>
      <c r="H722" s="785">
        <f>IF(MOD(G722+$B722,5)=0,$B722,0)+$B722+G722</f>
        <v>51659</v>
      </c>
      <c r="I722" s="785">
        <f>IF(MOD(H722+$B722,5)=0,$B722,0)+$B722+H722</f>
        <v>65041</v>
      </c>
      <c r="J722" s="911">
        <v>1151</v>
      </c>
      <c r="K722" s="785">
        <v>3827</v>
      </c>
      <c r="L722" s="785">
        <v>5165</v>
      </c>
      <c r="M722" s="785">
        <v>6504</v>
      </c>
      <c r="N722" s="23" t="str">
        <f>D722&amp;FIXED(MOD(F722,10),0)</f>
        <v>hh13</v>
      </c>
      <c r="O722" s="78" t="str">
        <f>MID(A$5,((FIND(N722,A$4,1)-1)+1),4)</f>
        <v>bde7</v>
      </c>
      <c r="P722" s="76" t="s">
        <v>0</v>
      </c>
      <c r="Q722" s="219" t="s">
        <v>0</v>
      </c>
      <c r="R722" s="103" t="s">
        <v>0</v>
      </c>
      <c r="S722" s="103" t="s">
        <v>0</v>
      </c>
      <c r="T722" s="42" t="s">
        <v>1</v>
      </c>
    </row>
    <row r="723" spans="1:20" ht="12.75">
      <c r="A723" s="44">
        <v>6701</v>
      </c>
      <c r="B723" s="886">
        <v>13402</v>
      </c>
      <c r="C723" s="886">
        <v>44903401</v>
      </c>
      <c r="D723" s="950" t="s">
        <v>2490</v>
      </c>
      <c r="E723" s="115">
        <f>B723-MOD(E$1-A723*3,B723)</f>
        <v>1207</v>
      </c>
      <c r="F723" s="644">
        <f>IF(MOD(E723,5)=0,B723,0)+E723</f>
        <v>1207</v>
      </c>
      <c r="G723" s="785">
        <f>IF(MOD(F723+$B723,5)=0,$B723,0)+$B723+F723</f>
        <v>14609</v>
      </c>
      <c r="H723" s="785">
        <f>IF(MOD(G723+$B723,5)=0,$B723,0)+$B723+G723</f>
        <v>28011</v>
      </c>
      <c r="I723" s="785">
        <f>IF(MOD(H723+$B723,5)=0,$B723,0)+$B723+H723</f>
        <v>41413</v>
      </c>
      <c r="J723" s="911">
        <v>120</v>
      </c>
      <c r="K723" s="785">
        <v>1460</v>
      </c>
      <c r="L723" s="785">
        <v>2801</v>
      </c>
      <c r="M723" s="785">
        <v>4141</v>
      </c>
      <c r="N723" s="23" t="str">
        <f>D723&amp;FIXED(MOD(F723,10),0)</f>
        <v>hh17</v>
      </c>
      <c r="O723" s="78" t="str">
        <f>MID(A$5,((FIND(N723,A$4,1)-1)+1),4)</f>
        <v>de7b</v>
      </c>
      <c r="P723" s="76" t="s">
        <v>0</v>
      </c>
      <c r="Q723" s="219" t="s">
        <v>0</v>
      </c>
      <c r="R723" s="103" t="s">
        <v>0</v>
      </c>
      <c r="S723" s="103" t="s">
        <v>0</v>
      </c>
      <c r="T723" s="42" t="s">
        <v>1</v>
      </c>
    </row>
    <row r="724" spans="1:20" ht="12.75">
      <c r="A724" s="44">
        <v>6703</v>
      </c>
      <c r="B724" s="886">
        <v>13406</v>
      </c>
      <c r="C724" s="886">
        <v>44930209</v>
      </c>
      <c r="D724" s="950" t="s">
        <v>2496</v>
      </c>
      <c r="E724" s="115">
        <f>B724-MOD(E$1-A724*3,B724)</f>
        <v>8447</v>
      </c>
      <c r="F724" s="644">
        <f>IF(MOD(E724,5)=0,B724,0)+E724</f>
        <v>8447</v>
      </c>
      <c r="G724" s="785">
        <f>IF(MOD(F724+$B724,5)=0,$B724,0)+$B724+F724</f>
        <v>21853</v>
      </c>
      <c r="H724" s="785">
        <f>IF(MOD(G724+$B724,5)=0,$B724,0)+$B724+G724</f>
        <v>35259</v>
      </c>
      <c r="I724" s="785">
        <f>IF(MOD(H724+$B724,5)=0,$B724,0)+$B724+H724</f>
        <v>62071</v>
      </c>
      <c r="J724" s="911">
        <v>844</v>
      </c>
      <c r="K724" s="785">
        <v>2185</v>
      </c>
      <c r="L724" s="785">
        <v>3525</v>
      </c>
      <c r="M724" s="785">
        <v>6207</v>
      </c>
      <c r="N724" s="23" t="str">
        <f>D724&amp;FIXED(MOD(F724,10),0)</f>
        <v>hh37</v>
      </c>
      <c r="O724" s="78" t="str">
        <f>MID(A$5,((FIND(N724,A$4,1)-1)+1),4)</f>
        <v>dbe7</v>
      </c>
      <c r="P724" s="76" t="s">
        <v>0</v>
      </c>
      <c r="Q724" s="219" t="s">
        <v>0</v>
      </c>
      <c r="R724" s="103" t="s">
        <v>0</v>
      </c>
      <c r="S724" s="103" t="s">
        <v>0</v>
      </c>
      <c r="T724" s="42" t="s">
        <v>1</v>
      </c>
    </row>
    <row r="725" spans="1:20" ht="12.75">
      <c r="A725" s="44">
        <v>6709</v>
      </c>
      <c r="B725" s="886">
        <v>13418</v>
      </c>
      <c r="C725" s="886">
        <v>45010681</v>
      </c>
      <c r="D725" s="950" t="s">
        <v>2506</v>
      </c>
      <c r="E725" s="115">
        <f>B725-MOD(E$1-A725*3,B725)</f>
        <v>7603</v>
      </c>
      <c r="F725" s="644">
        <f>IF(MOD(E725,5)=0,B725,0)+E725</f>
        <v>7603</v>
      </c>
      <c r="G725" s="785">
        <f>IF(MOD(F725+$B725,5)=0,$B725,0)+$B725+F725</f>
        <v>21021</v>
      </c>
      <c r="H725" s="785">
        <f>IF(MOD(G725+$B725,5)=0,$B725,0)+$B725+G725</f>
        <v>34439</v>
      </c>
      <c r="I725" s="785">
        <f>IF(MOD(H725+$B725,5)=0,$B725,0)+$B725+H725</f>
        <v>47857</v>
      </c>
      <c r="J725" s="911">
        <v>760</v>
      </c>
      <c r="K725" s="785">
        <v>2102</v>
      </c>
      <c r="L725" s="785">
        <v>3443</v>
      </c>
      <c r="M725" s="785">
        <v>4785</v>
      </c>
      <c r="N725" s="23" t="str">
        <f>D725&amp;FIXED(MOD(F725,10),0)</f>
        <v>hh93</v>
      </c>
      <c r="O725" s="78" t="str">
        <f>MID(A$5,((FIND(N725,A$4,1)-1)+1),4)</f>
        <v>b7ed</v>
      </c>
      <c r="P725" s="76" t="s">
        <v>0</v>
      </c>
      <c r="Q725" s="219" t="s">
        <v>0</v>
      </c>
      <c r="R725" s="103" t="s">
        <v>0</v>
      </c>
      <c r="S725" s="103" t="s">
        <v>0</v>
      </c>
      <c r="T725" s="42" t="s">
        <v>1</v>
      </c>
    </row>
    <row r="726" spans="1:20" ht="12.75">
      <c r="A726" s="44">
        <v>6719</v>
      </c>
      <c r="B726" s="886">
        <v>13438</v>
      </c>
      <c r="C726" s="886">
        <v>45144961</v>
      </c>
      <c r="D726" s="950" t="s">
        <v>2506</v>
      </c>
      <c r="E726" s="115">
        <f>B726-MOD(E$1-A726*3,B726)</f>
        <v>3693</v>
      </c>
      <c r="F726" s="644">
        <f>IF(MOD(E726,5)=0,B726,0)+E726</f>
        <v>3693</v>
      </c>
      <c r="G726" s="785">
        <f>IF(MOD(F726+$B726,5)=0,$B726,0)+$B726+F726</f>
        <v>17131</v>
      </c>
      <c r="H726" s="785">
        <f>IF(MOD(G726+$B726,5)=0,$B726,0)+$B726+G726</f>
        <v>30569</v>
      </c>
      <c r="I726" s="785">
        <f>IF(MOD(H726+$B726,5)=0,$B726,0)+$B726+H726</f>
        <v>44007</v>
      </c>
      <c r="J726" s="911">
        <v>369</v>
      </c>
      <c r="K726" s="785">
        <v>1713</v>
      </c>
      <c r="L726" s="785">
        <v>3056</v>
      </c>
      <c r="M726" s="785">
        <v>4400</v>
      </c>
      <c r="N726" s="23" t="str">
        <f>D726&amp;FIXED(MOD(F726,10),0)</f>
        <v>hh93</v>
      </c>
      <c r="O726" s="78" t="str">
        <f>MID(A$5,((FIND(N726,A$4,1)-1)+1),4)</f>
        <v>b7ed</v>
      </c>
      <c r="P726" s="76" t="s">
        <v>0</v>
      </c>
      <c r="Q726" s="219" t="s">
        <v>0</v>
      </c>
      <c r="R726" s="103" t="s">
        <v>0</v>
      </c>
      <c r="S726" s="103" t="s">
        <v>0</v>
      </c>
      <c r="T726" s="42" t="s">
        <v>1</v>
      </c>
    </row>
    <row r="727" spans="1:20" ht="12.75">
      <c r="A727" s="44">
        <v>6733</v>
      </c>
      <c r="B727" s="886">
        <v>13466</v>
      </c>
      <c r="C727" s="886">
        <v>45333289</v>
      </c>
      <c r="D727" s="950" t="s">
        <v>2496</v>
      </c>
      <c r="E727" s="115">
        <f>B727-MOD(E$1-A727*3,B727)</f>
        <v>6179</v>
      </c>
      <c r="F727" s="644">
        <f>IF(MOD(E727,5)=0,B727,0)+E727</f>
        <v>6179</v>
      </c>
      <c r="G727" s="785">
        <f>IF(MOD(F727+$B727,5)=0,$B727,0)+$B727+F727</f>
        <v>33111</v>
      </c>
      <c r="H727" s="785">
        <f>IF(MOD(G727+$B727,5)=0,$B727,0)+$B727+G727</f>
        <v>46577</v>
      </c>
      <c r="I727" s="785">
        <f>IF(MOD(H727+$B727,5)=0,$B727,0)+$B727+H727</f>
        <v>60043</v>
      </c>
      <c r="J727" s="911">
        <v>617</v>
      </c>
      <c r="K727" s="785">
        <v>3311</v>
      </c>
      <c r="L727" s="785">
        <v>4657</v>
      </c>
      <c r="M727" s="785">
        <v>6004</v>
      </c>
      <c r="N727" s="23" t="str">
        <f>D727&amp;FIXED(MOD(F727,10),0)</f>
        <v>hh39</v>
      </c>
      <c r="O727" s="78" t="str">
        <f>MID(A$5,((FIND(N727,A$4,1)-1)+1),4)</f>
        <v>e7db</v>
      </c>
      <c r="P727" s="76" t="s">
        <v>0</v>
      </c>
      <c r="Q727" s="219" t="s">
        <v>0</v>
      </c>
      <c r="R727" s="103" t="s">
        <v>0</v>
      </c>
      <c r="S727" s="103" t="s">
        <v>0</v>
      </c>
      <c r="T727" s="42" t="s">
        <v>1</v>
      </c>
    </row>
    <row r="728" spans="1:20" ht="12.75">
      <c r="A728" s="44">
        <v>6737</v>
      </c>
      <c r="B728" s="886">
        <v>13474</v>
      </c>
      <c r="C728" s="886">
        <v>45387169</v>
      </c>
      <c r="D728" s="950" t="s">
        <v>2501</v>
      </c>
      <c r="E728" s="115">
        <f>B728-MOD(E$1-A728*3,B728)</f>
        <v>12579</v>
      </c>
      <c r="F728" s="644">
        <f>IF(MOD(E728,5)=0,B728,0)+E728</f>
        <v>12579</v>
      </c>
      <c r="G728" s="785">
        <f>IF(MOD(F728+$B728,5)=0,$B728,0)+$B728+F728</f>
        <v>26053</v>
      </c>
      <c r="H728" s="785">
        <f>IF(MOD(G728+$B728,5)=0,$B728,0)+$B728+G728</f>
        <v>39527</v>
      </c>
      <c r="I728" s="785">
        <f>IF(MOD(H728+$B728,5)=0,$B728,0)+$B728+H728</f>
        <v>53001</v>
      </c>
      <c r="J728" s="911">
        <v>1257</v>
      </c>
      <c r="K728" s="785">
        <v>2605</v>
      </c>
      <c r="L728" s="785">
        <v>3952</v>
      </c>
      <c r="M728" s="785">
        <v>5300</v>
      </c>
      <c r="N728" s="23" t="str">
        <f>D728&amp;FIXED(MOD(F728,10),0)</f>
        <v>hh79</v>
      </c>
      <c r="O728" s="78" t="str">
        <f>MID(A$5,((FIND(N728,A$4,1)-1)+1),4)</f>
        <v>ebd7</v>
      </c>
      <c r="P728" s="76" t="s">
        <v>0</v>
      </c>
      <c r="Q728" s="219" t="s">
        <v>0</v>
      </c>
      <c r="R728" s="103" t="s">
        <v>0</v>
      </c>
      <c r="S728" s="103" t="s">
        <v>0</v>
      </c>
      <c r="T728" s="42" t="s">
        <v>1</v>
      </c>
    </row>
    <row r="729" spans="1:20" ht="12.75">
      <c r="A729" s="44">
        <v>6761</v>
      </c>
      <c r="B729" s="886">
        <v>13522</v>
      </c>
      <c r="C729" s="886">
        <v>45711121</v>
      </c>
      <c r="D729" s="950" t="s">
        <v>2490</v>
      </c>
      <c r="E729" s="115">
        <f>B729-MOD(E$1-A729*3,B729)</f>
        <v>11117</v>
      </c>
      <c r="F729" s="644">
        <f>IF(MOD(E729,5)=0,B729,0)+E729</f>
        <v>11117</v>
      </c>
      <c r="G729" s="785">
        <f>IF(MOD(F729+$B729,5)=0,$B729,0)+$B729+F729</f>
        <v>24639</v>
      </c>
      <c r="H729" s="785">
        <f>IF(MOD(G729+$B729,5)=0,$B729,0)+$B729+G729</f>
        <v>38161</v>
      </c>
      <c r="I729" s="785">
        <f>IF(MOD(H729+$B729,5)=0,$B729,0)+$B729+H729</f>
        <v>51683</v>
      </c>
      <c r="J729" s="911">
        <v>1111</v>
      </c>
      <c r="K729" s="785">
        <v>2463</v>
      </c>
      <c r="L729" s="785">
        <v>3816</v>
      </c>
      <c r="M729" s="785">
        <v>5168</v>
      </c>
      <c r="N729" s="23" t="str">
        <f>D729&amp;FIXED(MOD(F729,10),0)</f>
        <v>hh17</v>
      </c>
      <c r="O729" s="78" t="str">
        <f>MID(A$5,((FIND(N729,A$4,1)-1)+1),4)</f>
        <v>de7b</v>
      </c>
      <c r="P729" s="76" t="s">
        <v>0</v>
      </c>
      <c r="Q729" s="219" t="s">
        <v>0</v>
      </c>
      <c r="R729" s="103" t="s">
        <v>0</v>
      </c>
      <c r="S729" s="103" t="s">
        <v>0</v>
      </c>
      <c r="T729" s="42" t="s">
        <v>1</v>
      </c>
    </row>
    <row r="730" spans="1:20" ht="12.75">
      <c r="A730" s="44">
        <v>6763</v>
      </c>
      <c r="B730" s="886">
        <v>13526</v>
      </c>
      <c r="C730" s="886">
        <v>45738169</v>
      </c>
      <c r="D730" s="950" t="s">
        <v>2496</v>
      </c>
      <c r="E730" s="115">
        <f>B730-MOD(E$1-A730*3,B730)</f>
        <v>11667</v>
      </c>
      <c r="F730" s="644">
        <f>IF(MOD(E730,5)=0,B730,0)+E730</f>
        <v>11667</v>
      </c>
      <c r="G730" s="785">
        <f>IF(MOD(F730+$B730,5)=0,$B730,0)+$B730+F730</f>
        <v>25193</v>
      </c>
      <c r="H730" s="785">
        <f>IF(MOD(G730+$B730,5)=0,$B730,0)+$B730+G730</f>
        <v>38719</v>
      </c>
      <c r="I730" s="785">
        <f>IF(MOD(H730+$B730,5)=0,$B730,0)+$B730+H730</f>
        <v>65771</v>
      </c>
      <c r="J730" s="911">
        <v>1166</v>
      </c>
      <c r="K730" s="785">
        <v>2519</v>
      </c>
      <c r="L730" s="785">
        <v>3871</v>
      </c>
      <c r="M730" s="785">
        <v>6577</v>
      </c>
      <c r="N730" s="23" t="str">
        <f>D730&amp;FIXED(MOD(F730,10),0)</f>
        <v>hh37</v>
      </c>
      <c r="O730" s="78" t="str">
        <f>MID(A$5,((FIND(N730,A$4,1)-1)+1),4)</f>
        <v>dbe7</v>
      </c>
      <c r="P730" s="76" t="s">
        <v>0</v>
      </c>
      <c r="Q730" s="219" t="s">
        <v>0</v>
      </c>
      <c r="R730" s="103" t="s">
        <v>0</v>
      </c>
      <c r="S730" s="103" t="s">
        <v>0</v>
      </c>
      <c r="T730" s="42" t="s">
        <v>1</v>
      </c>
    </row>
    <row r="731" spans="1:20" ht="12.75">
      <c r="A731" s="44">
        <v>6779</v>
      </c>
      <c r="B731" s="886">
        <v>13558</v>
      </c>
      <c r="C731" s="886">
        <v>45954841</v>
      </c>
      <c r="D731" s="950" t="s">
        <v>2506</v>
      </c>
      <c r="E731" s="115">
        <f>B731-MOD(E$1-A731*3,B731)</f>
        <v>561</v>
      </c>
      <c r="F731" s="644">
        <f>IF(MOD(E731,5)=0,B731,0)+E731</f>
        <v>561</v>
      </c>
      <c r="G731" s="785">
        <f>IF(MOD(F731+$B731,5)=0,$B731,0)+$B731+F731</f>
        <v>14119</v>
      </c>
      <c r="H731" s="785">
        <f>IF(MOD(G731+$B731,5)=0,$B731,0)+$B731+G731</f>
        <v>27677</v>
      </c>
      <c r="I731" s="785">
        <f>IF(MOD(H731+$B731,5)=0,$B731,0)+$B731+H731</f>
        <v>54793</v>
      </c>
      <c r="J731" s="911">
        <v>56</v>
      </c>
      <c r="K731" s="785">
        <v>1411</v>
      </c>
      <c r="L731" s="785">
        <v>2767</v>
      </c>
      <c r="M731" s="785">
        <v>5479</v>
      </c>
      <c r="N731" s="23" t="str">
        <f>D731&amp;FIXED(MOD(F731,10),0)</f>
        <v>hh91</v>
      </c>
      <c r="O731" s="78" t="str">
        <f>MID(A$5,((FIND(N731,A$4,1)-1)+1),4)</f>
        <v>7edb</v>
      </c>
      <c r="P731" s="76" t="s">
        <v>0</v>
      </c>
      <c r="Q731" s="219" t="s">
        <v>0</v>
      </c>
      <c r="R731" s="103" t="s">
        <v>0</v>
      </c>
      <c r="S731" s="103" t="s">
        <v>0</v>
      </c>
      <c r="T731" s="42" t="s">
        <v>1</v>
      </c>
    </row>
    <row r="732" spans="1:20" ht="12.75">
      <c r="A732" s="44">
        <v>6781</v>
      </c>
      <c r="B732" s="886">
        <v>13562</v>
      </c>
      <c r="C732" s="886">
        <v>45981961</v>
      </c>
      <c r="D732" s="950" t="s">
        <v>2490</v>
      </c>
      <c r="E732" s="115">
        <f>B732-MOD(E$1-A732*3,B732)</f>
        <v>8791</v>
      </c>
      <c r="F732" s="644">
        <f>IF(MOD(E732,5)=0,B732,0)+E732</f>
        <v>8791</v>
      </c>
      <c r="G732" s="785">
        <f>IF(MOD(F732+$B732,5)=0,$B732,0)+$B732+F732</f>
        <v>22353</v>
      </c>
      <c r="H732" s="785">
        <f>IF(MOD(G732+$B732,5)=0,$B732,0)+$B732+G732</f>
        <v>49477</v>
      </c>
      <c r="I732" s="785">
        <f>IF(MOD(H732+$B732,5)=0,$B732,0)+$B732+H732</f>
        <v>63039</v>
      </c>
      <c r="J732" s="911">
        <v>879</v>
      </c>
      <c r="K732" s="785">
        <v>2235</v>
      </c>
      <c r="L732" s="785">
        <v>4947</v>
      </c>
      <c r="M732" s="785">
        <v>6303</v>
      </c>
      <c r="N732" s="23" t="str">
        <f>D732&amp;FIXED(MOD(F732,10),0)</f>
        <v>hh11</v>
      </c>
      <c r="O732" s="78" t="str">
        <f>MID(A$5,((FIND(N732,A$4,1)-1)+1),4)</f>
        <v>7bde</v>
      </c>
      <c r="P732" s="76" t="s">
        <v>0</v>
      </c>
      <c r="Q732" s="219" t="s">
        <v>0</v>
      </c>
      <c r="R732" s="103" t="s">
        <v>0</v>
      </c>
      <c r="S732" s="103" t="s">
        <v>0</v>
      </c>
      <c r="T732" s="42" t="s">
        <v>1</v>
      </c>
    </row>
    <row r="733" spans="1:20" ht="12.75">
      <c r="A733" s="44">
        <v>6791</v>
      </c>
      <c r="B733" s="886">
        <v>13582</v>
      </c>
      <c r="C733" s="886">
        <v>46117681</v>
      </c>
      <c r="D733" s="950" t="s">
        <v>2490</v>
      </c>
      <c r="E733" s="115">
        <f>B733-MOD(E$1-A733*3,B733)</f>
        <v>8245</v>
      </c>
      <c r="F733" s="644">
        <f>IF(MOD(E733,5)=0,B733,0)+E733</f>
        <v>21827</v>
      </c>
      <c r="G733" s="785">
        <f>IF(MOD(F733+$B733,5)=0,$B733,0)+$B733+F733</f>
        <v>35409</v>
      </c>
      <c r="H733" s="785">
        <f>IF(MOD(G733+$B733,5)=0,$B733,0)+$B733+G733</f>
        <v>48991</v>
      </c>
      <c r="I733" s="785">
        <f>IF(MOD(H733+$B733,5)=0,$B733,0)+$B733+H733</f>
        <v>62573</v>
      </c>
      <c r="J733" s="911">
        <v>2182</v>
      </c>
      <c r="K733" s="785">
        <v>3540</v>
      </c>
      <c r="L733" s="785">
        <v>4899</v>
      </c>
      <c r="M733" s="785">
        <v>6257</v>
      </c>
      <c r="N733" s="23" t="str">
        <f>D733&amp;FIXED(MOD(F733,10),0)</f>
        <v>hh17</v>
      </c>
      <c r="O733" s="78" t="str">
        <f>MID(A$5,((FIND(N733,A$4,1)-1)+1),4)</f>
        <v>de7b</v>
      </c>
      <c r="P733" s="76" t="s">
        <v>0</v>
      </c>
      <c r="Q733" s="219" t="s">
        <v>0</v>
      </c>
      <c r="R733" s="103" t="s">
        <v>0</v>
      </c>
      <c r="S733" s="103" t="s">
        <v>0</v>
      </c>
      <c r="T733" s="42" t="s">
        <v>1</v>
      </c>
    </row>
    <row r="734" spans="1:20" ht="12.75">
      <c r="A734" s="44">
        <v>6793</v>
      </c>
      <c r="B734" s="886">
        <v>13586</v>
      </c>
      <c r="C734" s="886">
        <v>46144849</v>
      </c>
      <c r="D734" s="950" t="s">
        <v>2496</v>
      </c>
      <c r="E734" s="115">
        <f>B734-MOD(E$1-A734*3,B734)</f>
        <v>3141</v>
      </c>
      <c r="F734" s="644">
        <f>IF(MOD(E734,5)=0,B734,0)+E734</f>
        <v>3141</v>
      </c>
      <c r="G734" s="785">
        <f>IF(MOD(F734+$B734,5)=0,$B734,0)+$B734+F734</f>
        <v>16727</v>
      </c>
      <c r="H734" s="785">
        <f>IF(MOD(G734+$B734,5)=0,$B734,0)+$B734+G734</f>
        <v>30313</v>
      </c>
      <c r="I734" s="785">
        <f>IF(MOD(H734+$B734,5)=0,$B734,0)+$B734+H734</f>
        <v>43899</v>
      </c>
      <c r="J734" s="911">
        <v>314</v>
      </c>
      <c r="K734" s="785">
        <v>1672</v>
      </c>
      <c r="L734" s="785">
        <v>3031</v>
      </c>
      <c r="M734" s="785">
        <v>4389</v>
      </c>
      <c r="N734" s="23" t="str">
        <f>D734&amp;FIXED(MOD(F734,10),0)</f>
        <v>hh31</v>
      </c>
      <c r="O734" s="78" t="str">
        <f>MID(A$5,((FIND(N734,A$4,1)-1)+1),4)</f>
        <v>7dbe</v>
      </c>
      <c r="P734" s="76" t="s">
        <v>0</v>
      </c>
      <c r="Q734" s="219" t="s">
        <v>0</v>
      </c>
      <c r="R734" s="103" t="s">
        <v>0</v>
      </c>
      <c r="S734" s="103" t="s">
        <v>0</v>
      </c>
      <c r="T734" s="42" t="s">
        <v>1</v>
      </c>
    </row>
    <row r="735" spans="1:20" ht="12.75">
      <c r="A735" s="44">
        <v>6803</v>
      </c>
      <c r="B735" s="886">
        <v>13606</v>
      </c>
      <c r="C735" s="886">
        <v>46280809</v>
      </c>
      <c r="D735" s="950" t="s">
        <v>2496</v>
      </c>
      <c r="E735" s="115">
        <f>B735-MOD(E$1-A735*3,B735)</f>
        <v>12043</v>
      </c>
      <c r="F735" s="644">
        <f>IF(MOD(E735,5)=0,B735,0)+E735</f>
        <v>12043</v>
      </c>
      <c r="G735" s="785">
        <f>IF(MOD(F735+$B735,5)=0,$B735,0)+$B735+F735</f>
        <v>25649</v>
      </c>
      <c r="H735" s="785">
        <f>IF(MOD(G735+$B735,5)=0,$B735,0)+$B735+G735</f>
        <v>52861</v>
      </c>
      <c r="I735" s="785">
        <f>IF(MOD(H735+$B735,5)=0,$B735,0)+$B735+H735</f>
        <v>66467</v>
      </c>
      <c r="J735" s="911">
        <v>1204</v>
      </c>
      <c r="K735" s="785">
        <v>2564</v>
      </c>
      <c r="L735" s="785">
        <v>5286</v>
      </c>
      <c r="M735" s="785">
        <v>6646</v>
      </c>
      <c r="N735" s="23" t="str">
        <f>D735&amp;FIXED(MOD(F735,10),0)</f>
        <v>hh33</v>
      </c>
      <c r="O735" s="78" t="str">
        <f>MID(A$5,((FIND(N735,A$4,1)-1)+1),4)</f>
        <v>be7d</v>
      </c>
      <c r="P735" s="76" t="s">
        <v>0</v>
      </c>
      <c r="Q735" s="219" t="s">
        <v>0</v>
      </c>
      <c r="R735" s="103" t="s">
        <v>0</v>
      </c>
      <c r="S735" s="103" t="s">
        <v>0</v>
      </c>
      <c r="T735" s="42" t="s">
        <v>1</v>
      </c>
    </row>
    <row r="736" spans="1:20" ht="12.75">
      <c r="A736" s="44">
        <v>6823</v>
      </c>
      <c r="B736" s="886">
        <v>13646</v>
      </c>
      <c r="C736" s="886">
        <v>46553329</v>
      </c>
      <c r="D736" s="950" t="s">
        <v>2496</v>
      </c>
      <c r="E736" s="115">
        <f>B736-MOD(E$1-A736*3,B736)</f>
        <v>7415</v>
      </c>
      <c r="F736" s="644">
        <f>IF(MOD(E736,5)=0,B736,0)+E736</f>
        <v>21061</v>
      </c>
      <c r="G736" s="785">
        <f>IF(MOD(F736+$B736,5)=0,$B736,0)+$B736+F736</f>
        <v>34707</v>
      </c>
      <c r="H736" s="785">
        <f>IF(MOD(G736+$B736,5)=0,$B736,0)+$B736+G736</f>
        <v>48353</v>
      </c>
      <c r="I736" s="785">
        <f>IF(MOD(H736+$B736,5)=0,$B736,0)+$B736+H736</f>
        <v>61999</v>
      </c>
      <c r="J736" s="911">
        <v>2106</v>
      </c>
      <c r="K736" s="785">
        <v>3470</v>
      </c>
      <c r="L736" s="785">
        <v>4835</v>
      </c>
      <c r="M736" s="785">
        <v>6199</v>
      </c>
      <c r="N736" s="23" t="str">
        <f>D736&amp;FIXED(MOD(F736,10),0)</f>
        <v>hh31</v>
      </c>
      <c r="O736" s="78" t="str">
        <f>MID(A$5,((FIND(N736,A$4,1)-1)+1),4)</f>
        <v>7dbe</v>
      </c>
      <c r="P736" s="76" t="s">
        <v>0</v>
      </c>
      <c r="Q736" s="219" t="s">
        <v>0</v>
      </c>
      <c r="R736" s="103" t="s">
        <v>0</v>
      </c>
      <c r="S736" s="103" t="s">
        <v>0</v>
      </c>
      <c r="T736" s="42" t="s">
        <v>1</v>
      </c>
    </row>
    <row r="737" spans="1:20" ht="12.75">
      <c r="A737" s="44">
        <v>6827</v>
      </c>
      <c r="B737" s="886">
        <v>13654</v>
      </c>
      <c r="C737" s="886">
        <v>46607929</v>
      </c>
      <c r="D737" s="950" t="s">
        <v>2501</v>
      </c>
      <c r="E737" s="115">
        <f>B737-MOD(E$1-A737*3,B737)</f>
        <v>5257</v>
      </c>
      <c r="F737" s="644">
        <f>IF(MOD(E737,5)=0,B737,0)+E737</f>
        <v>5257</v>
      </c>
      <c r="G737" s="785">
        <f>IF(MOD(F737+$B737,5)=0,$B737,0)+$B737+F737</f>
        <v>18911</v>
      </c>
      <c r="H737" s="785">
        <f>IF(MOD(G737+$B737,5)=0,$B737,0)+$B737+G737</f>
        <v>46219</v>
      </c>
      <c r="I737" s="785">
        <f>IF(MOD(H737+$B737,5)=0,$B737,0)+$B737+H737</f>
        <v>59873</v>
      </c>
      <c r="J737" s="911">
        <v>525</v>
      </c>
      <c r="K737" s="785">
        <v>1891</v>
      </c>
      <c r="L737" s="785">
        <v>4621</v>
      </c>
      <c r="M737" s="785">
        <v>5987</v>
      </c>
      <c r="N737" s="23" t="str">
        <f>D737&amp;FIXED(MOD(F737,10),0)</f>
        <v>hh77</v>
      </c>
      <c r="O737" s="78" t="str">
        <f>MID(A$5,((FIND(N737,A$4,1)-1)+1),4)</f>
        <v>d7eb</v>
      </c>
      <c r="P737" s="76" t="s">
        <v>0</v>
      </c>
      <c r="Q737" s="219" t="s">
        <v>0</v>
      </c>
      <c r="R737" s="103" t="s">
        <v>0</v>
      </c>
      <c r="S737" s="103" t="s">
        <v>0</v>
      </c>
      <c r="T737" s="42" t="s">
        <v>1</v>
      </c>
    </row>
    <row r="738" spans="1:20" ht="12.75">
      <c r="A738" s="44">
        <v>6829</v>
      </c>
      <c r="B738" s="886">
        <v>13658</v>
      </c>
      <c r="C738" s="886">
        <v>46635241</v>
      </c>
      <c r="D738" s="950" t="s">
        <v>2506</v>
      </c>
      <c r="E738" s="115">
        <f>B738-MOD(E$1-A738*3,B738)</f>
        <v>7003</v>
      </c>
      <c r="F738" s="644">
        <f>IF(MOD(E738,5)=0,B738,0)+E738</f>
        <v>7003</v>
      </c>
      <c r="G738" s="785">
        <f>IF(MOD(F738+$B738,5)=0,$B738,0)+$B738+F738</f>
        <v>20661</v>
      </c>
      <c r="H738" s="785">
        <f>IF(MOD(G738+$B738,5)=0,$B738,0)+$B738+G738</f>
        <v>34319</v>
      </c>
      <c r="I738" s="785">
        <f>IF(MOD(H738+$B738,5)=0,$B738,0)+$B738+H738</f>
        <v>47977</v>
      </c>
      <c r="J738" s="911">
        <v>700</v>
      </c>
      <c r="K738" s="785">
        <v>2066</v>
      </c>
      <c r="L738" s="785">
        <v>3431</v>
      </c>
      <c r="M738" s="785">
        <v>4797</v>
      </c>
      <c r="N738" s="23" t="str">
        <f>D738&amp;FIXED(MOD(F738,10),0)</f>
        <v>hh93</v>
      </c>
      <c r="O738" s="78" t="str">
        <f>MID(A$5,((FIND(N738,A$4,1)-1)+1),4)</f>
        <v>b7ed</v>
      </c>
      <c r="P738" s="76" t="s">
        <v>0</v>
      </c>
      <c r="Q738" s="219" t="s">
        <v>0</v>
      </c>
      <c r="R738" s="103" t="s">
        <v>0</v>
      </c>
      <c r="S738" s="103" t="s">
        <v>0</v>
      </c>
      <c r="T738" s="42" t="s">
        <v>1</v>
      </c>
    </row>
    <row r="739" spans="1:20" ht="12.75">
      <c r="A739" s="44">
        <v>6833</v>
      </c>
      <c r="B739" s="886">
        <v>13666</v>
      </c>
      <c r="C739" s="886">
        <v>46689889</v>
      </c>
      <c r="D739" s="950" t="s">
        <v>2496</v>
      </c>
      <c r="E739" s="115">
        <f>B739-MOD(E$1-A739*3,B739)</f>
        <v>2939</v>
      </c>
      <c r="F739" s="644">
        <f>IF(MOD(E739,5)=0,B739,0)+E739</f>
        <v>2939</v>
      </c>
      <c r="G739" s="785">
        <f>IF(MOD(F739+$B739,5)=0,$B739,0)+$B739+F739</f>
        <v>30271</v>
      </c>
      <c r="H739" s="785">
        <f>IF(MOD(G739+$B739,5)=0,$B739,0)+$B739+G739</f>
        <v>43937</v>
      </c>
      <c r="I739" s="785">
        <f>IF(MOD(H739+$B739,5)=0,$B739,0)+$B739+H739</f>
        <v>57603</v>
      </c>
      <c r="J739" s="911">
        <v>293</v>
      </c>
      <c r="K739" s="785">
        <v>3027</v>
      </c>
      <c r="L739" s="785">
        <v>4393</v>
      </c>
      <c r="M739" s="785">
        <v>5760</v>
      </c>
      <c r="N739" s="23" t="str">
        <f>D739&amp;FIXED(MOD(F739,10),0)</f>
        <v>hh39</v>
      </c>
      <c r="O739" s="78" t="str">
        <f>MID(A$5,((FIND(N739,A$4,1)-1)+1),4)</f>
        <v>e7db</v>
      </c>
      <c r="P739" s="76" t="s">
        <v>0</v>
      </c>
      <c r="Q739" s="219" t="s">
        <v>0</v>
      </c>
      <c r="R739" s="103" t="s">
        <v>0</v>
      </c>
      <c r="S739" s="103" t="s">
        <v>0</v>
      </c>
      <c r="T739" s="42" t="s">
        <v>1</v>
      </c>
    </row>
    <row r="740" spans="1:20" ht="12.75">
      <c r="A740" s="44">
        <v>6841</v>
      </c>
      <c r="B740" s="886">
        <v>13682</v>
      </c>
      <c r="C740" s="886">
        <v>46799281</v>
      </c>
      <c r="D740" s="950" t="s">
        <v>2490</v>
      </c>
      <c r="E740" s="115">
        <f>B740-MOD(E$1-A740*3,B740)</f>
        <v>8097</v>
      </c>
      <c r="F740" s="644">
        <f>IF(MOD(E740,5)=0,B740,0)+E740</f>
        <v>8097</v>
      </c>
      <c r="G740" s="785">
        <f>IF(MOD(F740+$B740,5)=0,$B740,0)+$B740+F740</f>
        <v>21779</v>
      </c>
      <c r="H740" s="785">
        <f>IF(MOD(G740+$B740,5)=0,$B740,0)+$B740+G740</f>
        <v>35461</v>
      </c>
      <c r="I740" s="785">
        <f>IF(MOD(H740+$B740,5)=0,$B740,0)+$B740+H740</f>
        <v>49143</v>
      </c>
      <c r="J740" s="911">
        <v>809</v>
      </c>
      <c r="K740" s="785">
        <v>2177</v>
      </c>
      <c r="L740" s="785">
        <v>3546</v>
      </c>
      <c r="M740" s="785">
        <v>4914</v>
      </c>
      <c r="N740" s="23" t="str">
        <f>D740&amp;FIXED(MOD(F740,10),0)</f>
        <v>hh17</v>
      </c>
      <c r="O740" s="78" t="str">
        <f>MID(A$5,((FIND(N740,A$4,1)-1)+1),4)</f>
        <v>de7b</v>
      </c>
      <c r="P740" s="76" t="s">
        <v>0</v>
      </c>
      <c r="Q740" s="219" t="s">
        <v>0</v>
      </c>
      <c r="R740" s="103" t="s">
        <v>0</v>
      </c>
      <c r="S740" s="103" t="s">
        <v>0</v>
      </c>
      <c r="T740" s="42" t="s">
        <v>1</v>
      </c>
    </row>
    <row r="741" spans="1:20" ht="12.75">
      <c r="A741" s="44">
        <v>6857</v>
      </c>
      <c r="B741" s="886">
        <v>13714</v>
      </c>
      <c r="C741" s="886">
        <v>47018449</v>
      </c>
      <c r="D741" s="950" t="s">
        <v>2501</v>
      </c>
      <c r="E741" s="115">
        <f>B741-MOD(E$1-A741*3,B741)</f>
        <v>9657</v>
      </c>
      <c r="F741" s="644">
        <f>IF(MOD(E741,5)=0,B741,0)+E741</f>
        <v>9657</v>
      </c>
      <c r="G741" s="785">
        <f>IF(MOD(F741+$B741,5)=0,$B741,0)+$B741+F741</f>
        <v>23371</v>
      </c>
      <c r="H741" s="785">
        <f>IF(MOD(G741+$B741,5)=0,$B741,0)+$B741+G741</f>
        <v>50799</v>
      </c>
      <c r="I741" s="785">
        <f>IF(MOD(H741+$B741,5)=0,$B741,0)+$B741+H741</f>
        <v>64513</v>
      </c>
      <c r="J741" s="911">
        <v>965</v>
      </c>
      <c r="K741" s="785">
        <v>2337</v>
      </c>
      <c r="L741" s="785">
        <v>5079</v>
      </c>
      <c r="M741" s="785">
        <v>6451</v>
      </c>
      <c r="N741" s="23" t="str">
        <f>D741&amp;FIXED(MOD(F741,10),0)</f>
        <v>hh77</v>
      </c>
      <c r="O741" s="78" t="str">
        <f>MID(A$5,((FIND(N741,A$4,1)-1)+1),4)</f>
        <v>d7eb</v>
      </c>
      <c r="P741" s="76" t="s">
        <v>0</v>
      </c>
      <c r="Q741" s="219" t="s">
        <v>0</v>
      </c>
      <c r="R741" s="103" t="s">
        <v>0</v>
      </c>
      <c r="S741" s="103" t="s">
        <v>0</v>
      </c>
      <c r="T741" s="42" t="s">
        <v>1</v>
      </c>
    </row>
    <row r="742" spans="1:20" ht="12.75">
      <c r="A742" s="44">
        <v>6863</v>
      </c>
      <c r="B742" s="886">
        <v>13726</v>
      </c>
      <c r="C742" s="886">
        <v>47100769</v>
      </c>
      <c r="D742" s="950" t="s">
        <v>2496</v>
      </c>
      <c r="E742" s="115">
        <f>B742-MOD(E$1-A742*3,B742)</f>
        <v>6895</v>
      </c>
      <c r="F742" s="644">
        <f>IF(MOD(E742,5)=0,B742,0)+E742</f>
        <v>20621</v>
      </c>
      <c r="G742" s="785">
        <f>IF(MOD(F742+$B742,5)=0,$B742,0)+$B742+F742</f>
        <v>34347</v>
      </c>
      <c r="H742" s="785">
        <f>IF(MOD(G742+$B742,5)=0,$B742,0)+$B742+G742</f>
        <v>48073</v>
      </c>
      <c r="I742" s="785">
        <f>IF(MOD(H742+$B742,5)=0,$B742,0)+$B742+H742</f>
        <v>61799</v>
      </c>
      <c r="J742" s="911">
        <v>2062</v>
      </c>
      <c r="K742" s="785">
        <v>3434</v>
      </c>
      <c r="L742" s="785">
        <v>4807</v>
      </c>
      <c r="M742" s="785">
        <v>6179</v>
      </c>
      <c r="N742" s="23" t="str">
        <f>D742&amp;FIXED(MOD(F742,10),0)</f>
        <v>hh31</v>
      </c>
      <c r="O742" s="78" t="str">
        <f>MID(A$5,((FIND(N742,A$4,1)-1)+1),4)</f>
        <v>7dbe</v>
      </c>
      <c r="P742" s="76" t="s">
        <v>0</v>
      </c>
      <c r="Q742" s="219" t="s">
        <v>0</v>
      </c>
      <c r="R742" s="103" t="s">
        <v>0</v>
      </c>
      <c r="S742" s="103" t="s">
        <v>0</v>
      </c>
      <c r="T742" s="42" t="s">
        <v>1</v>
      </c>
    </row>
    <row r="743" spans="1:20" ht="12.75">
      <c r="A743" s="44">
        <v>6869</v>
      </c>
      <c r="B743" s="886">
        <v>13738</v>
      </c>
      <c r="C743" s="886">
        <v>47183161</v>
      </c>
      <c r="D743" s="950" t="s">
        <v>2506</v>
      </c>
      <c r="E743" s="115">
        <f>B743-MOD(E$1-A743*3,B743)</f>
        <v>8547</v>
      </c>
      <c r="F743" s="644">
        <f>IF(MOD(E743,5)=0,B743,0)+E743</f>
        <v>8547</v>
      </c>
      <c r="G743" s="785">
        <f>IF(MOD(F743+$B743,5)=0,$B743,0)+$B743+F743</f>
        <v>36023</v>
      </c>
      <c r="H743" s="785">
        <f>IF(MOD(G743+$B743,5)=0,$B743,0)+$B743+G743</f>
        <v>49761</v>
      </c>
      <c r="I743" s="785">
        <f>IF(MOD(H743+$B743,5)=0,$B743,0)+$B743+H743</f>
        <v>63499</v>
      </c>
      <c r="J743" s="911">
        <v>854</v>
      </c>
      <c r="K743" s="785">
        <v>3602</v>
      </c>
      <c r="L743" s="785">
        <v>4976</v>
      </c>
      <c r="M743" s="785">
        <v>6349</v>
      </c>
      <c r="N743" s="23" t="str">
        <f>D743&amp;FIXED(MOD(F743,10),0)</f>
        <v>hh97</v>
      </c>
      <c r="O743" s="78" t="str">
        <f>MID(A$5,((FIND(N743,A$4,1)-1)+1),4)</f>
        <v>db7e</v>
      </c>
      <c r="P743" s="76" t="s">
        <v>0</v>
      </c>
      <c r="Q743" s="219" t="s">
        <v>0</v>
      </c>
      <c r="R743" s="103" t="s">
        <v>0</v>
      </c>
      <c r="S743" s="103" t="s">
        <v>0</v>
      </c>
      <c r="T743" s="42" t="s">
        <v>1</v>
      </c>
    </row>
    <row r="744" spans="1:20" ht="12.75">
      <c r="A744" s="44">
        <v>6871</v>
      </c>
      <c r="B744" s="886">
        <v>13742</v>
      </c>
      <c r="C744" s="886">
        <v>47210641</v>
      </c>
      <c r="D744" s="950" t="s">
        <v>2490</v>
      </c>
      <c r="E744" s="115">
        <f>B744-MOD(E$1-A744*3,B744)</f>
        <v>2861</v>
      </c>
      <c r="F744" s="644">
        <f>IF(MOD(E744,5)=0,B744,0)+E744</f>
        <v>2861</v>
      </c>
      <c r="G744" s="785">
        <f>IF(MOD(F744+$B744,5)=0,$B744,0)+$B744+F744</f>
        <v>16603</v>
      </c>
      <c r="H744" s="785">
        <f>IF(MOD(G744+$B744,5)=0,$B744,0)+$B744+G744</f>
        <v>44087</v>
      </c>
      <c r="I744" s="785">
        <f>IF(MOD(H744+$B744,5)=0,$B744,0)+$B744+H744</f>
        <v>57829</v>
      </c>
      <c r="J744" s="911">
        <v>286</v>
      </c>
      <c r="K744" s="785">
        <v>1660</v>
      </c>
      <c r="L744" s="785">
        <v>4408</v>
      </c>
      <c r="M744" s="785">
        <v>5782</v>
      </c>
      <c r="N744" s="23" t="str">
        <f>D744&amp;FIXED(MOD(F744,10),0)</f>
        <v>hh11</v>
      </c>
      <c r="O744" s="78" t="str">
        <f>MID(A$5,((FIND(N744,A$4,1)-1)+1),4)</f>
        <v>7bde</v>
      </c>
      <c r="P744" s="76" t="s">
        <v>0</v>
      </c>
      <c r="Q744" s="219" t="s">
        <v>0</v>
      </c>
      <c r="R744" s="103" t="s">
        <v>0</v>
      </c>
      <c r="S744" s="103" t="s">
        <v>0</v>
      </c>
      <c r="T744" s="42" t="s">
        <v>1</v>
      </c>
    </row>
    <row r="745" spans="1:20" ht="12.75">
      <c r="A745" s="44">
        <v>6883</v>
      </c>
      <c r="B745" s="886">
        <v>13766</v>
      </c>
      <c r="C745" s="886">
        <v>47375689</v>
      </c>
      <c r="D745" s="950" t="s">
        <v>2496</v>
      </c>
      <c r="E745" s="115">
        <f>B745-MOD(E$1-A745*3,B745)</f>
        <v>12525</v>
      </c>
      <c r="F745" s="644">
        <f>IF(MOD(E745,5)=0,B745,0)+E745</f>
        <v>26291</v>
      </c>
      <c r="G745" s="785">
        <f>IF(MOD(F745+$B745,5)=0,$B745,0)+$B745+F745</f>
        <v>40057</v>
      </c>
      <c r="H745" s="785">
        <f>IF(MOD(G745+$B745,5)=0,$B745,0)+$B745+G745</f>
        <v>53823</v>
      </c>
      <c r="I745" s="785">
        <f>IF(MOD(H745+$B745,5)=0,$B745,0)+$B745+H745</f>
        <v>67589</v>
      </c>
      <c r="J745" s="911">
        <v>2629</v>
      </c>
      <c r="K745" s="785">
        <v>4005</v>
      </c>
      <c r="L745" s="785">
        <v>5382</v>
      </c>
      <c r="M745" s="785">
        <v>6758</v>
      </c>
      <c r="N745" s="23" t="str">
        <f>D745&amp;FIXED(MOD(F745,10),0)</f>
        <v>hh31</v>
      </c>
      <c r="O745" s="78" t="str">
        <f>MID(A$5,((FIND(N745,A$4,1)-1)+1),4)</f>
        <v>7dbe</v>
      </c>
      <c r="P745" s="76" t="s">
        <v>0</v>
      </c>
      <c r="Q745" s="219" t="s">
        <v>0</v>
      </c>
      <c r="R745" s="103" t="s">
        <v>0</v>
      </c>
      <c r="S745" s="103" t="s">
        <v>0</v>
      </c>
      <c r="T745" s="42" t="s">
        <v>1</v>
      </c>
    </row>
    <row r="746" spans="1:20" ht="12.75">
      <c r="A746" s="44">
        <v>6899</v>
      </c>
      <c r="B746" s="886">
        <v>13798</v>
      </c>
      <c r="C746" s="886">
        <v>47596201</v>
      </c>
      <c r="D746" s="950" t="s">
        <v>2506</v>
      </c>
      <c r="E746" s="115">
        <f>B746-MOD(E$1-A746*3,B746)</f>
        <v>1861</v>
      </c>
      <c r="F746" s="644">
        <f>IF(MOD(E746,5)=0,B746,0)+E746</f>
        <v>1861</v>
      </c>
      <c r="G746" s="785">
        <f>IF(MOD(F746+$B746,5)=0,$B746,0)+$B746+F746</f>
        <v>15659</v>
      </c>
      <c r="H746" s="785">
        <f>IF(MOD(G746+$B746,5)=0,$B746,0)+$B746+G746</f>
        <v>29457</v>
      </c>
      <c r="I746" s="785">
        <f>IF(MOD(H746+$B746,5)=0,$B746,0)+$B746+H746</f>
        <v>57053</v>
      </c>
      <c r="J746" s="911">
        <v>186</v>
      </c>
      <c r="K746" s="785">
        <v>1565</v>
      </c>
      <c r="L746" s="785">
        <v>2945</v>
      </c>
      <c r="M746" s="785">
        <v>5705</v>
      </c>
      <c r="N746" s="23" t="str">
        <f>D746&amp;FIXED(MOD(F746,10),0)</f>
        <v>hh91</v>
      </c>
      <c r="O746" s="78" t="str">
        <f>MID(A$5,((FIND(N746,A$4,1)-1)+1),4)</f>
        <v>7edb</v>
      </c>
      <c r="P746" s="76" t="s">
        <v>0</v>
      </c>
      <c r="Q746" s="219" t="s">
        <v>0</v>
      </c>
      <c r="R746" s="103" t="s">
        <v>0</v>
      </c>
      <c r="S746" s="103" t="s">
        <v>0</v>
      </c>
      <c r="T746" s="42" t="s">
        <v>1</v>
      </c>
    </row>
    <row r="747" spans="1:20" ht="12.75">
      <c r="A747" s="44">
        <v>6907</v>
      </c>
      <c r="B747" s="886">
        <v>13814</v>
      </c>
      <c r="C747" s="886">
        <v>47706649</v>
      </c>
      <c r="D747" s="950" t="s">
        <v>2501</v>
      </c>
      <c r="E747" s="115">
        <f>B747-MOD(E$1-A747*3,B747)</f>
        <v>6961</v>
      </c>
      <c r="F747" s="644">
        <f>IF(MOD(E747,5)=0,B747,0)+E747</f>
        <v>6961</v>
      </c>
      <c r="G747" s="785">
        <f>IF(MOD(F747+$B747,5)=0,$B747,0)+$B747+F747</f>
        <v>34589</v>
      </c>
      <c r="H747" s="785">
        <f>IF(MOD(G747+$B747,5)=0,$B747,0)+$B747+G747</f>
        <v>48403</v>
      </c>
      <c r="I747" s="785">
        <f>IF(MOD(H747+$B747,5)=0,$B747,0)+$B747+H747</f>
        <v>62217</v>
      </c>
      <c r="J747" s="911">
        <v>696</v>
      </c>
      <c r="K747" s="785">
        <v>3458</v>
      </c>
      <c r="L747" s="785">
        <v>4840</v>
      </c>
      <c r="M747" s="785">
        <v>6221</v>
      </c>
      <c r="N747" s="23" t="str">
        <f>D747&amp;FIXED(MOD(F747,10),0)</f>
        <v>hh71</v>
      </c>
      <c r="O747" s="78" t="str">
        <f>MID(A$5,((FIND(N747,A$4,1)-1)+1),4)</f>
        <v>7ebd</v>
      </c>
      <c r="P747" s="76" t="s">
        <v>0</v>
      </c>
      <c r="Q747" s="219" t="s">
        <v>0</v>
      </c>
      <c r="R747" s="103" t="s">
        <v>0</v>
      </c>
      <c r="S747" s="103" t="s">
        <v>0</v>
      </c>
      <c r="T747" s="42" t="s">
        <v>1</v>
      </c>
    </row>
    <row r="748" spans="1:20" ht="12.75">
      <c r="A748" s="44">
        <v>6911</v>
      </c>
      <c r="B748" s="886">
        <v>13822</v>
      </c>
      <c r="C748" s="886">
        <v>47761921</v>
      </c>
      <c r="D748" s="950" t="s">
        <v>2490</v>
      </c>
      <c r="E748" s="115">
        <f>B748-MOD(E$1-A748*3,B748)</f>
        <v>761</v>
      </c>
      <c r="F748" s="644">
        <f>IF(MOD(E748,5)=0,B748,0)+E748</f>
        <v>761</v>
      </c>
      <c r="G748" s="785">
        <f>IF(MOD(F748+$B748,5)=0,$B748,0)+$B748+F748</f>
        <v>14583</v>
      </c>
      <c r="H748" s="785">
        <f>IF(MOD(G748+$B748,5)=0,$B748,0)+$B748+G748</f>
        <v>42227</v>
      </c>
      <c r="I748" s="785">
        <f>IF(MOD(H748+$B748,5)=0,$B748,0)+$B748+H748</f>
        <v>56049</v>
      </c>
      <c r="J748" s="911">
        <v>76</v>
      </c>
      <c r="K748" s="785">
        <v>1458</v>
      </c>
      <c r="L748" s="785">
        <v>4222</v>
      </c>
      <c r="M748" s="785">
        <v>5604</v>
      </c>
      <c r="N748" s="23" t="str">
        <f>D748&amp;FIXED(MOD(F748,10),0)</f>
        <v>hh11</v>
      </c>
      <c r="O748" s="78" t="str">
        <f>MID(A$5,((FIND(N748,A$4,1)-1)+1),4)</f>
        <v>7bde</v>
      </c>
      <c r="P748" s="76" t="s">
        <v>0</v>
      </c>
      <c r="Q748" s="219" t="s">
        <v>0</v>
      </c>
      <c r="R748" s="103" t="s">
        <v>0</v>
      </c>
      <c r="S748" s="103" t="s">
        <v>0</v>
      </c>
      <c r="T748" s="42" t="s">
        <v>1</v>
      </c>
    </row>
    <row r="749" spans="1:20" ht="12.75">
      <c r="A749" s="44">
        <v>6917</v>
      </c>
      <c r="B749" s="886">
        <v>13834</v>
      </c>
      <c r="C749" s="886">
        <v>47844889</v>
      </c>
      <c r="D749" s="950" t="s">
        <v>2501</v>
      </c>
      <c r="E749" s="115">
        <f>B749-MOD(E$1-A749*3,B749)</f>
        <v>13585</v>
      </c>
      <c r="F749" s="644">
        <f>IF(MOD(E749,5)=0,B749,0)+E749</f>
        <v>27419</v>
      </c>
      <c r="G749" s="785">
        <f>IF(MOD(F749+$B749,5)=0,$B749,0)+$B749+F749</f>
        <v>41253</v>
      </c>
      <c r="H749" s="785">
        <f>IF(MOD(G749+$B749,5)=0,$B749,0)+$B749+G749</f>
        <v>55087</v>
      </c>
      <c r="I749" s="785">
        <f>IF(MOD(H749+$B749,5)=0,$B749,0)+$B749+H749</f>
        <v>68921</v>
      </c>
      <c r="J749" s="911">
        <v>2741</v>
      </c>
      <c r="K749" s="785">
        <v>4125</v>
      </c>
      <c r="L749" s="785">
        <v>5508</v>
      </c>
      <c r="M749" s="785">
        <v>6892</v>
      </c>
      <c r="N749" s="23" t="str">
        <f>D749&amp;FIXED(MOD(F749,10),0)</f>
        <v>hh79</v>
      </c>
      <c r="O749" s="78" t="str">
        <f>MID(A$5,((FIND(N749,A$4,1)-1)+1),4)</f>
        <v>ebd7</v>
      </c>
      <c r="P749" s="76" t="s">
        <v>0</v>
      </c>
      <c r="Q749" s="219" t="s">
        <v>0</v>
      </c>
      <c r="R749" s="103" t="s">
        <v>0</v>
      </c>
      <c r="S749" s="103" t="s">
        <v>0</v>
      </c>
      <c r="T749" s="42" t="s">
        <v>1</v>
      </c>
    </row>
    <row r="750" spans="1:20" ht="12.75">
      <c r="A750" s="44">
        <v>6947</v>
      </c>
      <c r="B750" s="886">
        <v>13894</v>
      </c>
      <c r="C750" s="886">
        <v>48260809</v>
      </c>
      <c r="D750" s="950" t="s">
        <v>2501</v>
      </c>
      <c r="E750" s="115">
        <f>B750-MOD(E$1-A750*3,B750)</f>
        <v>817</v>
      </c>
      <c r="F750" s="644">
        <f>IF(MOD(E750,5)=0,B750,0)+E750</f>
        <v>817</v>
      </c>
      <c r="G750" s="785">
        <f>IF(MOD(F750+$B750,5)=0,$B750,0)+$B750+F750</f>
        <v>14711</v>
      </c>
      <c r="H750" s="785">
        <f>IF(MOD(G750+$B750,5)=0,$B750,0)+$B750+G750</f>
        <v>42499</v>
      </c>
      <c r="I750" s="785">
        <f>IF(MOD(H750+$B750,5)=0,$B750,0)+$B750+H750</f>
        <v>56393</v>
      </c>
      <c r="J750" s="911">
        <v>81</v>
      </c>
      <c r="K750" s="785">
        <v>1471</v>
      </c>
      <c r="L750" s="785">
        <v>4249</v>
      </c>
      <c r="M750" s="785">
        <v>5639</v>
      </c>
      <c r="N750" s="23" t="str">
        <f>D750&amp;FIXED(MOD(F750,10),0)</f>
        <v>hh77</v>
      </c>
      <c r="O750" s="78" t="str">
        <f>MID(A$5,((FIND(N750,A$4,1)-1)+1),4)</f>
        <v>d7eb</v>
      </c>
      <c r="P750" s="76" t="s">
        <v>0</v>
      </c>
      <c r="Q750" s="219" t="s">
        <v>0</v>
      </c>
      <c r="R750" s="103" t="s">
        <v>0</v>
      </c>
      <c r="S750" s="103" t="s">
        <v>0</v>
      </c>
      <c r="T750" s="42" t="s">
        <v>1</v>
      </c>
    </row>
    <row r="751" spans="1:20" ht="12.75">
      <c r="A751" s="44">
        <v>6949</v>
      </c>
      <c r="B751" s="886">
        <v>13898</v>
      </c>
      <c r="C751" s="886">
        <v>48288601</v>
      </c>
      <c r="D751" s="950" t="s">
        <v>2506</v>
      </c>
      <c r="E751" s="115">
        <f>B751-MOD(E$1-A751*3,B751)</f>
        <v>5843</v>
      </c>
      <c r="F751" s="644">
        <f>IF(MOD(E751,5)=0,B751,0)+E751</f>
        <v>5843</v>
      </c>
      <c r="G751" s="785">
        <f>IF(MOD(F751+$B751,5)=0,$B751,0)+$B751+F751</f>
        <v>19741</v>
      </c>
      <c r="H751" s="785">
        <f>IF(MOD(G751+$B751,5)=0,$B751,0)+$B751+G751</f>
        <v>33639</v>
      </c>
      <c r="I751" s="785">
        <f>IF(MOD(H751+$B751,5)=0,$B751,0)+$B751+H751</f>
        <v>47537</v>
      </c>
      <c r="J751" s="911">
        <v>584</v>
      </c>
      <c r="K751" s="785">
        <v>1974</v>
      </c>
      <c r="L751" s="785">
        <v>3363</v>
      </c>
      <c r="M751" s="785">
        <v>4753</v>
      </c>
      <c r="N751" s="23" t="str">
        <f>D751&amp;FIXED(MOD(F751,10),0)</f>
        <v>hh93</v>
      </c>
      <c r="O751" s="78" t="str">
        <f>MID(A$5,((FIND(N751,A$4,1)-1)+1),4)</f>
        <v>b7ed</v>
      </c>
      <c r="P751" s="76" t="s">
        <v>0</v>
      </c>
      <c r="Q751" s="219" t="s">
        <v>0</v>
      </c>
      <c r="R751" s="103" t="s">
        <v>0</v>
      </c>
      <c r="S751" s="103" t="s">
        <v>0</v>
      </c>
      <c r="T751" s="42" t="s">
        <v>1</v>
      </c>
    </row>
    <row r="752" spans="1:20" ht="12.75">
      <c r="A752" s="44">
        <v>6959</v>
      </c>
      <c r="B752" s="886">
        <v>13918</v>
      </c>
      <c r="C752" s="886">
        <v>48427681</v>
      </c>
      <c r="D752" s="950" t="s">
        <v>2506</v>
      </c>
      <c r="E752" s="115">
        <f>B752-MOD(E$1-A752*3,B752)</f>
        <v>4123</v>
      </c>
      <c r="F752" s="644">
        <f>IF(MOD(E752,5)=0,B752,0)+E752</f>
        <v>4123</v>
      </c>
      <c r="G752" s="785">
        <f>IF(MOD(F752+$B752,5)=0,$B752,0)+$B752+F752</f>
        <v>18041</v>
      </c>
      <c r="H752" s="785">
        <f>IF(MOD(G752+$B752,5)=0,$B752,0)+$B752+G752</f>
        <v>31959</v>
      </c>
      <c r="I752" s="785">
        <f>IF(MOD(H752+$B752,5)=0,$B752,0)+$B752+H752</f>
        <v>45877</v>
      </c>
      <c r="J752" s="911">
        <v>412</v>
      </c>
      <c r="K752" s="785">
        <v>1804</v>
      </c>
      <c r="L752" s="785">
        <v>3195</v>
      </c>
      <c r="M752" s="785">
        <v>4587</v>
      </c>
      <c r="N752" s="23" t="str">
        <f>D752&amp;FIXED(MOD(F752,10),0)</f>
        <v>hh93</v>
      </c>
      <c r="O752" s="78" t="str">
        <f>MID(A$5,((FIND(N752,A$4,1)-1)+1),4)</f>
        <v>b7ed</v>
      </c>
      <c r="P752" s="76" t="s">
        <v>0</v>
      </c>
      <c r="Q752" s="219" t="s">
        <v>0</v>
      </c>
      <c r="R752" s="103" t="s">
        <v>0</v>
      </c>
      <c r="S752" s="103" t="s">
        <v>0</v>
      </c>
      <c r="T752" s="42" t="s">
        <v>1</v>
      </c>
    </row>
    <row r="753" spans="1:20" ht="12.75">
      <c r="A753" s="44">
        <v>6961</v>
      </c>
      <c r="B753" s="886">
        <v>13922</v>
      </c>
      <c r="C753" s="886">
        <v>48455521</v>
      </c>
      <c r="D753" s="950" t="s">
        <v>2490</v>
      </c>
      <c r="E753" s="115">
        <f>B753-MOD(E$1-A753*3,B753)</f>
        <v>12919</v>
      </c>
      <c r="F753" s="644">
        <f>IF(MOD(E753,5)=0,B753,0)+E753</f>
        <v>12919</v>
      </c>
      <c r="G753" s="785">
        <f>IF(MOD(F753+$B753,5)=0,$B753,0)+$B753+F753</f>
        <v>26841</v>
      </c>
      <c r="H753" s="785">
        <f>IF(MOD(G753+$B753,5)=0,$B753,0)+$B753+G753</f>
        <v>40763</v>
      </c>
      <c r="I753" s="785">
        <f>IF(MOD(H753+$B753,5)=0,$B753,0)+$B753+H753</f>
        <v>68607</v>
      </c>
      <c r="J753" s="911">
        <v>1291</v>
      </c>
      <c r="K753" s="785">
        <v>2684</v>
      </c>
      <c r="L753" s="785">
        <v>4076</v>
      </c>
      <c r="M753" s="785">
        <v>6860</v>
      </c>
      <c r="N753" s="23" t="str">
        <f>D753&amp;FIXED(MOD(F753,10),0)</f>
        <v>hh19</v>
      </c>
      <c r="O753" s="78" t="str">
        <f>MID(A$5,((FIND(N753,A$4,1)-1)+1),4)</f>
        <v>e7bd</v>
      </c>
      <c r="P753" s="76" t="s">
        <v>0</v>
      </c>
      <c r="Q753" s="219" t="s">
        <v>0</v>
      </c>
      <c r="R753" s="103" t="s">
        <v>0</v>
      </c>
      <c r="S753" s="103" t="s">
        <v>0</v>
      </c>
      <c r="T753" s="42" t="s">
        <v>1</v>
      </c>
    </row>
    <row r="754" spans="1:20" ht="12.75">
      <c r="A754" s="44">
        <v>6967</v>
      </c>
      <c r="B754" s="886">
        <v>13934</v>
      </c>
      <c r="C754" s="886">
        <v>48539089</v>
      </c>
      <c r="D754" s="950" t="s">
        <v>2501</v>
      </c>
      <c r="E754" s="115">
        <f>B754-MOD(E$1-A754*3,B754)</f>
        <v>3435</v>
      </c>
      <c r="F754" s="644">
        <f>IF(MOD(E754,5)=0,B754,0)+E754</f>
        <v>17369</v>
      </c>
      <c r="G754" s="785">
        <f>IF(MOD(F754+$B754,5)=0,$B754,0)+$B754+F754</f>
        <v>31303</v>
      </c>
      <c r="H754" s="785">
        <f>IF(MOD(G754+$B754,5)=0,$B754,0)+$B754+G754</f>
        <v>45237</v>
      </c>
      <c r="I754" s="785">
        <f>IF(MOD(H754+$B754,5)=0,$B754,0)+$B754+H754</f>
        <v>59171</v>
      </c>
      <c r="J754" s="911">
        <v>1736</v>
      </c>
      <c r="K754" s="785">
        <v>3130</v>
      </c>
      <c r="L754" s="785">
        <v>4523</v>
      </c>
      <c r="M754" s="785">
        <v>5917</v>
      </c>
      <c r="N754" s="23" t="str">
        <f>D754&amp;FIXED(MOD(F754,10),0)</f>
        <v>hh79</v>
      </c>
      <c r="O754" s="78" t="str">
        <f>MID(A$5,((FIND(N754,A$4,1)-1)+1),4)</f>
        <v>ebd7</v>
      </c>
      <c r="P754" s="76" t="s">
        <v>0</v>
      </c>
      <c r="Q754" s="219" t="s">
        <v>0</v>
      </c>
      <c r="R754" s="103" t="s">
        <v>0</v>
      </c>
      <c r="S754" s="103" t="s">
        <v>0</v>
      </c>
      <c r="T754" s="42" t="s">
        <v>1</v>
      </c>
    </row>
    <row r="755" spans="1:20" ht="12.75">
      <c r="A755" s="44">
        <v>6971</v>
      </c>
      <c r="B755" s="886">
        <v>13942</v>
      </c>
      <c r="C755" s="886">
        <v>48594841</v>
      </c>
      <c r="D755" s="950" t="s">
        <v>2490</v>
      </c>
      <c r="E755" s="115">
        <f>B755-MOD(E$1-A755*3,B755)</f>
        <v>9845</v>
      </c>
      <c r="F755" s="644">
        <f>IF(MOD(E755,5)=0,B755,0)+E755</f>
        <v>23787</v>
      </c>
      <c r="G755" s="785">
        <f>IF(MOD(F755+$B755,5)=0,$B755,0)+$B755+F755</f>
        <v>37729</v>
      </c>
      <c r="H755" s="785">
        <f>IF(MOD(G755+$B755,5)=0,$B755,0)+$B755+G755</f>
        <v>51671</v>
      </c>
      <c r="I755" s="785">
        <f>IF(MOD(H755+$B755,5)=0,$B755,0)+$B755+H755</f>
        <v>65613</v>
      </c>
      <c r="J755" s="911">
        <v>2378</v>
      </c>
      <c r="K755" s="785">
        <v>3772</v>
      </c>
      <c r="L755" s="785">
        <v>5167</v>
      </c>
      <c r="M755" s="785">
        <v>6561</v>
      </c>
      <c r="N755" s="23" t="str">
        <f>D755&amp;FIXED(MOD(F755,10),0)</f>
        <v>hh17</v>
      </c>
      <c r="O755" s="78" t="str">
        <f>MID(A$5,((FIND(N755,A$4,1)-1)+1),4)</f>
        <v>de7b</v>
      </c>
      <c r="P755" s="76" t="s">
        <v>0</v>
      </c>
      <c r="Q755" s="219" t="s">
        <v>0</v>
      </c>
      <c r="R755" s="103" t="s">
        <v>0</v>
      </c>
      <c r="S755" s="103" t="s">
        <v>0</v>
      </c>
      <c r="T755" s="42" t="s">
        <v>1</v>
      </c>
    </row>
    <row r="756" spans="1:20" ht="12.75">
      <c r="A756" s="44">
        <v>6977</v>
      </c>
      <c r="B756" s="886">
        <v>13954</v>
      </c>
      <c r="C756" s="886">
        <v>48678529</v>
      </c>
      <c r="D756" s="950" t="s">
        <v>2501</v>
      </c>
      <c r="E756" s="115">
        <f>B756-MOD(E$1-A756*3,B756)</f>
        <v>12395</v>
      </c>
      <c r="F756" s="644">
        <f>IF(MOD(E756,5)=0,B756,0)+E756</f>
        <v>26349</v>
      </c>
      <c r="G756" s="785">
        <f>IF(MOD(F756+$B756,5)=0,$B756,0)+$B756+F756</f>
        <v>40303</v>
      </c>
      <c r="H756" s="785">
        <f>IF(MOD(G756+$B756,5)=0,$B756,0)+$B756+G756</f>
        <v>54257</v>
      </c>
      <c r="I756" s="785">
        <f>IF(MOD(H756+$B756,5)=0,$B756,0)+$B756+H756</f>
        <v>68211</v>
      </c>
      <c r="J756" s="911">
        <v>2634</v>
      </c>
      <c r="K756" s="785">
        <v>4030</v>
      </c>
      <c r="L756" s="785">
        <v>5425</v>
      </c>
      <c r="M756" s="785">
        <v>6821</v>
      </c>
      <c r="N756" s="23" t="str">
        <f>D756&amp;FIXED(MOD(F756,10),0)</f>
        <v>hh79</v>
      </c>
      <c r="O756" s="78" t="str">
        <f>MID(A$5,((FIND(N756,A$4,1)-1)+1),4)</f>
        <v>ebd7</v>
      </c>
      <c r="P756" s="76" t="s">
        <v>0</v>
      </c>
      <c r="Q756" s="219" t="s">
        <v>0</v>
      </c>
      <c r="R756" s="103" t="s">
        <v>0</v>
      </c>
      <c r="S756" s="103" t="s">
        <v>0</v>
      </c>
      <c r="T756" s="42" t="s">
        <v>1</v>
      </c>
    </row>
    <row r="757" spans="1:20" ht="12.75">
      <c r="A757" s="44">
        <v>6983</v>
      </c>
      <c r="B757" s="886">
        <v>13966</v>
      </c>
      <c r="C757" s="886">
        <v>48762289</v>
      </c>
      <c r="D757" s="950" t="s">
        <v>2496</v>
      </c>
      <c r="E757" s="115">
        <f>B757-MOD(E$1-A757*3,B757)</f>
        <v>8483</v>
      </c>
      <c r="F757" s="644">
        <f>IF(MOD(E757,5)=0,B757,0)+E757</f>
        <v>8483</v>
      </c>
      <c r="G757" s="785">
        <f>IF(MOD(F757+$B757,5)=0,$B757,0)+$B757+F757</f>
        <v>22449</v>
      </c>
      <c r="H757" s="785">
        <f>IF(MOD(G757+$B757,5)=0,$B757,0)+$B757+G757</f>
        <v>50381</v>
      </c>
      <c r="I757" s="785">
        <f>IF(MOD(H757+$B757,5)=0,$B757,0)+$B757+H757</f>
        <v>64347</v>
      </c>
      <c r="J757" s="911">
        <v>848</v>
      </c>
      <c r="K757" s="785">
        <v>2244</v>
      </c>
      <c r="L757" s="785">
        <v>5038</v>
      </c>
      <c r="M757" s="785">
        <v>6434</v>
      </c>
      <c r="N757" s="23" t="str">
        <f>D757&amp;FIXED(MOD(F757,10),0)</f>
        <v>hh33</v>
      </c>
      <c r="O757" s="78" t="str">
        <f>MID(A$5,((FIND(N757,A$4,1)-1)+1),4)</f>
        <v>be7d</v>
      </c>
      <c r="P757" s="76" t="s">
        <v>0</v>
      </c>
      <c r="Q757" s="219" t="s">
        <v>0</v>
      </c>
      <c r="R757" s="103" t="s">
        <v>0</v>
      </c>
      <c r="S757" s="103" t="s">
        <v>0</v>
      </c>
      <c r="T757" s="42" t="s">
        <v>1</v>
      </c>
    </row>
    <row r="758" spans="1:20" ht="12.75">
      <c r="A758" s="44">
        <v>6991</v>
      </c>
      <c r="B758" s="886">
        <v>13982</v>
      </c>
      <c r="C758" s="886">
        <v>48874081</v>
      </c>
      <c r="D758" s="950" t="s">
        <v>2490</v>
      </c>
      <c r="E758" s="115">
        <f>B758-MOD(E$1-A758*3,B758)</f>
        <v>11117</v>
      </c>
      <c r="F758" s="644">
        <f>IF(MOD(E758,5)=0,B758,0)+E758</f>
        <v>11117</v>
      </c>
      <c r="G758" s="785">
        <f>IF(MOD(F758+$B758,5)=0,$B758,0)+$B758+F758</f>
        <v>25099</v>
      </c>
      <c r="H758" s="785">
        <f>IF(MOD(G758+$B758,5)=0,$B758,0)+$B758+G758</f>
        <v>39081</v>
      </c>
      <c r="I758" s="785">
        <f>IF(MOD(H758+$B758,5)=0,$B758,0)+$B758+H758</f>
        <v>53063</v>
      </c>
      <c r="J758" s="911">
        <v>1111</v>
      </c>
      <c r="K758" s="785">
        <v>2509</v>
      </c>
      <c r="L758" s="785">
        <v>3908</v>
      </c>
      <c r="M758" s="785">
        <v>5306</v>
      </c>
      <c r="N758" s="23" t="str">
        <f>D758&amp;FIXED(MOD(F758,10),0)</f>
        <v>hh17</v>
      </c>
      <c r="O758" s="78" t="str">
        <f>MID(A$5,((FIND(N758,A$4,1)-1)+1),4)</f>
        <v>de7b</v>
      </c>
      <c r="P758" s="76" t="s">
        <v>0</v>
      </c>
      <c r="Q758" s="219" t="s">
        <v>0</v>
      </c>
      <c r="R758" s="103" t="s">
        <v>0</v>
      </c>
      <c r="S758" s="103" t="s">
        <v>0</v>
      </c>
      <c r="T758" s="42" t="s">
        <v>1</v>
      </c>
    </row>
    <row r="759" spans="1:20" ht="12.75">
      <c r="A759" s="44">
        <v>6997</v>
      </c>
      <c r="B759" s="886">
        <v>13994</v>
      </c>
      <c r="C759" s="886">
        <v>48958009</v>
      </c>
      <c r="D759" s="950" t="s">
        <v>2501</v>
      </c>
      <c r="E759" s="115">
        <f>B759-MOD(E$1-A759*3,B759)</f>
        <v>959</v>
      </c>
      <c r="F759" s="644">
        <f>IF(MOD(E759,5)=0,B759,0)+E759</f>
        <v>959</v>
      </c>
      <c r="G759" s="785">
        <f>IF(MOD(F759+$B759,5)=0,$B759,0)+$B759+F759</f>
        <v>14953</v>
      </c>
      <c r="H759" s="785">
        <f>IF(MOD(G759+$B759,5)=0,$B759,0)+$B759+G759</f>
        <v>28947</v>
      </c>
      <c r="I759" s="785">
        <f>IF(MOD(H759+$B759,5)=0,$B759,0)+$B759+H759</f>
        <v>42941</v>
      </c>
      <c r="J759" s="911">
        <v>95</v>
      </c>
      <c r="K759" s="785">
        <v>1495</v>
      </c>
      <c r="L759" s="785">
        <v>2894</v>
      </c>
      <c r="M759" s="785">
        <v>4294</v>
      </c>
      <c r="N759" s="23" t="str">
        <f>D759&amp;FIXED(MOD(F759,10),0)</f>
        <v>hh79</v>
      </c>
      <c r="O759" s="78" t="str">
        <f>MID(A$5,((FIND(N759,A$4,1)-1)+1),4)</f>
        <v>ebd7</v>
      </c>
      <c r="P759" s="76" t="s">
        <v>0</v>
      </c>
      <c r="Q759" s="219" t="s">
        <v>0</v>
      </c>
      <c r="R759" s="103" t="s">
        <v>0</v>
      </c>
      <c r="S759" s="103" t="s">
        <v>0</v>
      </c>
      <c r="T759" s="42" t="s">
        <v>1</v>
      </c>
    </row>
    <row r="760" spans="1:20" ht="12.75">
      <c r="A760" s="44">
        <v>7001</v>
      </c>
      <c r="B760" s="886">
        <v>14002</v>
      </c>
      <c r="C760" s="886">
        <v>49014001</v>
      </c>
      <c r="D760" s="950" t="s">
        <v>2490</v>
      </c>
      <c r="E760" s="115">
        <f>B760-MOD(E$1-A760*3,B760)</f>
        <v>8659</v>
      </c>
      <c r="F760" s="644">
        <f>IF(MOD(E760,5)=0,B760,0)+E760</f>
        <v>8659</v>
      </c>
      <c r="G760" s="785">
        <f>IF(MOD(F760+$B760,5)=0,$B760,0)+$B760+F760</f>
        <v>22661</v>
      </c>
      <c r="H760" s="785">
        <f>IF(MOD(G760+$B760,5)=0,$B760,0)+$B760+G760</f>
        <v>36663</v>
      </c>
      <c r="I760" s="785">
        <f>IF(MOD(H760+$B760,5)=0,$B760,0)+$B760+H760</f>
        <v>64667</v>
      </c>
      <c r="J760" s="911">
        <v>865</v>
      </c>
      <c r="K760" s="785">
        <v>2266</v>
      </c>
      <c r="L760" s="785">
        <v>3666</v>
      </c>
      <c r="M760" s="785">
        <v>6466</v>
      </c>
      <c r="N760" s="23" t="str">
        <f>D760&amp;FIXED(MOD(F760,10),0)</f>
        <v>hh19</v>
      </c>
      <c r="O760" s="78" t="str">
        <f>MID(A$5,((FIND(N760,A$4,1)-1)+1),4)</f>
        <v>e7bd</v>
      </c>
      <c r="P760" s="76" t="s">
        <v>0</v>
      </c>
      <c r="Q760" s="219" t="s">
        <v>0</v>
      </c>
      <c r="R760" s="103" t="s">
        <v>0</v>
      </c>
      <c r="S760" s="103" t="s">
        <v>0</v>
      </c>
      <c r="T760" s="42" t="s">
        <v>1</v>
      </c>
    </row>
    <row r="761" spans="1:20" ht="12.75">
      <c r="A761" s="44">
        <v>7013</v>
      </c>
      <c r="B761" s="886">
        <v>14026</v>
      </c>
      <c r="C761" s="886">
        <v>49182169</v>
      </c>
      <c r="D761" s="950" t="s">
        <v>2496</v>
      </c>
      <c r="E761" s="115">
        <f>B761-MOD(E$1-A761*3,B761)</f>
        <v>13451</v>
      </c>
      <c r="F761" s="644">
        <f>IF(MOD(E761,5)=0,B761,0)+E761</f>
        <v>13451</v>
      </c>
      <c r="G761" s="785">
        <f>IF(MOD(F761+$B761,5)=0,$B761,0)+$B761+F761</f>
        <v>27477</v>
      </c>
      <c r="H761" s="785">
        <f>IF(MOD(G761+$B761,5)=0,$B761,0)+$B761+G761</f>
        <v>41503</v>
      </c>
      <c r="I761" s="785">
        <f>IF(MOD(H761+$B761,5)=0,$B761,0)+$B761+H761</f>
        <v>55529</v>
      </c>
      <c r="J761" s="911">
        <v>1345</v>
      </c>
      <c r="K761" s="785">
        <v>2747</v>
      </c>
      <c r="L761" s="785">
        <v>4150</v>
      </c>
      <c r="M761" s="785">
        <v>5552</v>
      </c>
      <c r="N761" s="23" t="str">
        <f>D761&amp;FIXED(MOD(F761,10),0)</f>
        <v>hh31</v>
      </c>
      <c r="O761" s="78" t="str">
        <f>MID(A$5,((FIND(N761,A$4,1)-1)+1),4)</f>
        <v>7dbe</v>
      </c>
      <c r="P761" s="76" t="s">
        <v>0</v>
      </c>
      <c r="Q761" s="219" t="s">
        <v>0</v>
      </c>
      <c r="R761" s="103" t="s">
        <v>0</v>
      </c>
      <c r="S761" s="103" t="s">
        <v>0</v>
      </c>
      <c r="T761" s="42" t="s">
        <v>1</v>
      </c>
    </row>
    <row r="762" spans="1:20" ht="12.75">
      <c r="A762" s="44">
        <v>7019</v>
      </c>
      <c r="B762" s="886">
        <v>14038</v>
      </c>
      <c r="C762" s="886">
        <v>49266361</v>
      </c>
      <c r="D762" s="950" t="s">
        <v>2506</v>
      </c>
      <c r="E762" s="115">
        <f>B762-MOD(E$1-A762*3,B762)</f>
        <v>4393</v>
      </c>
      <c r="F762" s="644">
        <f>IF(MOD(E762,5)=0,B762,0)+E762</f>
        <v>4393</v>
      </c>
      <c r="G762" s="785">
        <f>IF(MOD(F762+$B762,5)=0,$B762,0)+$B762+F762</f>
        <v>18431</v>
      </c>
      <c r="H762" s="785">
        <f>IF(MOD(G762+$B762,5)=0,$B762,0)+$B762+G762</f>
        <v>32469</v>
      </c>
      <c r="I762" s="785">
        <f>IF(MOD(H762+$B762,5)=0,$B762,0)+$B762+H762</f>
        <v>46507</v>
      </c>
      <c r="J762" s="911">
        <v>439</v>
      </c>
      <c r="K762" s="785">
        <v>1843</v>
      </c>
      <c r="L762" s="785">
        <v>3246</v>
      </c>
      <c r="M762" s="785">
        <v>4650</v>
      </c>
      <c r="N762" s="23" t="str">
        <f>D762&amp;FIXED(MOD(F762,10),0)</f>
        <v>hh93</v>
      </c>
      <c r="O762" s="78" t="str">
        <f>MID(A$5,((FIND(N762,A$4,1)-1)+1),4)</f>
        <v>b7ed</v>
      </c>
      <c r="P762" s="76" t="s">
        <v>0</v>
      </c>
      <c r="Q762" s="219" t="s">
        <v>0</v>
      </c>
      <c r="R762" s="103" t="s">
        <v>0</v>
      </c>
      <c r="S762" s="103" t="s">
        <v>0</v>
      </c>
      <c r="T762" s="42" t="s">
        <v>1</v>
      </c>
    </row>
    <row r="763" spans="1:20" ht="12.75">
      <c r="A763" s="44">
        <v>7027</v>
      </c>
      <c r="B763" s="886">
        <v>14054</v>
      </c>
      <c r="C763" s="886">
        <v>49378729</v>
      </c>
      <c r="D763" s="950" t="s">
        <v>2501</v>
      </c>
      <c r="E763" s="115">
        <f>B763-MOD(E$1-A763*3,B763)</f>
        <v>11999</v>
      </c>
      <c r="F763" s="644">
        <f>IF(MOD(E763,5)=0,B763,0)+E763</f>
        <v>11999</v>
      </c>
      <c r="G763" s="785">
        <f>IF(MOD(F763+$B763,5)=0,$B763,0)+$B763+F763</f>
        <v>26053</v>
      </c>
      <c r="H763" s="785">
        <f>IF(MOD(G763+$B763,5)=0,$B763,0)+$B763+G763</f>
        <v>40107</v>
      </c>
      <c r="I763" s="785">
        <f>IF(MOD(H763+$B763,5)=0,$B763,0)+$B763+H763</f>
        <v>54161</v>
      </c>
      <c r="J763" s="911">
        <v>1199</v>
      </c>
      <c r="K763" s="785">
        <v>2605</v>
      </c>
      <c r="L763" s="785">
        <v>4010</v>
      </c>
      <c r="M763" s="785">
        <v>5416</v>
      </c>
      <c r="N763" s="23" t="str">
        <f>D763&amp;FIXED(MOD(F763,10),0)</f>
        <v>hh79</v>
      </c>
      <c r="O763" s="78" t="str">
        <f>MID(A$5,((FIND(N763,A$4,1)-1)+1),4)</f>
        <v>ebd7</v>
      </c>
      <c r="P763" s="76" t="s">
        <v>0</v>
      </c>
      <c r="Q763" s="219" t="s">
        <v>0</v>
      </c>
      <c r="R763" s="103" t="s">
        <v>0</v>
      </c>
      <c r="S763" s="103" t="s">
        <v>0</v>
      </c>
      <c r="T763" s="42" t="s">
        <v>1</v>
      </c>
    </row>
    <row r="764" spans="1:20" ht="12.75">
      <c r="A764" s="44">
        <v>7039</v>
      </c>
      <c r="B764" s="886">
        <v>14078</v>
      </c>
      <c r="C764" s="886">
        <v>49547521</v>
      </c>
      <c r="D764" s="950" t="s">
        <v>2506</v>
      </c>
      <c r="E764" s="115">
        <f>B764-MOD(E$1-A764*3,B764)</f>
        <v>3137</v>
      </c>
      <c r="F764" s="644">
        <f>IF(MOD(E764,5)=0,B764,0)+E764</f>
        <v>3137</v>
      </c>
      <c r="G764" s="785">
        <f>IF(MOD(F764+$B764,5)=0,$B764,0)+$B764+F764</f>
        <v>31293</v>
      </c>
      <c r="H764" s="785">
        <f>IF(MOD(G764+$B764,5)=0,$B764,0)+$B764+G764</f>
        <v>45371</v>
      </c>
      <c r="I764" s="785">
        <f>IF(MOD(H764+$B764,5)=0,$B764,0)+$B764+H764</f>
        <v>59449</v>
      </c>
      <c r="J764" s="911">
        <v>313</v>
      </c>
      <c r="K764" s="785">
        <v>3129</v>
      </c>
      <c r="L764" s="785">
        <v>4537</v>
      </c>
      <c r="M764" s="785">
        <v>5944</v>
      </c>
      <c r="N764" s="23" t="str">
        <f>D764&amp;FIXED(MOD(F764,10),0)</f>
        <v>hh97</v>
      </c>
      <c r="O764" s="78" t="str">
        <f>MID(A$5,((FIND(N764,A$4,1)-1)+1),4)</f>
        <v>db7e</v>
      </c>
      <c r="P764" s="76" t="s">
        <v>0</v>
      </c>
      <c r="Q764" s="219" t="s">
        <v>0</v>
      </c>
      <c r="R764" s="103" t="s">
        <v>0</v>
      </c>
      <c r="S764" s="103" t="s">
        <v>0</v>
      </c>
      <c r="T764" s="42" t="s">
        <v>1</v>
      </c>
    </row>
    <row r="765" spans="1:20" ht="12.75">
      <c r="A765" s="44">
        <v>7043</v>
      </c>
      <c r="B765" s="886">
        <v>14086</v>
      </c>
      <c r="C765" s="886">
        <v>49603849</v>
      </c>
      <c r="D765" s="950" t="s">
        <v>2496</v>
      </c>
      <c r="E765" s="115">
        <f>B765-MOD(E$1-A765*3,B765)</f>
        <v>225</v>
      </c>
      <c r="F765" s="644">
        <f>IF(MOD(E765,5)=0,B765,0)+E765</f>
        <v>14311</v>
      </c>
      <c r="G765" s="785">
        <f>IF(MOD(F765+$B765,5)=0,$B765,0)+$B765+F765</f>
        <v>28397</v>
      </c>
      <c r="H765" s="785">
        <f>IF(MOD(G765+$B765,5)=0,$B765,0)+$B765+G765</f>
        <v>42483</v>
      </c>
      <c r="I765" s="785">
        <f>IF(MOD(H765+$B765,5)=0,$B765,0)+$B765+H765</f>
        <v>56569</v>
      </c>
      <c r="J765" s="911">
        <v>1431</v>
      </c>
      <c r="K765" s="785">
        <v>2839</v>
      </c>
      <c r="L765" s="785">
        <v>4248</v>
      </c>
      <c r="M765" s="785">
        <v>5656</v>
      </c>
      <c r="N765" s="23" t="str">
        <f>D765&amp;FIXED(MOD(F765,10),0)</f>
        <v>hh31</v>
      </c>
      <c r="O765" s="78" t="str">
        <f>MID(A$5,((FIND(N765,A$4,1)-1)+1),4)</f>
        <v>7dbe</v>
      </c>
      <c r="P765" s="76" t="s">
        <v>0</v>
      </c>
      <c r="Q765" s="219" t="s">
        <v>0</v>
      </c>
      <c r="R765" s="103" t="s">
        <v>0</v>
      </c>
      <c r="S765" s="103" t="s">
        <v>0</v>
      </c>
      <c r="T765" s="42" t="s">
        <v>1</v>
      </c>
    </row>
    <row r="766" spans="1:20" ht="12.75">
      <c r="A766" s="44">
        <v>7057</v>
      </c>
      <c r="B766" s="886">
        <v>14114</v>
      </c>
      <c r="C766" s="886">
        <v>49801249</v>
      </c>
      <c r="D766" s="950" t="s">
        <v>2501</v>
      </c>
      <c r="E766" s="115">
        <f>B766-MOD(E$1-A766*3,B766)</f>
        <v>9367</v>
      </c>
      <c r="F766" s="644">
        <f>IF(MOD(E766,5)=0,B766,0)+E766</f>
        <v>9367</v>
      </c>
      <c r="G766" s="785">
        <f>IF(MOD(F766+$B766,5)=0,$B766,0)+$B766+F766</f>
        <v>23481</v>
      </c>
      <c r="H766" s="785">
        <f>IF(MOD(G766+$B766,5)=0,$B766,0)+$B766+G766</f>
        <v>51709</v>
      </c>
      <c r="I766" s="785">
        <f>IF(MOD(H766+$B766,5)=0,$B766,0)+$B766+H766</f>
        <v>65823</v>
      </c>
      <c r="J766" s="911">
        <v>936</v>
      </c>
      <c r="K766" s="785">
        <v>2348</v>
      </c>
      <c r="L766" s="785">
        <v>5170</v>
      </c>
      <c r="M766" s="785">
        <v>6582</v>
      </c>
      <c r="N766" s="23" t="str">
        <f>D766&amp;FIXED(MOD(F766,10),0)</f>
        <v>hh77</v>
      </c>
      <c r="O766" s="78" t="str">
        <f>MID(A$5,((FIND(N766,A$4,1)-1)+1),4)</f>
        <v>d7eb</v>
      </c>
      <c r="P766" s="76" t="s">
        <v>0</v>
      </c>
      <c r="Q766" s="219" t="s">
        <v>0</v>
      </c>
      <c r="R766" s="103" t="s">
        <v>0</v>
      </c>
      <c r="S766" s="103" t="s">
        <v>0</v>
      </c>
      <c r="T766" s="42" t="s">
        <v>1</v>
      </c>
    </row>
    <row r="767" spans="1:20" ht="12.75">
      <c r="A767" s="44">
        <v>7069</v>
      </c>
      <c r="B767" s="886">
        <v>14138</v>
      </c>
      <c r="C767" s="886">
        <v>49970761</v>
      </c>
      <c r="D767" s="950" t="s">
        <v>2506</v>
      </c>
      <c r="E767" s="115">
        <f>B767-MOD(E$1-A767*3,B767)</f>
        <v>5421</v>
      </c>
      <c r="F767" s="644">
        <f>IF(MOD(E767,5)=0,B767,0)+E767</f>
        <v>5421</v>
      </c>
      <c r="G767" s="785">
        <f>IF(MOD(F767+$B767,5)=0,$B767,0)+$B767+F767</f>
        <v>19559</v>
      </c>
      <c r="H767" s="785">
        <f>IF(MOD(G767+$B767,5)=0,$B767,0)+$B767+G767</f>
        <v>33697</v>
      </c>
      <c r="I767" s="785">
        <f>IF(MOD(H767+$B767,5)=0,$B767,0)+$B767+H767</f>
        <v>61973</v>
      </c>
      <c r="J767" s="911">
        <v>542</v>
      </c>
      <c r="K767" s="785">
        <v>1955</v>
      </c>
      <c r="L767" s="785">
        <v>3369</v>
      </c>
      <c r="M767" s="785">
        <v>6197</v>
      </c>
      <c r="N767" s="23" t="str">
        <f>D767&amp;FIXED(MOD(F767,10),0)</f>
        <v>hh91</v>
      </c>
      <c r="O767" s="78" t="str">
        <f>MID(A$5,((FIND(N767,A$4,1)-1)+1),4)</f>
        <v>7edb</v>
      </c>
      <c r="P767" s="76" t="s">
        <v>0</v>
      </c>
      <c r="Q767" s="219" t="s">
        <v>0</v>
      </c>
      <c r="R767" s="103" t="s">
        <v>0</v>
      </c>
      <c r="S767" s="103" t="s">
        <v>0</v>
      </c>
      <c r="T767" s="42" t="s">
        <v>1</v>
      </c>
    </row>
    <row r="768" spans="1:20" ht="12.75">
      <c r="A768" s="44">
        <v>7079</v>
      </c>
      <c r="B768" s="886">
        <v>14158</v>
      </c>
      <c r="C768" s="886">
        <v>50112241</v>
      </c>
      <c r="D768" s="950" t="s">
        <v>2506</v>
      </c>
      <c r="E768" s="115">
        <f>B768-MOD(E$1-A768*3,B768)</f>
        <v>11635</v>
      </c>
      <c r="F768" s="644">
        <f>IF(MOD(E768,5)=0,B768,0)+E768</f>
        <v>25793</v>
      </c>
      <c r="G768" s="785">
        <f>IF(MOD(F768+$B768,5)=0,$B768,0)+$B768+F768</f>
        <v>39951</v>
      </c>
      <c r="H768" s="785">
        <f>IF(MOD(G768+$B768,5)=0,$B768,0)+$B768+G768</f>
        <v>54109</v>
      </c>
      <c r="I768" s="785">
        <f>IF(MOD(H768+$B768,5)=0,$B768,0)+$B768+H768</f>
        <v>68267</v>
      </c>
      <c r="J768" s="911">
        <v>2579</v>
      </c>
      <c r="K768" s="785">
        <v>3995</v>
      </c>
      <c r="L768" s="785">
        <v>5410</v>
      </c>
      <c r="M768" s="785">
        <v>6826</v>
      </c>
      <c r="N768" s="23" t="str">
        <f>D768&amp;FIXED(MOD(F768,10),0)</f>
        <v>hh93</v>
      </c>
      <c r="O768" s="78" t="str">
        <f>MID(A$5,((FIND(N768,A$4,1)-1)+1),4)</f>
        <v>b7ed</v>
      </c>
      <c r="P768" s="76" t="s">
        <v>0</v>
      </c>
      <c r="Q768" s="219" t="s">
        <v>0</v>
      </c>
      <c r="R768" s="103" t="s">
        <v>0</v>
      </c>
      <c r="S768" s="103" t="s">
        <v>0</v>
      </c>
      <c r="T768" s="42" t="s">
        <v>1</v>
      </c>
    </row>
    <row r="769" spans="1:20" ht="12.75">
      <c r="A769" s="44">
        <v>7103</v>
      </c>
      <c r="B769" s="886">
        <v>14206</v>
      </c>
      <c r="C769" s="886">
        <v>50452609</v>
      </c>
      <c r="D769" s="950" t="s">
        <v>2496</v>
      </c>
      <c r="E769" s="115">
        <f>B769-MOD(E$1-A769*3,B769)</f>
        <v>6073</v>
      </c>
      <c r="F769" s="644">
        <f>IF(MOD(E769,5)=0,B769,0)+E769</f>
        <v>6073</v>
      </c>
      <c r="G769" s="785">
        <f>IF(MOD(F769+$B769,5)=0,$B769,0)+$B769+F769</f>
        <v>20279</v>
      </c>
      <c r="H769" s="785">
        <f>IF(MOD(G769+$B769,5)=0,$B769,0)+$B769+G769</f>
        <v>48691</v>
      </c>
      <c r="I769" s="785">
        <f>IF(MOD(H769+$B769,5)=0,$B769,0)+$B769+H769</f>
        <v>62897</v>
      </c>
      <c r="J769" s="911">
        <v>607</v>
      </c>
      <c r="K769" s="785">
        <v>2027</v>
      </c>
      <c r="L769" s="785">
        <v>4869</v>
      </c>
      <c r="M769" s="785">
        <v>6289</v>
      </c>
      <c r="N769" s="23" t="str">
        <f>D769&amp;FIXED(MOD(F769,10),0)</f>
        <v>hh33</v>
      </c>
      <c r="O769" s="78" t="str">
        <f>MID(A$5,((FIND(N769,A$4,1)-1)+1),4)</f>
        <v>be7d</v>
      </c>
      <c r="P769" s="76" t="s">
        <v>0</v>
      </c>
      <c r="Q769" s="219" t="s">
        <v>0</v>
      </c>
      <c r="R769" s="103" t="s">
        <v>0</v>
      </c>
      <c r="S769" s="103" t="s">
        <v>0</v>
      </c>
      <c r="T769" s="42" t="s">
        <v>1</v>
      </c>
    </row>
    <row r="770" spans="1:20" ht="12.75">
      <c r="A770" s="44">
        <v>7109</v>
      </c>
      <c r="B770" s="886">
        <v>14218</v>
      </c>
      <c r="C770" s="886">
        <v>50537881</v>
      </c>
      <c r="D770" s="950" t="s">
        <v>2506</v>
      </c>
      <c r="E770" s="115">
        <f>B770-MOD(E$1-A770*3,B770)</f>
        <v>4741</v>
      </c>
      <c r="F770" s="644">
        <f>IF(MOD(E770,5)=0,B770,0)+E770</f>
        <v>4741</v>
      </c>
      <c r="G770" s="785">
        <f>IF(MOD(F770+$B770,5)=0,$B770,0)+$B770+F770</f>
        <v>18959</v>
      </c>
      <c r="H770" s="785">
        <f>IF(MOD(G770+$B770,5)=0,$B770,0)+$B770+G770</f>
        <v>33177</v>
      </c>
      <c r="I770" s="785">
        <f>IF(MOD(H770+$B770,5)=0,$B770,0)+$B770+H770</f>
        <v>61613</v>
      </c>
      <c r="J770" s="911">
        <v>474</v>
      </c>
      <c r="K770" s="785">
        <v>1895</v>
      </c>
      <c r="L770" s="785">
        <v>3317</v>
      </c>
      <c r="M770" s="785">
        <v>6161</v>
      </c>
      <c r="N770" s="23" t="str">
        <f>D770&amp;FIXED(MOD(F770,10),0)</f>
        <v>hh91</v>
      </c>
      <c r="O770" s="78" t="str">
        <f>MID(A$5,((FIND(N770,A$4,1)-1)+1),4)</f>
        <v>7edb</v>
      </c>
      <c r="P770" s="76" t="s">
        <v>0</v>
      </c>
      <c r="Q770" s="219" t="s">
        <v>0</v>
      </c>
      <c r="R770" s="103" t="s">
        <v>0</v>
      </c>
      <c r="S770" s="103" t="s">
        <v>0</v>
      </c>
      <c r="T770" s="42" t="s">
        <v>1</v>
      </c>
    </row>
    <row r="771" spans="1:20" ht="12.75">
      <c r="A771" s="44">
        <v>7121</v>
      </c>
      <c r="B771" s="886">
        <v>14242</v>
      </c>
      <c r="C771" s="886">
        <v>50708641</v>
      </c>
      <c r="D771" s="950" t="s">
        <v>2490</v>
      </c>
      <c r="E771" s="115">
        <f>B771-MOD(E$1-A771*3,B771)</f>
        <v>4525</v>
      </c>
      <c r="F771" s="644">
        <f>IF(MOD(E771,5)=0,B771,0)+E771</f>
        <v>18767</v>
      </c>
      <c r="G771" s="785">
        <f>IF(MOD(F771+$B771,5)=0,$B771,0)+$B771+F771</f>
        <v>33009</v>
      </c>
      <c r="H771" s="785">
        <f>IF(MOD(G771+$B771,5)=0,$B771,0)+$B771+G771</f>
        <v>47251</v>
      </c>
      <c r="I771" s="785">
        <f>IF(MOD(H771+$B771,5)=0,$B771,0)+$B771+H771</f>
        <v>61493</v>
      </c>
      <c r="J771" s="911">
        <v>1876</v>
      </c>
      <c r="K771" s="785">
        <v>3300</v>
      </c>
      <c r="L771" s="785">
        <v>4725</v>
      </c>
      <c r="M771" s="785">
        <v>6149</v>
      </c>
      <c r="N771" s="23" t="str">
        <f>D771&amp;FIXED(MOD(F771,10),0)</f>
        <v>hh17</v>
      </c>
      <c r="O771" s="78" t="str">
        <f>MID(A$5,((FIND(N771,A$4,1)-1)+1),4)</f>
        <v>de7b</v>
      </c>
      <c r="P771" s="76" t="s">
        <v>0</v>
      </c>
      <c r="Q771" s="219" t="s">
        <v>0</v>
      </c>
      <c r="R771" s="103" t="s">
        <v>0</v>
      </c>
      <c r="S771" s="103" t="s">
        <v>0</v>
      </c>
      <c r="T771" s="42" t="s">
        <v>1</v>
      </c>
    </row>
    <row r="772" spans="1:20" ht="12.75">
      <c r="A772" s="44">
        <v>7127</v>
      </c>
      <c r="B772" s="886">
        <v>14254</v>
      </c>
      <c r="C772" s="886">
        <v>50794129</v>
      </c>
      <c r="D772" s="950" t="s">
        <v>2501</v>
      </c>
      <c r="E772" s="115">
        <f>B772-MOD(E$1-A772*3,B772)</f>
        <v>9961</v>
      </c>
      <c r="F772" s="644">
        <f>IF(MOD(E772,5)=0,B772,0)+E772</f>
        <v>9961</v>
      </c>
      <c r="G772" s="785">
        <f>IF(MOD(F772+$B772,5)=0,$B772,0)+$B772+F772</f>
        <v>38469</v>
      </c>
      <c r="H772" s="785">
        <f>IF(MOD(G772+$B772,5)=0,$B772,0)+$B772+G772</f>
        <v>52723</v>
      </c>
      <c r="I772" s="785">
        <f>IF(MOD(H772+$B772,5)=0,$B772,0)+$B772+H772</f>
        <v>66977</v>
      </c>
      <c r="J772" s="911">
        <v>996</v>
      </c>
      <c r="K772" s="785">
        <v>3846</v>
      </c>
      <c r="L772" s="785">
        <v>5272</v>
      </c>
      <c r="M772" s="785">
        <v>6697</v>
      </c>
      <c r="N772" s="23" t="str">
        <f>D772&amp;FIXED(MOD(F772,10),0)</f>
        <v>hh71</v>
      </c>
      <c r="O772" s="78" t="str">
        <f>MID(A$5,((FIND(N772,A$4,1)-1)+1),4)</f>
        <v>7ebd</v>
      </c>
      <c r="P772" s="76" t="s">
        <v>0</v>
      </c>
      <c r="Q772" s="219" t="s">
        <v>0</v>
      </c>
      <c r="R772" s="103" t="s">
        <v>0</v>
      </c>
      <c r="S772" s="103" t="s">
        <v>0</v>
      </c>
      <c r="T772" s="42" t="s">
        <v>1</v>
      </c>
    </row>
    <row r="773" spans="1:20" ht="12.75">
      <c r="A773" s="44">
        <v>7129</v>
      </c>
      <c r="B773" s="886">
        <v>14258</v>
      </c>
      <c r="C773" s="886">
        <v>50822641</v>
      </c>
      <c r="D773" s="950" t="s">
        <v>2506</v>
      </c>
      <c r="E773" s="115">
        <f>B773-MOD(E$1-A773*3,B773)</f>
        <v>8375</v>
      </c>
      <c r="F773" s="644">
        <f>IF(MOD(E773,5)=0,B773,0)+E773</f>
        <v>22633</v>
      </c>
      <c r="G773" s="785">
        <f>IF(MOD(F773+$B773,5)=0,$B773,0)+$B773+F773</f>
        <v>36891</v>
      </c>
      <c r="H773" s="785">
        <f>IF(MOD(G773+$B773,5)=0,$B773,0)+$B773+G773</f>
        <v>51149</v>
      </c>
      <c r="I773" s="785">
        <f>IF(MOD(H773+$B773,5)=0,$B773,0)+$B773+H773</f>
        <v>65407</v>
      </c>
      <c r="J773" s="911">
        <v>2263</v>
      </c>
      <c r="K773" s="785">
        <v>3689</v>
      </c>
      <c r="L773" s="785">
        <v>5114</v>
      </c>
      <c r="M773" s="785">
        <v>6540</v>
      </c>
      <c r="N773" s="23" t="str">
        <f>D773&amp;FIXED(MOD(F773,10),0)</f>
        <v>hh93</v>
      </c>
      <c r="O773" s="78" t="str">
        <f>MID(A$5,((FIND(N773,A$4,1)-1)+1),4)</f>
        <v>b7ed</v>
      </c>
      <c r="P773" s="76" t="s">
        <v>0</v>
      </c>
      <c r="Q773" s="219" t="s">
        <v>0</v>
      </c>
      <c r="R773" s="103" t="s">
        <v>0</v>
      </c>
      <c r="S773" s="103" t="s">
        <v>0</v>
      </c>
      <c r="T773" s="42" t="s">
        <v>1</v>
      </c>
    </row>
    <row r="774" spans="1:20" ht="12.75">
      <c r="A774" s="44">
        <v>7151</v>
      </c>
      <c r="B774" s="886">
        <v>14302</v>
      </c>
      <c r="C774" s="886">
        <v>51136801</v>
      </c>
      <c r="D774" s="950" t="s">
        <v>2490</v>
      </c>
      <c r="E774" s="115">
        <f>B774-MOD(E$1-A774*3,B774)</f>
        <v>4649</v>
      </c>
      <c r="F774" s="644">
        <f>IF(MOD(E774,5)=0,B774,0)+E774</f>
        <v>4649</v>
      </c>
      <c r="G774" s="785">
        <f>IF(MOD(F774+$B774,5)=0,$B774,0)+$B774+F774</f>
        <v>18951</v>
      </c>
      <c r="H774" s="785">
        <f>IF(MOD(G774+$B774,5)=0,$B774,0)+$B774+G774</f>
        <v>33253</v>
      </c>
      <c r="I774" s="785">
        <f>IF(MOD(H774+$B774,5)=0,$B774,0)+$B774+H774</f>
        <v>61857</v>
      </c>
      <c r="J774" s="911">
        <v>464</v>
      </c>
      <c r="K774" s="785">
        <v>1895</v>
      </c>
      <c r="L774" s="785">
        <v>3325</v>
      </c>
      <c r="M774" s="785">
        <v>6185</v>
      </c>
      <c r="N774" s="23" t="str">
        <f>D774&amp;FIXED(MOD(F774,10),0)</f>
        <v>hh19</v>
      </c>
      <c r="O774" s="78" t="str">
        <f>MID(A$5,((FIND(N774,A$4,1)-1)+1),4)</f>
        <v>e7bd</v>
      </c>
      <c r="P774" s="76" t="s">
        <v>0</v>
      </c>
      <c r="Q774" s="219" t="s">
        <v>0</v>
      </c>
      <c r="R774" s="103" t="s">
        <v>0</v>
      </c>
      <c r="S774" s="103" t="s">
        <v>0</v>
      </c>
      <c r="T774" s="42" t="s">
        <v>1</v>
      </c>
    </row>
    <row r="775" spans="1:20" ht="12.75">
      <c r="A775" s="44">
        <v>7159</v>
      </c>
      <c r="B775" s="886">
        <v>14318</v>
      </c>
      <c r="C775" s="886">
        <v>51251281</v>
      </c>
      <c r="D775" s="950" t="s">
        <v>2506</v>
      </c>
      <c r="E775" s="115">
        <f>B775-MOD(E$1-A775*3,B775)</f>
        <v>11801</v>
      </c>
      <c r="F775" s="644">
        <f>IF(MOD(E775,5)=0,B775,0)+E775</f>
        <v>11801</v>
      </c>
      <c r="G775" s="785">
        <f>IF(MOD(F775+$B775,5)=0,$B775,0)+$B775+F775</f>
        <v>26119</v>
      </c>
      <c r="H775" s="785">
        <f>IF(MOD(G775+$B775,5)=0,$B775,0)+$B775+G775</f>
        <v>40437</v>
      </c>
      <c r="I775" s="785">
        <f>IF(MOD(H775+$B775,5)=0,$B775,0)+$B775+H775</f>
        <v>69073</v>
      </c>
      <c r="J775" s="911">
        <v>1180</v>
      </c>
      <c r="K775" s="785">
        <v>2611</v>
      </c>
      <c r="L775" s="785">
        <v>4043</v>
      </c>
      <c r="M775" s="785">
        <v>6907</v>
      </c>
      <c r="N775" s="23" t="str">
        <f>D775&amp;FIXED(MOD(F775,10),0)</f>
        <v>hh91</v>
      </c>
      <c r="O775" s="78" t="str">
        <f>MID(A$5,((FIND(N775,A$4,1)-1)+1),4)</f>
        <v>7edb</v>
      </c>
      <c r="P775" s="76" t="s">
        <v>0</v>
      </c>
      <c r="Q775" s="219" t="s">
        <v>0</v>
      </c>
      <c r="R775" s="103" t="s">
        <v>0</v>
      </c>
      <c r="S775" s="103" t="s">
        <v>0</v>
      </c>
      <c r="T775" s="42" t="s">
        <v>1</v>
      </c>
    </row>
    <row r="776" spans="1:20" ht="12.75">
      <c r="A776" s="44">
        <v>7177</v>
      </c>
      <c r="B776" s="886">
        <v>14354</v>
      </c>
      <c r="C776" s="886">
        <v>51509329</v>
      </c>
      <c r="D776" s="950" t="s">
        <v>2501</v>
      </c>
      <c r="E776" s="115">
        <f>B776-MOD(E$1-A776*3,B776)</f>
        <v>9153</v>
      </c>
      <c r="F776" s="644">
        <f>IF(MOD(E776,5)=0,B776,0)+E776</f>
        <v>9153</v>
      </c>
      <c r="G776" s="785">
        <f>IF(MOD(F776+$B776,5)=0,$B776,0)+$B776+F776</f>
        <v>23507</v>
      </c>
      <c r="H776" s="785">
        <f>IF(MOD(G776+$B776,5)=0,$B776,0)+$B776+G776</f>
        <v>37861</v>
      </c>
      <c r="I776" s="785">
        <f>IF(MOD(H776+$B776,5)=0,$B776,0)+$B776+H776</f>
        <v>66569</v>
      </c>
      <c r="J776" s="911">
        <v>915</v>
      </c>
      <c r="K776" s="785">
        <v>2350</v>
      </c>
      <c r="L776" s="785">
        <v>3786</v>
      </c>
      <c r="M776" s="785">
        <v>6656</v>
      </c>
      <c r="N776" s="23" t="str">
        <f>D776&amp;FIXED(MOD(F776,10),0)</f>
        <v>hh73</v>
      </c>
      <c r="O776" s="78" t="str">
        <f>MID(A$5,((FIND(N776,A$4,1)-1)+1),4)</f>
        <v>bd7e</v>
      </c>
      <c r="P776" s="76" t="s">
        <v>0</v>
      </c>
      <c r="Q776" s="219" t="s">
        <v>0</v>
      </c>
      <c r="R776" s="103" t="s">
        <v>0</v>
      </c>
      <c r="S776" s="103" t="s">
        <v>0</v>
      </c>
      <c r="T776" s="42" t="s">
        <v>1</v>
      </c>
    </row>
    <row r="777" spans="1:20" ht="12.75">
      <c r="A777" s="44">
        <v>7187</v>
      </c>
      <c r="B777" s="886">
        <v>14374</v>
      </c>
      <c r="C777" s="886">
        <v>51652969</v>
      </c>
      <c r="D777" s="950" t="s">
        <v>2501</v>
      </c>
      <c r="E777" s="115">
        <f>B777-MOD(E$1-A777*3,B777)</f>
        <v>6205</v>
      </c>
      <c r="F777" s="644">
        <f>IF(MOD(E777,5)=0,B777,0)+E777</f>
        <v>20579</v>
      </c>
      <c r="G777" s="785">
        <f>IF(MOD(F777+$B777,5)=0,$B777,0)+$B777+F777</f>
        <v>34953</v>
      </c>
      <c r="H777" s="785">
        <f>IF(MOD(G777+$B777,5)=0,$B777,0)+$B777+G777</f>
        <v>49327</v>
      </c>
      <c r="I777" s="785">
        <f>IF(MOD(H777+$B777,5)=0,$B777,0)+$B777+H777</f>
        <v>63701</v>
      </c>
      <c r="J777" s="911">
        <v>2057</v>
      </c>
      <c r="K777" s="785">
        <v>3495</v>
      </c>
      <c r="L777" s="785">
        <v>4932</v>
      </c>
      <c r="M777" s="785">
        <v>6370</v>
      </c>
      <c r="N777" s="23" t="str">
        <f>D777&amp;FIXED(MOD(F777,10),0)</f>
        <v>hh79</v>
      </c>
      <c r="O777" s="78" t="str">
        <f>MID(A$5,((FIND(N777,A$4,1)-1)+1),4)</f>
        <v>ebd7</v>
      </c>
      <c r="P777" s="76" t="s">
        <v>0</v>
      </c>
      <c r="Q777" s="219" t="s">
        <v>0</v>
      </c>
      <c r="R777" s="103" t="s">
        <v>0</v>
      </c>
      <c r="S777" s="103" t="s">
        <v>0</v>
      </c>
      <c r="T777" s="42" t="s">
        <v>1</v>
      </c>
    </row>
    <row r="778" spans="1:20" ht="12.75">
      <c r="A778" s="44">
        <v>7193</v>
      </c>
      <c r="B778" s="886">
        <v>14386</v>
      </c>
      <c r="C778" s="886">
        <v>51739249</v>
      </c>
      <c r="D778" s="950" t="s">
        <v>2496</v>
      </c>
      <c r="E778" s="115">
        <f>B778-MOD(E$1-A778*3,B778)</f>
        <v>725</v>
      </c>
      <c r="F778" s="644">
        <f>IF(MOD(E778,5)=0,B778,0)+E778</f>
        <v>15111</v>
      </c>
      <c r="G778" s="785">
        <f>IF(MOD(F778+$B778,5)=0,$B778,0)+$B778+F778</f>
        <v>29497</v>
      </c>
      <c r="H778" s="785">
        <f>IF(MOD(G778+$B778,5)=0,$B778,0)+$B778+G778</f>
        <v>43883</v>
      </c>
      <c r="I778" s="785">
        <f>IF(MOD(H778+$B778,5)=0,$B778,0)+$B778+H778</f>
        <v>58269</v>
      </c>
      <c r="J778" s="911">
        <v>1511</v>
      </c>
      <c r="K778" s="785">
        <v>2949</v>
      </c>
      <c r="L778" s="785">
        <v>4388</v>
      </c>
      <c r="M778" s="785">
        <v>5826</v>
      </c>
      <c r="N778" s="23" t="str">
        <f>D778&amp;FIXED(MOD(F778,10),0)</f>
        <v>hh31</v>
      </c>
      <c r="O778" s="78" t="str">
        <f>MID(A$5,((FIND(N778,A$4,1)-1)+1),4)</f>
        <v>7dbe</v>
      </c>
      <c r="P778" s="76" t="s">
        <v>0</v>
      </c>
      <c r="Q778" s="219" t="s">
        <v>0</v>
      </c>
      <c r="R778" s="103" t="s">
        <v>0</v>
      </c>
      <c r="S778" s="103" t="s">
        <v>0</v>
      </c>
      <c r="T778" s="42" t="s">
        <v>1</v>
      </c>
    </row>
    <row r="779" spans="1:20" ht="12.75">
      <c r="A779" s="44">
        <v>7207</v>
      </c>
      <c r="B779" s="886">
        <v>14414</v>
      </c>
      <c r="C779" s="886">
        <v>51940849</v>
      </c>
      <c r="D779" s="950" t="s">
        <v>2501</v>
      </c>
      <c r="E779" s="115">
        <f>B779-MOD(E$1-A779*3,B779)</f>
        <v>12245</v>
      </c>
      <c r="F779" s="644">
        <f>IF(MOD(E779,5)=0,B779,0)+E779</f>
        <v>26659</v>
      </c>
      <c r="G779" s="785">
        <f>IF(MOD(F779+$B779,5)=0,$B779,0)+$B779+F779</f>
        <v>41073</v>
      </c>
      <c r="H779" s="785">
        <f>IF(MOD(G779+$B779,5)=0,$B779,0)+$B779+G779</f>
        <v>55487</v>
      </c>
      <c r="I779" s="785">
        <f>IF(MOD(H779+$B779,5)=0,$B779,0)+$B779+H779</f>
        <v>69901</v>
      </c>
      <c r="J779" s="911">
        <v>2665</v>
      </c>
      <c r="K779" s="785">
        <v>4107</v>
      </c>
      <c r="L779" s="785">
        <v>5548</v>
      </c>
      <c r="M779" s="785">
        <v>6990</v>
      </c>
      <c r="N779" s="23" t="str">
        <f>D779&amp;FIXED(MOD(F779,10),0)</f>
        <v>hh79</v>
      </c>
      <c r="O779" s="78" t="str">
        <f>MID(A$5,((FIND(N779,A$4,1)-1)+1),4)</f>
        <v>ebd7</v>
      </c>
      <c r="P779" s="76" t="s">
        <v>0</v>
      </c>
      <c r="Q779" s="219" t="s">
        <v>0</v>
      </c>
      <c r="R779" s="103" t="s">
        <v>0</v>
      </c>
      <c r="S779" s="103" t="s">
        <v>0</v>
      </c>
      <c r="T779" s="42" t="s">
        <v>1</v>
      </c>
    </row>
    <row r="780" spans="1:20" ht="12.75">
      <c r="A780" s="44">
        <v>7211</v>
      </c>
      <c r="B780" s="886">
        <v>14422</v>
      </c>
      <c r="C780" s="886">
        <v>51998521</v>
      </c>
      <c r="D780" s="950" t="s">
        <v>2490</v>
      </c>
      <c r="E780" s="115">
        <f>B780-MOD(E$1-A780*3,B780)</f>
        <v>14283</v>
      </c>
      <c r="F780" s="644">
        <f>IF(MOD(E780,5)=0,B780,0)+E780</f>
        <v>14283</v>
      </c>
      <c r="G780" s="785">
        <f>IF(MOD(F780+$B780,5)=0,$B780,0)+$B780+F780</f>
        <v>43127</v>
      </c>
      <c r="H780" s="785">
        <f>IF(MOD(G780+$B780,5)=0,$B780,0)+$B780+G780</f>
        <v>57549</v>
      </c>
      <c r="I780" s="785">
        <f>IF(MOD(H780+$B780,5)=0,$B780,0)+$B780+H780</f>
        <v>71971</v>
      </c>
      <c r="J780" s="911">
        <v>1428</v>
      </c>
      <c r="K780" s="785">
        <v>4312</v>
      </c>
      <c r="L780" s="785">
        <v>5754</v>
      </c>
      <c r="M780" s="785">
        <v>7197</v>
      </c>
      <c r="N780" s="23" t="str">
        <f>D780&amp;FIXED(MOD(F780,10),0)</f>
        <v>hh13</v>
      </c>
      <c r="O780" s="78" t="str">
        <f>MID(A$5,((FIND(N780,A$4,1)-1)+1),4)</f>
        <v>bde7</v>
      </c>
      <c r="P780" s="76" t="s">
        <v>0</v>
      </c>
      <c r="Q780" s="219" t="s">
        <v>0</v>
      </c>
      <c r="R780" s="103" t="s">
        <v>0</v>
      </c>
      <c r="S780" s="103" t="s">
        <v>0</v>
      </c>
      <c r="T780" s="42" t="s">
        <v>1</v>
      </c>
    </row>
    <row r="781" spans="1:20" ht="12.75">
      <c r="A781" s="44">
        <v>7213</v>
      </c>
      <c r="B781" s="886">
        <v>14426</v>
      </c>
      <c r="C781" s="886">
        <v>52027369</v>
      </c>
      <c r="D781" s="950" t="s">
        <v>2496</v>
      </c>
      <c r="E781" s="115">
        <f>B781-MOD(E$1-A781*3,B781)</f>
        <v>14103</v>
      </c>
      <c r="F781" s="644">
        <f>IF(MOD(E781,5)=0,B781,0)+E781</f>
        <v>14103</v>
      </c>
      <c r="G781" s="785">
        <f>IF(MOD(F781+$B781,5)=0,$B781,0)+$B781+F781</f>
        <v>28529</v>
      </c>
      <c r="H781" s="785">
        <f>IF(MOD(G781+$B781,5)=0,$B781,0)+$B781+G781</f>
        <v>57381</v>
      </c>
      <c r="I781" s="785">
        <f>IF(MOD(H781+$B781,5)=0,$B781,0)+$B781+H781</f>
        <v>71807</v>
      </c>
      <c r="J781" s="911">
        <v>1410</v>
      </c>
      <c r="K781" s="785">
        <v>2852</v>
      </c>
      <c r="L781" s="785">
        <v>5738</v>
      </c>
      <c r="M781" s="785">
        <v>7180</v>
      </c>
      <c r="N781" s="23" t="str">
        <f>D781&amp;FIXED(MOD(F781,10),0)</f>
        <v>hh33</v>
      </c>
      <c r="O781" s="78" t="str">
        <f>MID(A$5,((FIND(N781,A$4,1)-1)+1),4)</f>
        <v>be7d</v>
      </c>
      <c r="P781" s="76" t="s">
        <v>0</v>
      </c>
      <c r="Q781" s="219" t="s">
        <v>0</v>
      </c>
      <c r="R781" s="103" t="s">
        <v>0</v>
      </c>
      <c r="S781" s="103" t="s">
        <v>0</v>
      </c>
      <c r="T781" s="42" t="s">
        <v>1</v>
      </c>
    </row>
    <row r="782" spans="1:20" ht="12.75">
      <c r="A782" s="44">
        <v>7219</v>
      </c>
      <c r="B782" s="886">
        <v>14438</v>
      </c>
      <c r="C782" s="886">
        <v>52113961</v>
      </c>
      <c r="D782" s="950" t="s">
        <v>2506</v>
      </c>
      <c r="E782" s="115">
        <f>B782-MOD(E$1-A782*3,B782)</f>
        <v>9679</v>
      </c>
      <c r="F782" s="644">
        <f>IF(MOD(E782,5)=0,B782,0)+E782</f>
        <v>9679</v>
      </c>
      <c r="G782" s="785">
        <f>IF(MOD(F782+$B782,5)=0,$B782,0)+$B782+F782</f>
        <v>24117</v>
      </c>
      <c r="H782" s="785">
        <f>IF(MOD(G782+$B782,5)=0,$B782,0)+$B782+G782</f>
        <v>52993</v>
      </c>
      <c r="I782" s="785">
        <f>IF(MOD(H782+$B782,5)=0,$B782,0)+$B782+H782</f>
        <v>67431</v>
      </c>
      <c r="J782" s="911">
        <v>967</v>
      </c>
      <c r="K782" s="785">
        <v>2411</v>
      </c>
      <c r="L782" s="785">
        <v>5299</v>
      </c>
      <c r="M782" s="785">
        <v>6743</v>
      </c>
      <c r="N782" s="23" t="str">
        <f>D782&amp;FIXED(MOD(F782,10),0)</f>
        <v>hh99</v>
      </c>
      <c r="O782" s="78" t="str">
        <f>MID(A$5,((FIND(N782,A$4,1)-1)+1),4)</f>
        <v>edb7</v>
      </c>
      <c r="P782" s="76" t="s">
        <v>0</v>
      </c>
      <c r="Q782" s="219" t="s">
        <v>0</v>
      </c>
      <c r="R782" s="103" t="s">
        <v>0</v>
      </c>
      <c r="S782" s="103" t="s">
        <v>0</v>
      </c>
      <c r="T782" s="42" t="s">
        <v>1</v>
      </c>
    </row>
    <row r="783" spans="1:20" ht="12.75">
      <c r="A783" s="44">
        <v>7229</v>
      </c>
      <c r="B783" s="886">
        <v>14458</v>
      </c>
      <c r="C783" s="886">
        <v>52258441</v>
      </c>
      <c r="D783" s="950" t="s">
        <v>2506</v>
      </c>
      <c r="E783" s="115">
        <f>B783-MOD(E$1-A783*3,B783)</f>
        <v>8377</v>
      </c>
      <c r="F783" s="644">
        <f>IF(MOD(E783,5)=0,B783,0)+E783</f>
        <v>8377</v>
      </c>
      <c r="G783" s="785">
        <f>IF(MOD(F783+$B783,5)=0,$B783,0)+$B783+F783</f>
        <v>37293</v>
      </c>
      <c r="H783" s="785">
        <f>IF(MOD(G783+$B783,5)=0,$B783,0)+$B783+G783</f>
        <v>51751</v>
      </c>
      <c r="I783" s="785">
        <f>IF(MOD(H783+$B783,5)=0,$B783,0)+$B783+H783</f>
        <v>66209</v>
      </c>
      <c r="J783" s="911">
        <v>837</v>
      </c>
      <c r="K783" s="785">
        <v>3729</v>
      </c>
      <c r="L783" s="785">
        <v>5175</v>
      </c>
      <c r="M783" s="785">
        <v>6620</v>
      </c>
      <c r="N783" s="23" t="str">
        <f>D783&amp;FIXED(MOD(F783,10),0)</f>
        <v>hh97</v>
      </c>
      <c r="O783" s="78" t="str">
        <f>MID(A$5,((FIND(N783,A$4,1)-1)+1),4)</f>
        <v>db7e</v>
      </c>
      <c r="P783" s="76" t="s">
        <v>0</v>
      </c>
      <c r="Q783" s="219" t="s">
        <v>0</v>
      </c>
      <c r="R783" s="103" t="s">
        <v>0</v>
      </c>
      <c r="S783" s="103" t="s">
        <v>0</v>
      </c>
      <c r="T783" s="42" t="s">
        <v>1</v>
      </c>
    </row>
    <row r="784" spans="1:20" ht="12.75">
      <c r="A784" s="44">
        <v>7237</v>
      </c>
      <c r="B784" s="886">
        <v>14474</v>
      </c>
      <c r="C784" s="886">
        <v>52374169</v>
      </c>
      <c r="D784" s="950" t="s">
        <v>2501</v>
      </c>
      <c r="E784" s="115">
        <f>B784-MOD(E$1-A784*3,B784)</f>
        <v>8183</v>
      </c>
      <c r="F784" s="644">
        <f>IF(MOD(E784,5)=0,B784,0)+E784</f>
        <v>8183</v>
      </c>
      <c r="G784" s="785">
        <f>IF(MOD(F784+$B784,5)=0,$B784,0)+$B784+F784</f>
        <v>22657</v>
      </c>
      <c r="H784" s="785">
        <f>IF(MOD(G784+$B784,5)=0,$B784,0)+$B784+G784</f>
        <v>37131</v>
      </c>
      <c r="I784" s="785">
        <f>IF(MOD(H784+$B784,5)=0,$B784,0)+$B784+H784</f>
        <v>66079</v>
      </c>
      <c r="J784" s="911">
        <v>818</v>
      </c>
      <c r="K784" s="785">
        <v>2265</v>
      </c>
      <c r="L784" s="785">
        <v>3713</v>
      </c>
      <c r="M784" s="785">
        <v>6607</v>
      </c>
      <c r="N784" s="23" t="str">
        <f>D784&amp;FIXED(MOD(F784,10),0)</f>
        <v>hh73</v>
      </c>
      <c r="O784" s="78" t="str">
        <f>MID(A$5,((FIND(N784,A$4,1)-1)+1),4)</f>
        <v>bd7e</v>
      </c>
      <c r="P784" s="76" t="s">
        <v>0</v>
      </c>
      <c r="Q784" s="219" t="s">
        <v>0</v>
      </c>
      <c r="R784" s="103" t="s">
        <v>0</v>
      </c>
      <c r="S784" s="103" t="s">
        <v>0</v>
      </c>
      <c r="T784" s="42" t="s">
        <v>1</v>
      </c>
    </row>
    <row r="785" spans="1:20" ht="12.75">
      <c r="A785" s="44">
        <v>7243</v>
      </c>
      <c r="B785" s="886">
        <v>14486</v>
      </c>
      <c r="C785" s="886">
        <v>52461049</v>
      </c>
      <c r="D785" s="950" t="s">
        <v>2496</v>
      </c>
      <c r="E785" s="115">
        <f>B785-MOD(E$1-A785*3,B785)</f>
        <v>13661</v>
      </c>
      <c r="F785" s="644">
        <f>IF(MOD(E785,5)=0,B785,0)+E785</f>
        <v>13661</v>
      </c>
      <c r="G785" s="785">
        <f>IF(MOD(F785+$B785,5)=0,$B785,0)+$B785+F785</f>
        <v>28147</v>
      </c>
      <c r="H785" s="785">
        <f>IF(MOD(G785+$B785,5)=0,$B785,0)+$B785+G785</f>
        <v>42633</v>
      </c>
      <c r="I785" s="785">
        <f>IF(MOD(H785+$B785,5)=0,$B785,0)+$B785+H785</f>
        <v>57119</v>
      </c>
      <c r="J785" s="911">
        <v>1366</v>
      </c>
      <c r="K785" s="785">
        <v>2814</v>
      </c>
      <c r="L785" s="785">
        <v>4263</v>
      </c>
      <c r="M785" s="785">
        <v>5711</v>
      </c>
      <c r="N785" s="23" t="str">
        <f>D785&amp;FIXED(MOD(F785,10),0)</f>
        <v>hh31</v>
      </c>
      <c r="O785" s="78" t="str">
        <f>MID(A$5,((FIND(N785,A$4,1)-1)+1),4)</f>
        <v>7dbe</v>
      </c>
      <c r="P785" s="76" t="s">
        <v>0</v>
      </c>
      <c r="Q785" s="219" t="s">
        <v>0</v>
      </c>
      <c r="R785" s="103" t="s">
        <v>0</v>
      </c>
      <c r="S785" s="103" t="s">
        <v>0</v>
      </c>
      <c r="T785" s="42" t="s">
        <v>1</v>
      </c>
    </row>
    <row r="786" spans="1:20" ht="12.75">
      <c r="A786" s="44">
        <v>7247</v>
      </c>
      <c r="B786" s="886">
        <v>14494</v>
      </c>
      <c r="C786" s="886">
        <v>52519009</v>
      </c>
      <c r="D786" s="950" t="s">
        <v>2501</v>
      </c>
      <c r="E786" s="115">
        <f>B786-MOD(E$1-A786*3,B786)</f>
        <v>9747</v>
      </c>
      <c r="F786" s="644">
        <f>IF(MOD(E786,5)=0,B786,0)+E786</f>
        <v>9747</v>
      </c>
      <c r="G786" s="785">
        <f>IF(MOD(F786+$B786,5)=0,$B786,0)+$B786+F786</f>
        <v>24241</v>
      </c>
      <c r="H786" s="785">
        <f>IF(MOD(G786+$B786,5)=0,$B786,0)+$B786+G786</f>
        <v>53229</v>
      </c>
      <c r="I786" s="785">
        <f>IF(MOD(H786+$B786,5)=0,$B786,0)+$B786+H786</f>
        <v>67723</v>
      </c>
      <c r="J786" s="911">
        <v>974</v>
      </c>
      <c r="K786" s="785">
        <v>2424</v>
      </c>
      <c r="L786" s="785">
        <v>5322</v>
      </c>
      <c r="M786" s="785">
        <v>6772</v>
      </c>
      <c r="N786" s="23" t="str">
        <f>D786&amp;FIXED(MOD(F786,10),0)</f>
        <v>hh77</v>
      </c>
      <c r="O786" s="78" t="str">
        <f>MID(A$5,((FIND(N786,A$4,1)-1)+1),4)</f>
        <v>d7eb</v>
      </c>
      <c r="P786" s="76" t="s">
        <v>0</v>
      </c>
      <c r="Q786" s="219" t="s">
        <v>0</v>
      </c>
      <c r="R786" s="103" t="s">
        <v>0</v>
      </c>
      <c r="S786" s="103" t="s">
        <v>0</v>
      </c>
      <c r="T786" s="42" t="s">
        <v>1</v>
      </c>
    </row>
    <row r="787" spans="1:20" ht="12.75">
      <c r="A787" s="44">
        <v>7253</v>
      </c>
      <c r="B787" s="886">
        <v>14506</v>
      </c>
      <c r="C787" s="886">
        <v>52606009</v>
      </c>
      <c r="D787" s="950" t="s">
        <v>2496</v>
      </c>
      <c r="E787" s="115">
        <f>B787-MOD(E$1-A787*3,B787)</f>
        <v>8521</v>
      </c>
      <c r="F787" s="644">
        <f>IF(MOD(E787,5)=0,B787,0)+E787</f>
        <v>8521</v>
      </c>
      <c r="G787" s="785">
        <f>IF(MOD(F787+$B787,5)=0,$B787,0)+$B787+F787</f>
        <v>23027</v>
      </c>
      <c r="H787" s="785">
        <f>IF(MOD(G787+$B787,5)=0,$B787,0)+$B787+G787</f>
        <v>37533</v>
      </c>
      <c r="I787" s="785">
        <f>IF(MOD(H787+$B787,5)=0,$B787,0)+$B787+H787</f>
        <v>52039</v>
      </c>
      <c r="J787" s="911">
        <v>852</v>
      </c>
      <c r="K787" s="785">
        <v>2302</v>
      </c>
      <c r="L787" s="785">
        <v>3753</v>
      </c>
      <c r="M787" s="785">
        <v>5203</v>
      </c>
      <c r="N787" s="23" t="str">
        <f>D787&amp;FIXED(MOD(F787,10),0)</f>
        <v>hh31</v>
      </c>
      <c r="O787" s="78" t="str">
        <f>MID(A$5,((FIND(N787,A$4,1)-1)+1),4)</f>
        <v>7dbe</v>
      </c>
      <c r="P787" s="76" t="s">
        <v>0</v>
      </c>
      <c r="Q787" s="219" t="s">
        <v>0</v>
      </c>
      <c r="R787" s="103" t="s">
        <v>0</v>
      </c>
      <c r="S787" s="103" t="s">
        <v>0</v>
      </c>
      <c r="T787" s="42" t="s">
        <v>1</v>
      </c>
    </row>
    <row r="788" spans="1:20" ht="12.75">
      <c r="A788" s="44">
        <v>7283</v>
      </c>
      <c r="B788" s="886">
        <v>14566</v>
      </c>
      <c r="C788" s="886">
        <v>53042089</v>
      </c>
      <c r="D788" s="950" t="s">
        <v>2496</v>
      </c>
      <c r="E788" s="115">
        <f>B788-MOD(E$1-A788*3,B788)</f>
        <v>8741</v>
      </c>
      <c r="F788" s="644">
        <f>IF(MOD(E788,5)=0,B788,0)+E788</f>
        <v>8741</v>
      </c>
      <c r="G788" s="785">
        <f>IF(MOD(F788+$B788,5)=0,$B788,0)+$B788+F788</f>
        <v>23307</v>
      </c>
      <c r="H788" s="785">
        <f>IF(MOD(G788+$B788,5)=0,$B788,0)+$B788+G788</f>
        <v>37873</v>
      </c>
      <c r="I788" s="785">
        <f>IF(MOD(H788+$B788,5)=0,$B788,0)+$B788+H788</f>
        <v>52439</v>
      </c>
      <c r="J788" s="911">
        <v>874</v>
      </c>
      <c r="K788" s="785">
        <v>2330</v>
      </c>
      <c r="L788" s="785">
        <v>3787</v>
      </c>
      <c r="M788" s="785">
        <v>5243</v>
      </c>
      <c r="N788" s="23" t="str">
        <f>D788&amp;FIXED(MOD(F788,10),0)</f>
        <v>hh31</v>
      </c>
      <c r="O788" s="78" t="str">
        <f>MID(A$5,((FIND(N788,A$4,1)-1)+1),4)</f>
        <v>7dbe</v>
      </c>
      <c r="P788" s="76" t="s">
        <v>0</v>
      </c>
      <c r="Q788" s="219" t="s">
        <v>0</v>
      </c>
      <c r="R788" s="103" t="s">
        <v>0</v>
      </c>
      <c r="S788" s="103" t="s">
        <v>0</v>
      </c>
      <c r="T788" s="42" t="s">
        <v>1</v>
      </c>
    </row>
    <row r="789" spans="1:20" ht="12.75">
      <c r="A789" s="44">
        <v>7297</v>
      </c>
      <c r="B789" s="886">
        <v>14594</v>
      </c>
      <c r="C789" s="886">
        <v>53246209</v>
      </c>
      <c r="D789" s="950" t="s">
        <v>2501</v>
      </c>
      <c r="E789" s="115">
        <f>B789-MOD(E$1-A789*3,B789)</f>
        <v>7691</v>
      </c>
      <c r="F789" s="644">
        <f>IF(MOD(E789,5)=0,B789,0)+E789</f>
        <v>7691</v>
      </c>
      <c r="G789" s="785">
        <f>IF(MOD(F789+$B789,5)=0,$B789,0)+$B789+F789</f>
        <v>36879</v>
      </c>
      <c r="H789" s="785">
        <f>IF(MOD(G789+$B789,5)=0,$B789,0)+$B789+G789</f>
        <v>51473</v>
      </c>
      <c r="I789" s="785">
        <f>IF(MOD(H789+$B789,5)=0,$B789,0)+$B789+H789</f>
        <v>66067</v>
      </c>
      <c r="J789" s="911">
        <v>769</v>
      </c>
      <c r="K789" s="785">
        <v>3687</v>
      </c>
      <c r="L789" s="785">
        <v>5147</v>
      </c>
      <c r="M789" s="785">
        <v>6606</v>
      </c>
      <c r="N789" s="23" t="str">
        <f>D789&amp;FIXED(MOD(F789,10),0)</f>
        <v>hh71</v>
      </c>
      <c r="O789" s="78" t="str">
        <f>MID(A$5,((FIND(N789,A$4,1)-1)+1),4)</f>
        <v>7ebd</v>
      </c>
      <c r="P789" s="76" t="s">
        <v>0</v>
      </c>
      <c r="Q789" s="219" t="s">
        <v>0</v>
      </c>
      <c r="R789" s="103" t="s">
        <v>0</v>
      </c>
      <c r="S789" s="103" t="s">
        <v>0</v>
      </c>
      <c r="T789" s="42" t="s">
        <v>1</v>
      </c>
    </row>
    <row r="790" spans="1:20" ht="12.75">
      <c r="A790" s="44">
        <v>7307</v>
      </c>
      <c r="B790" s="886">
        <v>14614</v>
      </c>
      <c r="C790" s="886">
        <v>53392249</v>
      </c>
      <c r="D790" s="950" t="s">
        <v>2501</v>
      </c>
      <c r="E790" s="115">
        <f>B790-MOD(E$1-A790*3,B790)</f>
        <v>6691</v>
      </c>
      <c r="F790" s="644">
        <f>IF(MOD(E790,5)=0,B790,0)+E790</f>
        <v>6691</v>
      </c>
      <c r="G790" s="785">
        <f>IF(MOD(F790+$B790,5)=0,$B790,0)+$B790+F790</f>
        <v>35919</v>
      </c>
      <c r="H790" s="785">
        <f>IF(MOD(G790+$B790,5)=0,$B790,0)+$B790+G790</f>
        <v>50533</v>
      </c>
      <c r="I790" s="785">
        <f>IF(MOD(H790+$B790,5)=0,$B790,0)+$B790+H790</f>
        <v>65147</v>
      </c>
      <c r="J790" s="911">
        <v>669</v>
      </c>
      <c r="K790" s="785">
        <v>3591</v>
      </c>
      <c r="L790" s="785">
        <v>5053</v>
      </c>
      <c r="M790" s="785">
        <v>6514</v>
      </c>
      <c r="N790" s="23" t="str">
        <f>D790&amp;FIXED(MOD(F790,10),0)</f>
        <v>hh71</v>
      </c>
      <c r="O790" s="78" t="str">
        <f>MID(A$5,((FIND(N790,A$4,1)-1)+1),4)</f>
        <v>7ebd</v>
      </c>
      <c r="P790" s="76" t="s">
        <v>0</v>
      </c>
      <c r="Q790" s="219" t="s">
        <v>0</v>
      </c>
      <c r="R790" s="103" t="s">
        <v>0</v>
      </c>
      <c r="S790" s="103" t="s">
        <v>0</v>
      </c>
      <c r="T790" s="42" t="s">
        <v>1</v>
      </c>
    </row>
    <row r="791" spans="1:20" ht="12.75">
      <c r="A791" s="44">
        <v>7309</v>
      </c>
      <c r="B791" s="886">
        <v>14618</v>
      </c>
      <c r="C791" s="886">
        <v>53421481</v>
      </c>
      <c r="D791" s="950" t="s">
        <v>2506</v>
      </c>
      <c r="E791" s="115">
        <f>B791-MOD(E$1-A791*3,B791)</f>
        <v>119</v>
      </c>
      <c r="F791" s="644">
        <f>IF(MOD(E791,5)=0,B791,0)+E791</f>
        <v>119</v>
      </c>
      <c r="G791" s="785">
        <f>IF(MOD(F791+$B791,5)=0,$B791,0)+$B791+F791</f>
        <v>14737</v>
      </c>
      <c r="H791" s="785">
        <f>IF(MOD(G791+$B791,5)=0,$B791,0)+$B791+G791</f>
        <v>43973</v>
      </c>
      <c r="I791" s="785">
        <f>IF(MOD(H791+$B791,5)=0,$B791,0)+$B791+H791</f>
        <v>58591</v>
      </c>
      <c r="J791" s="911">
        <v>11</v>
      </c>
      <c r="K791" s="785">
        <v>1473</v>
      </c>
      <c r="L791" s="785">
        <v>4397</v>
      </c>
      <c r="M791" s="785">
        <v>5859</v>
      </c>
      <c r="N791" s="23" t="str">
        <f>D791&amp;FIXED(MOD(F791,10),0)</f>
        <v>hh99</v>
      </c>
      <c r="O791" s="78" t="str">
        <f>MID(A$5,((FIND(N791,A$4,1)-1)+1),4)</f>
        <v>edb7</v>
      </c>
      <c r="P791" s="76" t="s">
        <v>0</v>
      </c>
      <c r="Q791" s="219" t="s">
        <v>0</v>
      </c>
      <c r="R791" s="103" t="s">
        <v>0</v>
      </c>
      <c r="S791" s="103" t="s">
        <v>0</v>
      </c>
      <c r="T791" s="42" t="s">
        <v>1</v>
      </c>
    </row>
    <row r="792" spans="1:20" ht="12.75">
      <c r="A792" s="44">
        <v>7321</v>
      </c>
      <c r="B792" s="886">
        <v>14642</v>
      </c>
      <c r="C792" s="886">
        <v>53597041</v>
      </c>
      <c r="D792" s="950" t="s">
        <v>2490</v>
      </c>
      <c r="E792" s="115">
        <f>B792-MOD(E$1-A792*3,B792)</f>
        <v>9983</v>
      </c>
      <c r="F792" s="644">
        <f>IF(MOD(E792,5)=0,B792,0)+E792</f>
        <v>9983</v>
      </c>
      <c r="G792" s="785">
        <f>IF(MOD(F792+$B792,5)=0,$B792,0)+$B792+F792</f>
        <v>39267</v>
      </c>
      <c r="H792" s="785">
        <f>IF(MOD(G792+$B792,5)=0,$B792,0)+$B792+G792</f>
        <v>53909</v>
      </c>
      <c r="I792" s="785">
        <f>IF(MOD(H792+$B792,5)=0,$B792,0)+$B792+H792</f>
        <v>68551</v>
      </c>
      <c r="J792" s="911">
        <v>998</v>
      </c>
      <c r="K792" s="785">
        <v>3926</v>
      </c>
      <c r="L792" s="785">
        <v>5390</v>
      </c>
      <c r="M792" s="785">
        <v>6855</v>
      </c>
      <c r="N792" s="23" t="str">
        <f>D792&amp;FIXED(MOD(F792,10),0)</f>
        <v>hh13</v>
      </c>
      <c r="O792" s="78" t="str">
        <f>MID(A$5,((FIND(N792,A$4,1)-1)+1),4)</f>
        <v>bde7</v>
      </c>
      <c r="P792" s="76" t="s">
        <v>0</v>
      </c>
      <c r="Q792" s="219" t="s">
        <v>0</v>
      </c>
      <c r="R792" s="103" t="s">
        <v>0</v>
      </c>
      <c r="S792" s="103" t="s">
        <v>0</v>
      </c>
      <c r="T792" s="42" t="s">
        <v>1</v>
      </c>
    </row>
    <row r="793" spans="1:20" ht="12.75">
      <c r="A793" s="44">
        <v>7331</v>
      </c>
      <c r="B793" s="886">
        <v>14662</v>
      </c>
      <c r="C793" s="886">
        <v>53743561</v>
      </c>
      <c r="D793" s="950" t="s">
        <v>2490</v>
      </c>
      <c r="E793" s="115">
        <f>B793-MOD(E$1-A793*3,B793)</f>
        <v>5177</v>
      </c>
      <c r="F793" s="644">
        <f>IF(MOD(E793,5)=0,B793,0)+E793</f>
        <v>5177</v>
      </c>
      <c r="G793" s="785">
        <f>IF(MOD(F793+$B793,5)=0,$B793,0)+$B793+F793</f>
        <v>19839</v>
      </c>
      <c r="H793" s="785">
        <f>IF(MOD(G793+$B793,5)=0,$B793,0)+$B793+G793</f>
        <v>34501</v>
      </c>
      <c r="I793" s="785">
        <f>IF(MOD(H793+$B793,5)=0,$B793,0)+$B793+H793</f>
        <v>49163</v>
      </c>
      <c r="J793" s="911">
        <v>517</v>
      </c>
      <c r="K793" s="785">
        <v>1983</v>
      </c>
      <c r="L793" s="785">
        <v>3450</v>
      </c>
      <c r="M793" s="785">
        <v>4916</v>
      </c>
      <c r="N793" s="23" t="str">
        <f>D793&amp;FIXED(MOD(F793,10),0)</f>
        <v>hh17</v>
      </c>
      <c r="O793" s="78" t="str">
        <f>MID(A$5,((FIND(N793,A$4,1)-1)+1),4)</f>
        <v>de7b</v>
      </c>
      <c r="P793" s="76" t="s">
        <v>0</v>
      </c>
      <c r="Q793" s="219" t="s">
        <v>0</v>
      </c>
      <c r="R793" s="103" t="s">
        <v>0</v>
      </c>
      <c r="S793" s="103" t="s">
        <v>0</v>
      </c>
      <c r="T793" s="42" t="s">
        <v>1</v>
      </c>
    </row>
    <row r="794" spans="1:20" ht="12.75">
      <c r="A794" s="44">
        <v>7333</v>
      </c>
      <c r="B794" s="886">
        <v>14666</v>
      </c>
      <c r="C794" s="886">
        <v>53772889</v>
      </c>
      <c r="D794" s="950" t="s">
        <v>2496</v>
      </c>
      <c r="E794" s="115">
        <f>B794-MOD(E$1-A794*3,B794)</f>
        <v>9269</v>
      </c>
      <c r="F794" s="644">
        <f>IF(MOD(E794,5)=0,B794,0)+E794</f>
        <v>9269</v>
      </c>
      <c r="G794" s="785">
        <f>IF(MOD(F794+$B794,5)=0,$B794,0)+$B794+F794</f>
        <v>38601</v>
      </c>
      <c r="H794" s="785">
        <f>IF(MOD(G794+$B794,5)=0,$B794,0)+$B794+G794</f>
        <v>53267</v>
      </c>
      <c r="I794" s="785">
        <f>IF(MOD(H794+$B794,5)=0,$B794,0)+$B794+H794</f>
        <v>67933</v>
      </c>
      <c r="J794" s="911">
        <v>926</v>
      </c>
      <c r="K794" s="785">
        <v>3860</v>
      </c>
      <c r="L794" s="785">
        <v>5326</v>
      </c>
      <c r="M794" s="785">
        <v>6793</v>
      </c>
      <c r="N794" s="23" t="str">
        <f>D794&amp;FIXED(MOD(F794,10),0)</f>
        <v>hh39</v>
      </c>
      <c r="O794" s="78" t="str">
        <f>MID(A$5,((FIND(N794,A$4,1)-1)+1),4)</f>
        <v>e7db</v>
      </c>
      <c r="P794" s="76" t="s">
        <v>0</v>
      </c>
      <c r="Q794" s="219" t="s">
        <v>0</v>
      </c>
      <c r="R794" s="103" t="s">
        <v>0</v>
      </c>
      <c r="S794" s="103" t="s">
        <v>0</v>
      </c>
      <c r="T794" s="42" t="s">
        <v>1</v>
      </c>
    </row>
    <row r="795" spans="1:20" ht="12.75">
      <c r="A795" s="44">
        <v>7349</v>
      </c>
      <c r="B795" s="886">
        <v>14698</v>
      </c>
      <c r="C795" s="886">
        <v>54007801</v>
      </c>
      <c r="D795" s="950" t="s">
        <v>2506</v>
      </c>
      <c r="E795" s="115">
        <f>B795-MOD(E$1-A795*3,B795)</f>
        <v>9317</v>
      </c>
      <c r="F795" s="644">
        <f>IF(MOD(E795,5)=0,B795,0)+E795</f>
        <v>9317</v>
      </c>
      <c r="G795" s="785">
        <f>IF(MOD(F795+$B795,5)=0,$B795,0)+$B795+F795</f>
        <v>38713</v>
      </c>
      <c r="H795" s="785">
        <f>IF(MOD(G795+$B795,5)=0,$B795,0)+$B795+G795</f>
        <v>53411</v>
      </c>
      <c r="I795" s="785">
        <f>IF(MOD(H795+$B795,5)=0,$B795,0)+$B795+H795</f>
        <v>68109</v>
      </c>
      <c r="J795" s="911">
        <v>931</v>
      </c>
      <c r="K795" s="785">
        <v>3871</v>
      </c>
      <c r="L795" s="785">
        <v>5341</v>
      </c>
      <c r="M795" s="785">
        <v>6810</v>
      </c>
      <c r="N795" s="23" t="str">
        <f>D795&amp;FIXED(MOD(F795,10),0)</f>
        <v>hh97</v>
      </c>
      <c r="O795" s="78" t="str">
        <f>MID(A$5,((FIND(N795,A$4,1)-1)+1),4)</f>
        <v>db7e</v>
      </c>
      <c r="P795" s="76" t="s">
        <v>0</v>
      </c>
      <c r="Q795" s="219" t="s">
        <v>0</v>
      </c>
      <c r="R795" s="103" t="s">
        <v>0</v>
      </c>
      <c r="S795" s="103" t="s">
        <v>0</v>
      </c>
      <c r="T795" s="42" t="s">
        <v>1</v>
      </c>
    </row>
    <row r="796" spans="1:20" ht="12.75">
      <c r="A796" s="44">
        <v>7351</v>
      </c>
      <c r="B796" s="886">
        <v>14702</v>
      </c>
      <c r="C796" s="886">
        <v>54037201</v>
      </c>
      <c r="D796" s="950" t="s">
        <v>2490</v>
      </c>
      <c r="E796" s="115">
        <f>B796-MOD(E$1-A796*3,B796)</f>
        <v>6317</v>
      </c>
      <c r="F796" s="644">
        <f>IF(MOD(E796,5)=0,B796,0)+E796</f>
        <v>6317</v>
      </c>
      <c r="G796" s="785">
        <f>IF(MOD(F796+$B796,5)=0,$B796,0)+$B796+F796</f>
        <v>21019</v>
      </c>
      <c r="H796" s="785">
        <f>IF(MOD(G796+$B796,5)=0,$B796,0)+$B796+G796</f>
        <v>35721</v>
      </c>
      <c r="I796" s="785">
        <f>IF(MOD(H796+$B796,5)=0,$B796,0)+$B796+H796</f>
        <v>50423</v>
      </c>
      <c r="J796" s="911">
        <v>631</v>
      </c>
      <c r="K796" s="785">
        <v>2101</v>
      </c>
      <c r="L796" s="785">
        <v>3572</v>
      </c>
      <c r="M796" s="785">
        <v>5042</v>
      </c>
      <c r="N796" s="23" t="str">
        <f>D796&amp;FIXED(MOD(F796,10),0)</f>
        <v>hh17</v>
      </c>
      <c r="O796" s="78" t="str">
        <f>MID(A$5,((FIND(N796,A$4,1)-1)+1),4)</f>
        <v>de7b</v>
      </c>
      <c r="P796" s="76" t="s">
        <v>0</v>
      </c>
      <c r="Q796" s="219" t="s">
        <v>0</v>
      </c>
      <c r="R796" s="103" t="s">
        <v>0</v>
      </c>
      <c r="S796" s="103" t="s">
        <v>0</v>
      </c>
      <c r="T796" s="42" t="s">
        <v>1</v>
      </c>
    </row>
    <row r="797" spans="1:20" ht="12.75">
      <c r="A797" s="44">
        <v>7369</v>
      </c>
      <c r="B797" s="886">
        <v>14738</v>
      </c>
      <c r="C797" s="886">
        <v>54302161</v>
      </c>
      <c r="D797" s="950" t="s">
        <v>2506</v>
      </c>
      <c r="E797" s="115">
        <f>B797-MOD(E$1-A797*3,B797)</f>
        <v>12911</v>
      </c>
      <c r="F797" s="644">
        <f>IF(MOD(E797,5)=0,B797,0)+E797</f>
        <v>12911</v>
      </c>
      <c r="G797" s="785">
        <f>IF(MOD(F797+$B797,5)=0,$B797,0)+$B797+F797</f>
        <v>27649</v>
      </c>
      <c r="H797" s="785">
        <f>IF(MOD(G797+$B797,5)=0,$B797,0)+$B797+G797</f>
        <v>42387</v>
      </c>
      <c r="I797" s="785">
        <f>IF(MOD(H797+$B797,5)=0,$B797,0)+$B797+H797</f>
        <v>71863</v>
      </c>
      <c r="J797" s="911">
        <v>1291</v>
      </c>
      <c r="K797" s="785">
        <v>2764</v>
      </c>
      <c r="L797" s="785">
        <v>4238</v>
      </c>
      <c r="M797" s="785">
        <v>7186</v>
      </c>
      <c r="N797" s="23" t="str">
        <f>D797&amp;FIXED(MOD(F797,10),0)</f>
        <v>hh91</v>
      </c>
      <c r="O797" s="78" t="str">
        <f>MID(A$5,((FIND(N797,A$4,1)-1)+1),4)</f>
        <v>7edb</v>
      </c>
      <c r="P797" s="76" t="s">
        <v>0</v>
      </c>
      <c r="Q797" s="219" t="s">
        <v>0</v>
      </c>
      <c r="R797" s="103" t="s">
        <v>0</v>
      </c>
      <c r="S797" s="103" t="s">
        <v>0</v>
      </c>
      <c r="T797" s="42" t="s">
        <v>1</v>
      </c>
    </row>
    <row r="798" spans="1:20" ht="12.75">
      <c r="A798" s="44">
        <v>7393</v>
      </c>
      <c r="B798" s="886">
        <v>14786</v>
      </c>
      <c r="C798" s="886">
        <v>54656449</v>
      </c>
      <c r="D798" s="950" t="s">
        <v>2496</v>
      </c>
      <c r="E798" s="115">
        <f>B798-MOD(E$1-A798*3,B798)</f>
        <v>14473</v>
      </c>
      <c r="F798" s="644">
        <f>IF(MOD(E798,5)=0,B798,0)+E798</f>
        <v>14473</v>
      </c>
      <c r="G798" s="785">
        <f>IF(MOD(F798+$B798,5)=0,$B798,0)+$B798+F798</f>
        <v>29259</v>
      </c>
      <c r="H798" s="785">
        <f>IF(MOD(G798+$B798,5)=0,$B798,0)+$B798+G798</f>
        <v>58831</v>
      </c>
      <c r="I798" s="785">
        <f>IF(MOD(H798+$B798,5)=0,$B798,0)+$B798+H798</f>
        <v>73617</v>
      </c>
      <c r="J798" s="911">
        <v>1447</v>
      </c>
      <c r="K798" s="785">
        <v>2925</v>
      </c>
      <c r="L798" s="785">
        <v>5883</v>
      </c>
      <c r="M798" s="785">
        <v>7361</v>
      </c>
      <c r="N798" s="23" t="str">
        <f>D798&amp;FIXED(MOD(F798,10),0)</f>
        <v>hh33</v>
      </c>
      <c r="O798" s="78" t="str">
        <f>MID(A$5,((FIND(N798,A$4,1)-1)+1),4)</f>
        <v>be7d</v>
      </c>
      <c r="P798" s="76" t="s">
        <v>0</v>
      </c>
      <c r="Q798" s="219" t="s">
        <v>0</v>
      </c>
      <c r="R798" s="103" t="s">
        <v>0</v>
      </c>
      <c r="S798" s="103" t="s">
        <v>0</v>
      </c>
      <c r="T798" s="42" t="s">
        <v>1</v>
      </c>
    </row>
    <row r="799" spans="1:20" ht="12.75">
      <c r="A799" s="44">
        <v>7411</v>
      </c>
      <c r="B799" s="886">
        <v>14822</v>
      </c>
      <c r="C799" s="886">
        <v>54922921</v>
      </c>
      <c r="D799" s="950" t="s">
        <v>2490</v>
      </c>
      <c r="E799" s="115">
        <f>B799-MOD(E$1-A799*3,B799)</f>
        <v>11293</v>
      </c>
      <c r="F799" s="644">
        <f>IF(MOD(E799,5)=0,B799,0)+E799</f>
        <v>11293</v>
      </c>
      <c r="G799" s="785">
        <f>IF(MOD(F799+$B799,5)=0,$B799,0)+$B799+F799</f>
        <v>40937</v>
      </c>
      <c r="H799" s="785">
        <f>IF(MOD(G799+$B799,5)=0,$B799,0)+$B799+G799</f>
        <v>55759</v>
      </c>
      <c r="I799" s="785">
        <f>IF(MOD(H799+$B799,5)=0,$B799,0)+$B799+H799</f>
        <v>70581</v>
      </c>
      <c r="J799" s="911">
        <v>1129</v>
      </c>
      <c r="K799" s="785">
        <v>4093</v>
      </c>
      <c r="L799" s="785">
        <v>5575</v>
      </c>
      <c r="M799" s="785">
        <v>7058</v>
      </c>
      <c r="N799" s="23" t="str">
        <f>D799&amp;FIXED(MOD(F799,10),0)</f>
        <v>hh13</v>
      </c>
      <c r="O799" s="78" t="str">
        <f>MID(A$5,((FIND(N799,A$4,1)-1)+1),4)</f>
        <v>bde7</v>
      </c>
      <c r="P799" s="76" t="s">
        <v>0</v>
      </c>
      <c r="Q799" s="219" t="s">
        <v>0</v>
      </c>
      <c r="R799" s="103" t="s">
        <v>0</v>
      </c>
      <c r="S799" s="103" t="s">
        <v>0</v>
      </c>
      <c r="T799" s="42" t="s">
        <v>1</v>
      </c>
    </row>
    <row r="800" spans="1:20" ht="12.75">
      <c r="A800" s="44">
        <v>7417</v>
      </c>
      <c r="B800" s="886">
        <v>14834</v>
      </c>
      <c r="C800" s="886">
        <v>55011889</v>
      </c>
      <c r="D800" s="950" t="s">
        <v>2501</v>
      </c>
      <c r="E800" s="115">
        <f>B800-MOD(E$1-A800*3,B800)</f>
        <v>9053</v>
      </c>
      <c r="F800" s="644">
        <f>IF(MOD(E800,5)=0,B800,0)+E800</f>
        <v>9053</v>
      </c>
      <c r="G800" s="785">
        <f>IF(MOD(F800+$B800,5)=0,$B800,0)+$B800+F800</f>
        <v>23887</v>
      </c>
      <c r="H800" s="785">
        <f>IF(MOD(G800+$B800,5)=0,$B800,0)+$B800+G800</f>
        <v>38721</v>
      </c>
      <c r="I800" s="785">
        <f>IF(MOD(H800+$B800,5)=0,$B800,0)+$B800+H800</f>
        <v>68389</v>
      </c>
      <c r="J800" s="911">
        <v>905</v>
      </c>
      <c r="K800" s="785">
        <v>2388</v>
      </c>
      <c r="L800" s="785">
        <v>3872</v>
      </c>
      <c r="M800" s="785">
        <v>6838</v>
      </c>
      <c r="N800" s="23" t="str">
        <f>D800&amp;FIXED(MOD(F800,10),0)</f>
        <v>hh73</v>
      </c>
      <c r="O800" s="78" t="str">
        <f>MID(A$5,((FIND(N800,A$4,1)-1)+1),4)</f>
        <v>bd7e</v>
      </c>
      <c r="P800" s="76" t="s">
        <v>0</v>
      </c>
      <c r="Q800" s="219" t="s">
        <v>0</v>
      </c>
      <c r="R800" s="103" t="s">
        <v>0</v>
      </c>
      <c r="S800" s="103" t="s">
        <v>0</v>
      </c>
      <c r="T800" s="42" t="s">
        <v>1</v>
      </c>
    </row>
    <row r="801" spans="1:20" ht="12.75">
      <c r="A801" s="44">
        <v>7433</v>
      </c>
      <c r="B801" s="886">
        <v>14866</v>
      </c>
      <c r="C801" s="886">
        <v>55249489</v>
      </c>
      <c r="D801" s="950" t="s">
        <v>2496</v>
      </c>
      <c r="E801" s="115">
        <f>B801-MOD(E$1-A801*3,B801)</f>
        <v>14317</v>
      </c>
      <c r="F801" s="644">
        <f>IF(MOD(E801,5)=0,B801,0)+E801</f>
        <v>14317</v>
      </c>
      <c r="G801" s="785">
        <f>IF(MOD(F801+$B801,5)=0,$B801,0)+$B801+F801</f>
        <v>29183</v>
      </c>
      <c r="H801" s="785">
        <f>IF(MOD(G801+$B801,5)=0,$B801,0)+$B801+G801</f>
        <v>44049</v>
      </c>
      <c r="I801" s="785">
        <f>IF(MOD(H801+$B801,5)=0,$B801,0)+$B801+H801</f>
        <v>73781</v>
      </c>
      <c r="J801" s="911">
        <v>1431</v>
      </c>
      <c r="K801" s="785">
        <v>2918</v>
      </c>
      <c r="L801" s="785">
        <v>4404</v>
      </c>
      <c r="M801" s="785">
        <v>7378</v>
      </c>
      <c r="N801" s="23" t="str">
        <f>D801&amp;FIXED(MOD(F801,10),0)</f>
        <v>hh37</v>
      </c>
      <c r="O801" s="78" t="str">
        <f>MID(A$5,((FIND(N801,A$4,1)-1)+1),4)</f>
        <v>dbe7</v>
      </c>
      <c r="P801" s="76" t="s">
        <v>0</v>
      </c>
      <c r="Q801" s="219" t="s">
        <v>0</v>
      </c>
      <c r="R801" s="103" t="s">
        <v>0</v>
      </c>
      <c r="S801" s="103" t="s">
        <v>0</v>
      </c>
      <c r="T801" s="42" t="s">
        <v>1</v>
      </c>
    </row>
    <row r="802" spans="1:20" ht="12.75">
      <c r="A802" s="44">
        <v>7451</v>
      </c>
      <c r="B802" s="886">
        <v>14902</v>
      </c>
      <c r="C802" s="886">
        <v>55517401</v>
      </c>
      <c r="D802" s="950" t="s">
        <v>2490</v>
      </c>
      <c r="E802" s="115">
        <f>B802-MOD(E$1-A802*3,B802)</f>
        <v>5309</v>
      </c>
      <c r="F802" s="644">
        <f>IF(MOD(E802,5)=0,B802,0)+E802</f>
        <v>5309</v>
      </c>
      <c r="G802" s="785">
        <f>IF(MOD(F802+$B802,5)=0,$B802,0)+$B802+F802</f>
        <v>20211</v>
      </c>
      <c r="H802" s="785">
        <f>IF(MOD(G802+$B802,5)=0,$B802,0)+$B802+G802</f>
        <v>35113</v>
      </c>
      <c r="I802" s="785">
        <f>IF(MOD(H802+$B802,5)=0,$B802,0)+$B802+H802</f>
        <v>64917</v>
      </c>
      <c r="J802" s="911">
        <v>530</v>
      </c>
      <c r="K802" s="785">
        <v>2021</v>
      </c>
      <c r="L802" s="785">
        <v>3511</v>
      </c>
      <c r="M802" s="785">
        <v>6491</v>
      </c>
      <c r="N802" s="23" t="str">
        <f>D802&amp;FIXED(MOD(F802,10),0)</f>
        <v>hh19</v>
      </c>
      <c r="O802" s="78" t="str">
        <f>MID(A$5,((FIND(N802,A$4,1)-1)+1),4)</f>
        <v>e7bd</v>
      </c>
      <c r="P802" s="76" t="s">
        <v>0</v>
      </c>
      <c r="Q802" s="219" t="s">
        <v>0</v>
      </c>
      <c r="R802" s="103" t="s">
        <v>0</v>
      </c>
      <c r="S802" s="103" t="s">
        <v>0</v>
      </c>
      <c r="T802" s="42" t="s">
        <v>1</v>
      </c>
    </row>
    <row r="803" spans="1:20" ht="12.75">
      <c r="A803" s="44">
        <v>7457</v>
      </c>
      <c r="B803" s="886">
        <v>14914</v>
      </c>
      <c r="C803" s="886">
        <v>55606849</v>
      </c>
      <c r="D803" s="950" t="s">
        <v>2501</v>
      </c>
      <c r="E803" s="115">
        <f>B803-MOD(E$1-A803*3,B803)</f>
        <v>6585</v>
      </c>
      <c r="F803" s="644">
        <f>IF(MOD(E803,5)=0,B803,0)+E803</f>
        <v>21499</v>
      </c>
      <c r="G803" s="785">
        <f>IF(MOD(F803+$B803,5)=0,$B803,0)+$B803+F803</f>
        <v>36413</v>
      </c>
      <c r="H803" s="785">
        <f>IF(MOD(G803+$B803,5)=0,$B803,0)+$B803+G803</f>
        <v>51327</v>
      </c>
      <c r="I803" s="785">
        <f>IF(MOD(H803+$B803,5)=0,$B803,0)+$B803+H803</f>
        <v>66241</v>
      </c>
      <c r="J803" s="911">
        <v>2149</v>
      </c>
      <c r="K803" s="785">
        <v>3641</v>
      </c>
      <c r="L803" s="785">
        <v>5132</v>
      </c>
      <c r="M803" s="785">
        <v>6624</v>
      </c>
      <c r="N803" s="23" t="str">
        <f>D803&amp;FIXED(MOD(F803,10),0)</f>
        <v>hh79</v>
      </c>
      <c r="O803" s="78" t="str">
        <f>MID(A$5,((FIND(N803,A$4,1)-1)+1),4)</f>
        <v>ebd7</v>
      </c>
      <c r="P803" s="76" t="s">
        <v>0</v>
      </c>
      <c r="Q803" s="219" t="s">
        <v>0</v>
      </c>
      <c r="R803" s="103" t="s">
        <v>0</v>
      </c>
      <c r="S803" s="103" t="s">
        <v>0</v>
      </c>
      <c r="T803" s="42" t="s">
        <v>1</v>
      </c>
    </row>
    <row r="804" spans="1:20" ht="12.75">
      <c r="A804" s="44">
        <v>7459</v>
      </c>
      <c r="B804" s="886">
        <v>14918</v>
      </c>
      <c r="C804" s="886">
        <v>55636681</v>
      </c>
      <c r="D804" s="950" t="s">
        <v>2506</v>
      </c>
      <c r="E804" s="115">
        <f>B804-MOD(E$1-A804*3,B804)</f>
        <v>8643</v>
      </c>
      <c r="F804" s="644">
        <f>IF(MOD(E804,5)=0,B804,0)+E804</f>
        <v>8643</v>
      </c>
      <c r="G804" s="785">
        <f>IF(MOD(F804+$B804,5)=0,$B804,0)+$B804+F804</f>
        <v>23561</v>
      </c>
      <c r="H804" s="785">
        <f>IF(MOD(G804+$B804,5)=0,$B804,0)+$B804+G804</f>
        <v>38479</v>
      </c>
      <c r="I804" s="785">
        <f>IF(MOD(H804+$B804,5)=0,$B804,0)+$B804+H804</f>
        <v>53397</v>
      </c>
      <c r="J804" s="911">
        <v>864</v>
      </c>
      <c r="K804" s="785">
        <v>2356</v>
      </c>
      <c r="L804" s="785">
        <v>3847</v>
      </c>
      <c r="M804" s="785">
        <v>5339</v>
      </c>
      <c r="N804" s="23" t="str">
        <f>D804&amp;FIXED(MOD(F804,10),0)</f>
        <v>hh93</v>
      </c>
      <c r="O804" s="78" t="str">
        <f>MID(A$5,((FIND(N804,A$4,1)-1)+1),4)</f>
        <v>b7ed</v>
      </c>
      <c r="P804" s="76" t="s">
        <v>0</v>
      </c>
      <c r="Q804" s="219" t="s">
        <v>0</v>
      </c>
      <c r="R804" s="103" t="s">
        <v>0</v>
      </c>
      <c r="S804" s="103" t="s">
        <v>0</v>
      </c>
      <c r="T804" s="42" t="s">
        <v>1</v>
      </c>
    </row>
    <row r="805" spans="1:20" ht="12.75">
      <c r="A805" s="44">
        <v>7477</v>
      </c>
      <c r="B805" s="886">
        <v>14954</v>
      </c>
      <c r="C805" s="886">
        <v>55905529</v>
      </c>
      <c r="D805" s="950" t="s">
        <v>2501</v>
      </c>
      <c r="E805" s="115">
        <f>B805-MOD(E$1-A805*3,B805)</f>
        <v>10257</v>
      </c>
      <c r="F805" s="644">
        <f>IF(MOD(E805,5)=0,B805,0)+E805</f>
        <v>10257</v>
      </c>
      <c r="G805" s="785">
        <f>IF(MOD(F805+$B805,5)=0,$B805,0)+$B805+F805</f>
        <v>25211</v>
      </c>
      <c r="H805" s="785">
        <f>IF(MOD(G805+$B805,5)=0,$B805,0)+$B805+G805</f>
        <v>55119</v>
      </c>
      <c r="I805" s="785">
        <f>IF(MOD(H805+$B805,5)=0,$B805,0)+$B805+H805</f>
        <v>70073</v>
      </c>
      <c r="J805" s="911">
        <v>1025</v>
      </c>
      <c r="K805" s="785">
        <v>2521</v>
      </c>
      <c r="L805" s="785">
        <v>5511</v>
      </c>
      <c r="M805" s="785">
        <v>7007</v>
      </c>
      <c r="N805" s="23" t="str">
        <f>D805&amp;FIXED(MOD(F805,10),0)</f>
        <v>hh77</v>
      </c>
      <c r="O805" s="78" t="str">
        <f>MID(A$5,((FIND(N805,A$4,1)-1)+1),4)</f>
        <v>d7eb</v>
      </c>
      <c r="P805" s="76" t="s">
        <v>0</v>
      </c>
      <c r="Q805" s="219" t="s">
        <v>0</v>
      </c>
      <c r="R805" s="103" t="s">
        <v>0</v>
      </c>
      <c r="S805" s="103" t="s">
        <v>0</v>
      </c>
      <c r="T805" s="42" t="s">
        <v>1</v>
      </c>
    </row>
    <row r="806" spans="1:20" ht="12.75">
      <c r="A806" s="44">
        <v>7481</v>
      </c>
      <c r="B806" s="886">
        <v>14962</v>
      </c>
      <c r="C806" s="886">
        <v>55965361</v>
      </c>
      <c r="D806" s="950" t="s">
        <v>2490</v>
      </c>
      <c r="E806" s="115">
        <f>B806-MOD(E$1-A806*3,B806)</f>
        <v>3525</v>
      </c>
      <c r="F806" s="644">
        <f>IF(MOD(E806,5)=0,B806,0)+E806</f>
        <v>18487</v>
      </c>
      <c r="G806" s="785">
        <f>IF(MOD(F806+$B806,5)=0,$B806,0)+$B806+F806</f>
        <v>33449</v>
      </c>
      <c r="H806" s="785">
        <f>IF(MOD(G806+$B806,5)=0,$B806,0)+$B806+G806</f>
        <v>48411</v>
      </c>
      <c r="I806" s="785">
        <f>IF(MOD(H806+$B806,5)=0,$B806,0)+$B806+H806</f>
        <v>63373</v>
      </c>
      <c r="J806" s="911">
        <v>1848</v>
      </c>
      <c r="K806" s="785">
        <v>3344</v>
      </c>
      <c r="L806" s="785">
        <v>4841</v>
      </c>
      <c r="M806" s="785">
        <v>6337</v>
      </c>
      <c r="N806" s="23" t="str">
        <f>D806&amp;FIXED(MOD(F806,10),0)</f>
        <v>hh17</v>
      </c>
      <c r="O806" s="78" t="str">
        <f>MID(A$5,((FIND(N806,A$4,1)-1)+1),4)</f>
        <v>de7b</v>
      </c>
      <c r="P806" s="76" t="s">
        <v>0</v>
      </c>
      <c r="Q806" s="219" t="s">
        <v>0</v>
      </c>
      <c r="R806" s="103" t="s">
        <v>0</v>
      </c>
      <c r="S806" s="103" t="s">
        <v>0</v>
      </c>
      <c r="T806" s="42" t="s">
        <v>1</v>
      </c>
    </row>
    <row r="807" spans="1:20" ht="12.75">
      <c r="A807" s="44">
        <v>7487</v>
      </c>
      <c r="B807" s="886">
        <v>14974</v>
      </c>
      <c r="C807" s="886">
        <v>56055169</v>
      </c>
      <c r="D807" s="950" t="s">
        <v>2501</v>
      </c>
      <c r="E807" s="115">
        <f>B807-MOD(E$1-A807*3,B807)</f>
        <v>10043</v>
      </c>
      <c r="F807" s="644">
        <f>IF(MOD(E807,5)=0,B807,0)+E807</f>
        <v>10043</v>
      </c>
      <c r="G807" s="785">
        <f>IF(MOD(F807+$B807,5)=0,$B807,0)+$B807+F807</f>
        <v>25017</v>
      </c>
      <c r="H807" s="785">
        <f>IF(MOD(G807+$B807,5)=0,$B807,0)+$B807+G807</f>
        <v>39991</v>
      </c>
      <c r="I807" s="785">
        <f>IF(MOD(H807+$B807,5)=0,$B807,0)+$B807+H807</f>
        <v>69939</v>
      </c>
      <c r="J807" s="911">
        <v>1004</v>
      </c>
      <c r="K807" s="785">
        <v>2501</v>
      </c>
      <c r="L807" s="785">
        <v>3999</v>
      </c>
      <c r="M807" s="785">
        <v>6993</v>
      </c>
      <c r="N807" s="23" t="str">
        <f>D807&amp;FIXED(MOD(F807,10),0)</f>
        <v>hh73</v>
      </c>
      <c r="O807" s="78" t="str">
        <f>MID(A$5,((FIND(N807,A$4,1)-1)+1),4)</f>
        <v>bd7e</v>
      </c>
      <c r="P807" s="76" t="s">
        <v>0</v>
      </c>
      <c r="Q807" s="219" t="s">
        <v>0</v>
      </c>
      <c r="R807" s="103" t="s">
        <v>0</v>
      </c>
      <c r="S807" s="103" t="s">
        <v>0</v>
      </c>
      <c r="T807" s="42" t="s">
        <v>1</v>
      </c>
    </row>
    <row r="808" spans="1:20" ht="12.75">
      <c r="A808" s="44">
        <v>7489</v>
      </c>
      <c r="B808" s="886">
        <v>14978</v>
      </c>
      <c r="C808" s="886">
        <v>56085121</v>
      </c>
      <c r="D808" s="950" t="s">
        <v>2506</v>
      </c>
      <c r="E808" s="115">
        <f>B808-MOD(E$1-A808*3,B808)</f>
        <v>10937</v>
      </c>
      <c r="F808" s="644">
        <f>IF(MOD(E808,5)=0,B808,0)+E808</f>
        <v>10937</v>
      </c>
      <c r="G808" s="785">
        <f>IF(MOD(F808+$B808,5)=0,$B808,0)+$B808+F808</f>
        <v>40893</v>
      </c>
      <c r="H808" s="785">
        <f>IF(MOD(G808+$B808,5)=0,$B808,0)+$B808+G808</f>
        <v>55871</v>
      </c>
      <c r="I808" s="785">
        <f>IF(MOD(H808+$B808,5)=0,$B808,0)+$B808+H808</f>
        <v>70849</v>
      </c>
      <c r="J808" s="911">
        <v>1093</v>
      </c>
      <c r="K808" s="785">
        <v>4089</v>
      </c>
      <c r="L808" s="785">
        <v>5587</v>
      </c>
      <c r="M808" s="785">
        <v>7084</v>
      </c>
      <c r="N808" s="23" t="str">
        <f>D808&amp;FIXED(MOD(F808,10),0)</f>
        <v>hh97</v>
      </c>
      <c r="O808" s="78" t="str">
        <f>MID(A$5,((FIND(N808,A$4,1)-1)+1),4)</f>
        <v>db7e</v>
      </c>
      <c r="P808" s="76" t="s">
        <v>0</v>
      </c>
      <c r="Q808" s="219" t="s">
        <v>0</v>
      </c>
      <c r="R808" s="103" t="s">
        <v>0</v>
      </c>
      <c r="S808" s="103" t="s">
        <v>0</v>
      </c>
      <c r="T808" s="42" t="s">
        <v>1</v>
      </c>
    </row>
    <row r="809" spans="1:20" ht="12.75">
      <c r="A809" s="44">
        <v>7499</v>
      </c>
      <c r="B809" s="886">
        <v>14998</v>
      </c>
      <c r="C809" s="886">
        <v>56235001</v>
      </c>
      <c r="D809" s="950" t="s">
        <v>2506</v>
      </c>
      <c r="E809" s="115">
        <f>B809-MOD(E$1-A809*3,B809)</f>
        <v>8877</v>
      </c>
      <c r="F809" s="644">
        <f>IF(MOD(E809,5)=0,B809,0)+E809</f>
        <v>8877</v>
      </c>
      <c r="G809" s="785">
        <f>IF(MOD(F809+$B809,5)=0,$B809,0)+$B809+F809</f>
        <v>38873</v>
      </c>
      <c r="H809" s="785">
        <f>IF(MOD(G809+$B809,5)=0,$B809,0)+$B809+G809</f>
        <v>53871</v>
      </c>
      <c r="I809" s="785">
        <f>IF(MOD(H809+$B809,5)=0,$B809,0)+$B809+H809</f>
        <v>68869</v>
      </c>
      <c r="J809" s="911">
        <v>887</v>
      </c>
      <c r="K809" s="785">
        <v>3887</v>
      </c>
      <c r="L809" s="785">
        <v>5387</v>
      </c>
      <c r="M809" s="785">
        <v>6886</v>
      </c>
      <c r="N809" s="23" t="str">
        <f>D809&amp;FIXED(MOD(F809,10),0)</f>
        <v>hh97</v>
      </c>
      <c r="O809" s="78" t="str">
        <f>MID(A$5,((FIND(N809,A$4,1)-1)+1),4)</f>
        <v>db7e</v>
      </c>
      <c r="P809" s="76" t="s">
        <v>0</v>
      </c>
      <c r="Q809" s="219" t="s">
        <v>0</v>
      </c>
      <c r="R809" s="103" t="s">
        <v>0</v>
      </c>
      <c r="S809" s="103" t="s">
        <v>0</v>
      </c>
      <c r="T809" s="42" t="s">
        <v>1</v>
      </c>
    </row>
    <row r="810" spans="1:20" ht="12.75">
      <c r="A810" s="44">
        <v>7507</v>
      </c>
      <c r="B810" s="886">
        <v>15014</v>
      </c>
      <c r="C810" s="886">
        <v>56355049</v>
      </c>
      <c r="D810" s="950" t="s">
        <v>2501</v>
      </c>
      <c r="E810" s="115">
        <f>B810-MOD(E$1-A810*3,B810)</f>
        <v>3473</v>
      </c>
      <c r="F810" s="644">
        <f>IF(MOD(E810,5)=0,B810,0)+E810</f>
        <v>3473</v>
      </c>
      <c r="G810" s="785">
        <f>IF(MOD(F810+$B810,5)=0,$B810,0)+$B810+F810</f>
        <v>18487</v>
      </c>
      <c r="H810" s="785">
        <f>IF(MOD(G810+$B810,5)=0,$B810,0)+$B810+G810</f>
        <v>33501</v>
      </c>
      <c r="I810" s="785">
        <f>IF(MOD(H810+$B810,5)=0,$B810,0)+$B810+H810</f>
        <v>63529</v>
      </c>
      <c r="J810" s="911">
        <v>347</v>
      </c>
      <c r="K810" s="785">
        <v>1848</v>
      </c>
      <c r="L810" s="785">
        <v>3350</v>
      </c>
      <c r="M810" s="785">
        <v>6352</v>
      </c>
      <c r="N810" s="23" t="str">
        <f>D810&amp;FIXED(MOD(F810,10),0)</f>
        <v>hh73</v>
      </c>
      <c r="O810" s="78" t="str">
        <f>MID(A$5,((FIND(N810,A$4,1)-1)+1),4)</f>
        <v>bd7e</v>
      </c>
      <c r="P810" s="76" t="s">
        <v>0</v>
      </c>
      <c r="Q810" s="219" t="s">
        <v>0</v>
      </c>
      <c r="R810" s="103" t="s">
        <v>0</v>
      </c>
      <c r="S810" s="103" t="s">
        <v>0</v>
      </c>
      <c r="T810" s="42" t="s">
        <v>1</v>
      </c>
    </row>
    <row r="811" spans="1:20" ht="12.75">
      <c r="A811" s="44">
        <v>7517</v>
      </c>
      <c r="B811" s="886">
        <v>15034</v>
      </c>
      <c r="C811" s="886">
        <v>56505289</v>
      </c>
      <c r="D811" s="950" t="s">
        <v>2501</v>
      </c>
      <c r="E811" s="115">
        <f>B811-MOD(E$1-A811*3,B811)</f>
        <v>14197</v>
      </c>
      <c r="F811" s="644">
        <f>IF(MOD(E811,5)=0,B811,0)+E811</f>
        <v>14197</v>
      </c>
      <c r="G811" s="785">
        <f>IF(MOD(F811+$B811,5)=0,$B811,0)+$B811+F811</f>
        <v>29231</v>
      </c>
      <c r="H811" s="785">
        <f>IF(MOD(G811+$B811,5)=0,$B811,0)+$B811+G811</f>
        <v>59299</v>
      </c>
      <c r="I811" s="785">
        <f>IF(MOD(H811+$B811,5)=0,$B811,0)+$B811+H811</f>
        <v>74333</v>
      </c>
      <c r="J811" s="911">
        <v>1419</v>
      </c>
      <c r="K811" s="785">
        <v>2923</v>
      </c>
      <c r="L811" s="785">
        <v>5929</v>
      </c>
      <c r="M811" s="785">
        <v>7433</v>
      </c>
      <c r="N811" s="23" t="str">
        <f>D811&amp;FIXED(MOD(F811,10),0)</f>
        <v>hh77</v>
      </c>
      <c r="O811" s="78" t="str">
        <f>MID(A$5,((FIND(N811,A$4,1)-1)+1),4)</f>
        <v>d7eb</v>
      </c>
      <c r="P811" s="76" t="s">
        <v>0</v>
      </c>
      <c r="Q811" s="219" t="s">
        <v>0</v>
      </c>
      <c r="R811" s="103" t="s">
        <v>0</v>
      </c>
      <c r="S811" s="103" t="s">
        <v>0</v>
      </c>
      <c r="T811" s="42" t="s">
        <v>1</v>
      </c>
    </row>
    <row r="812" spans="1:20" ht="12.75">
      <c r="A812" s="44">
        <v>7523</v>
      </c>
      <c r="B812" s="886">
        <v>15046</v>
      </c>
      <c r="C812" s="886">
        <v>56595529</v>
      </c>
      <c r="D812" s="950" t="s">
        <v>2496</v>
      </c>
      <c r="E812" s="115">
        <f>B812-MOD(E$1-A812*3,B812)</f>
        <v>1145</v>
      </c>
      <c r="F812" s="644">
        <f>IF(MOD(E812,5)=0,B812,0)+E812</f>
        <v>16191</v>
      </c>
      <c r="G812" s="785">
        <f>IF(MOD(F812+$B812,5)=0,$B812,0)+$B812+F812</f>
        <v>31237</v>
      </c>
      <c r="H812" s="785">
        <f>IF(MOD(G812+$B812,5)=0,$B812,0)+$B812+G812</f>
        <v>46283</v>
      </c>
      <c r="I812" s="785">
        <f>IF(MOD(H812+$B812,5)=0,$B812,0)+$B812+H812</f>
        <v>61329</v>
      </c>
      <c r="J812" s="911">
        <v>1619</v>
      </c>
      <c r="K812" s="785">
        <v>3123</v>
      </c>
      <c r="L812" s="785">
        <v>4628</v>
      </c>
      <c r="M812" s="785">
        <v>6132</v>
      </c>
      <c r="N812" s="23" t="str">
        <f>D812&amp;FIXED(MOD(F812,10),0)</f>
        <v>hh31</v>
      </c>
      <c r="O812" s="78" t="str">
        <f>MID(A$5,((FIND(N812,A$4,1)-1)+1),4)</f>
        <v>7dbe</v>
      </c>
      <c r="P812" s="76" t="s">
        <v>0</v>
      </c>
      <c r="Q812" s="219" t="s">
        <v>0</v>
      </c>
      <c r="R812" s="103" t="s">
        <v>0</v>
      </c>
      <c r="S812" s="103" t="s">
        <v>0</v>
      </c>
      <c r="T812" s="42" t="s">
        <v>1</v>
      </c>
    </row>
    <row r="813" spans="1:20" ht="12.75">
      <c r="A813" s="44">
        <v>7529</v>
      </c>
      <c r="B813" s="886">
        <v>15058</v>
      </c>
      <c r="C813" s="886">
        <v>56685841</v>
      </c>
      <c r="D813" s="950" t="s">
        <v>2506</v>
      </c>
      <c r="E813" s="115">
        <f>B813-MOD(E$1-A813*3,B813)</f>
        <v>8797</v>
      </c>
      <c r="F813" s="644">
        <f>IF(MOD(E813,5)=0,B813,0)+E813</f>
        <v>8797</v>
      </c>
      <c r="G813" s="785">
        <f>IF(MOD(F813+$B813,5)=0,$B813,0)+$B813+F813</f>
        <v>38913</v>
      </c>
      <c r="H813" s="785">
        <f>IF(MOD(G813+$B813,5)=0,$B813,0)+$B813+G813</f>
        <v>53971</v>
      </c>
      <c r="I813" s="785">
        <f>IF(MOD(H813+$B813,5)=0,$B813,0)+$B813+H813</f>
        <v>69029</v>
      </c>
      <c r="J813" s="911">
        <v>879</v>
      </c>
      <c r="K813" s="785">
        <v>3891</v>
      </c>
      <c r="L813" s="785">
        <v>5397</v>
      </c>
      <c r="M813" s="785">
        <v>6902</v>
      </c>
      <c r="N813" s="23" t="str">
        <f>D813&amp;FIXED(MOD(F813,10),0)</f>
        <v>hh97</v>
      </c>
      <c r="O813" s="78" t="str">
        <f>MID(A$5,((FIND(N813,A$4,1)-1)+1),4)</f>
        <v>db7e</v>
      </c>
      <c r="P813" s="76" t="s">
        <v>0</v>
      </c>
      <c r="Q813" s="219" t="s">
        <v>0</v>
      </c>
      <c r="R813" s="103" t="s">
        <v>0</v>
      </c>
      <c r="S813" s="103" t="s">
        <v>0</v>
      </c>
      <c r="T813" s="42" t="s">
        <v>1</v>
      </c>
    </row>
    <row r="814" spans="1:20" ht="12.75">
      <c r="A814" s="44">
        <v>7537</v>
      </c>
      <c r="B814" s="886">
        <v>15074</v>
      </c>
      <c r="C814" s="886">
        <v>56806369</v>
      </c>
      <c r="D814" s="950" t="s">
        <v>2501</v>
      </c>
      <c r="E814" s="115">
        <f>B814-MOD(E$1-A814*3,B814)</f>
        <v>845</v>
      </c>
      <c r="F814" s="644">
        <f>IF(MOD(E814,5)=0,B814,0)+E814</f>
        <v>15919</v>
      </c>
      <c r="G814" s="785">
        <f>IF(MOD(F814+$B814,5)=0,$B814,0)+$B814+F814</f>
        <v>30993</v>
      </c>
      <c r="H814" s="785">
        <f>IF(MOD(G814+$B814,5)=0,$B814,0)+$B814+G814</f>
        <v>46067</v>
      </c>
      <c r="I814" s="785">
        <f>IF(MOD(H814+$B814,5)=0,$B814,0)+$B814+H814</f>
        <v>61141</v>
      </c>
      <c r="J814" s="911">
        <v>1591</v>
      </c>
      <c r="K814" s="785">
        <v>3099</v>
      </c>
      <c r="L814" s="785">
        <v>4606</v>
      </c>
      <c r="M814" s="785">
        <v>6114</v>
      </c>
      <c r="N814" s="23" t="str">
        <f>D814&amp;FIXED(MOD(F814,10),0)</f>
        <v>hh79</v>
      </c>
      <c r="O814" s="78" t="str">
        <f>MID(A$5,((FIND(N814,A$4,1)-1)+1),4)</f>
        <v>ebd7</v>
      </c>
      <c r="P814" s="76" t="s">
        <v>0</v>
      </c>
      <c r="Q814" s="219" t="s">
        <v>0</v>
      </c>
      <c r="R814" s="103" t="s">
        <v>0</v>
      </c>
      <c r="S814" s="103" t="s">
        <v>0</v>
      </c>
      <c r="T814" s="42" t="s">
        <v>1</v>
      </c>
    </row>
    <row r="815" spans="1:20" ht="12.75">
      <c r="A815" s="44">
        <v>7541</v>
      </c>
      <c r="B815" s="886">
        <v>15082</v>
      </c>
      <c r="C815" s="886">
        <v>56866681</v>
      </c>
      <c r="D815" s="950" t="s">
        <v>2490</v>
      </c>
      <c r="E815" s="115">
        <f>B815-MOD(E$1-A815*3,B815)</f>
        <v>3209</v>
      </c>
      <c r="F815" s="644">
        <f>IF(MOD(E815,5)=0,B815,0)+E815</f>
        <v>3209</v>
      </c>
      <c r="G815" s="785">
        <f>IF(MOD(F815+$B815,5)=0,$B815,0)+$B815+F815</f>
        <v>18291</v>
      </c>
      <c r="H815" s="785">
        <f>IF(MOD(G815+$B815,5)=0,$B815,0)+$B815+G815</f>
        <v>33373</v>
      </c>
      <c r="I815" s="785">
        <f>IF(MOD(H815+$B815,5)=0,$B815,0)+$B815+H815</f>
        <v>63537</v>
      </c>
      <c r="J815" s="911">
        <v>320</v>
      </c>
      <c r="K815" s="785">
        <v>1829</v>
      </c>
      <c r="L815" s="785">
        <v>3337</v>
      </c>
      <c r="M815" s="785">
        <v>6353</v>
      </c>
      <c r="N815" s="23" t="str">
        <f>D815&amp;FIXED(MOD(F815,10),0)</f>
        <v>hh19</v>
      </c>
      <c r="O815" s="78" t="str">
        <f>MID(A$5,((FIND(N815,A$4,1)-1)+1),4)</f>
        <v>e7bd</v>
      </c>
      <c r="P815" s="76" t="s">
        <v>0</v>
      </c>
      <c r="Q815" s="219" t="s">
        <v>0</v>
      </c>
      <c r="R815" s="103" t="s">
        <v>0</v>
      </c>
      <c r="S815" s="103" t="s">
        <v>0</v>
      </c>
      <c r="T815" s="42" t="s">
        <v>1</v>
      </c>
    </row>
    <row r="816" spans="1:20" ht="12.75">
      <c r="A816" s="44">
        <v>7547</v>
      </c>
      <c r="B816" s="886">
        <v>15094</v>
      </c>
      <c r="C816" s="886">
        <v>56957209</v>
      </c>
      <c r="D816" s="950" t="s">
        <v>2501</v>
      </c>
      <c r="E816" s="115">
        <f>B816-MOD(E$1-A816*3,B816)</f>
        <v>8663</v>
      </c>
      <c r="F816" s="644">
        <f>IF(MOD(E816,5)=0,B816,0)+E816</f>
        <v>8663</v>
      </c>
      <c r="G816" s="785">
        <f>IF(MOD(F816+$B816,5)=0,$B816,0)+$B816+F816</f>
        <v>23757</v>
      </c>
      <c r="H816" s="785">
        <f>IF(MOD(G816+$B816,5)=0,$B816,0)+$B816+G816</f>
        <v>38851</v>
      </c>
      <c r="I816" s="785">
        <f>IF(MOD(H816+$B816,5)=0,$B816,0)+$B816+H816</f>
        <v>69039</v>
      </c>
      <c r="J816" s="911">
        <v>866</v>
      </c>
      <c r="K816" s="785">
        <v>2375</v>
      </c>
      <c r="L816" s="785">
        <v>3885</v>
      </c>
      <c r="M816" s="785">
        <v>6903</v>
      </c>
      <c r="N816" s="23" t="str">
        <f>D816&amp;FIXED(MOD(F816,10),0)</f>
        <v>hh73</v>
      </c>
      <c r="O816" s="78" t="str">
        <f>MID(A$5,((FIND(N816,A$4,1)-1)+1),4)</f>
        <v>bd7e</v>
      </c>
      <c r="P816" s="76" t="s">
        <v>0</v>
      </c>
      <c r="Q816" s="219" t="s">
        <v>0</v>
      </c>
      <c r="R816" s="103" t="s">
        <v>0</v>
      </c>
      <c r="S816" s="103" t="s">
        <v>0</v>
      </c>
      <c r="T816" s="42" t="s">
        <v>1</v>
      </c>
    </row>
    <row r="817" spans="1:20" ht="12.75">
      <c r="A817" s="44">
        <v>7549</v>
      </c>
      <c r="B817" s="886">
        <v>15098</v>
      </c>
      <c r="C817" s="886">
        <v>56987401</v>
      </c>
      <c r="D817" s="950" t="s">
        <v>2506</v>
      </c>
      <c r="E817" s="115">
        <f>B817-MOD(E$1-A817*3,B817)</f>
        <v>8239</v>
      </c>
      <c r="F817" s="644">
        <f>IF(MOD(E817,5)=0,B817,0)+E817</f>
        <v>8239</v>
      </c>
      <c r="G817" s="785">
        <f>IF(MOD(F817+$B817,5)=0,$B817,0)+$B817+F817</f>
        <v>23337</v>
      </c>
      <c r="H817" s="785">
        <f>IF(MOD(G817+$B817,5)=0,$B817,0)+$B817+G817</f>
        <v>53533</v>
      </c>
      <c r="I817" s="785">
        <f>IF(MOD(H817+$B817,5)=0,$B817,0)+$B817+H817</f>
        <v>68631</v>
      </c>
      <c r="J817" s="911">
        <v>823</v>
      </c>
      <c r="K817" s="785">
        <v>2333</v>
      </c>
      <c r="L817" s="785">
        <v>5353</v>
      </c>
      <c r="M817" s="785">
        <v>6863</v>
      </c>
      <c r="N817" s="23" t="str">
        <f>D817&amp;FIXED(MOD(F817,10),0)</f>
        <v>hh99</v>
      </c>
      <c r="O817" s="78" t="str">
        <f>MID(A$5,((FIND(N817,A$4,1)-1)+1),4)</f>
        <v>edb7</v>
      </c>
      <c r="P817" s="76" t="s">
        <v>0</v>
      </c>
      <c r="Q817" s="219" t="s">
        <v>0</v>
      </c>
      <c r="R817" s="103" t="s">
        <v>0</v>
      </c>
      <c r="S817" s="103" t="s">
        <v>0</v>
      </c>
      <c r="T817" s="42" t="s">
        <v>1</v>
      </c>
    </row>
    <row r="818" spans="1:20" ht="12.75">
      <c r="A818" s="44">
        <v>7559</v>
      </c>
      <c r="B818" s="886">
        <v>15118</v>
      </c>
      <c r="C818" s="886">
        <v>57138481</v>
      </c>
      <c r="D818" s="950" t="s">
        <v>2506</v>
      </c>
      <c r="E818" s="115">
        <f>B818-MOD(E$1-A818*3,B818)</f>
        <v>14951</v>
      </c>
      <c r="F818" s="644">
        <f>IF(MOD(E818,5)=0,B818,0)+E818</f>
        <v>14951</v>
      </c>
      <c r="G818" s="785">
        <f>IF(MOD(F818+$B818,5)=0,$B818,0)+$B818+F818</f>
        <v>30069</v>
      </c>
      <c r="H818" s="785">
        <f>IF(MOD(G818+$B818,5)=0,$B818,0)+$B818+G818</f>
        <v>45187</v>
      </c>
      <c r="I818" s="785">
        <f>IF(MOD(H818+$B818,5)=0,$B818,0)+$B818+H818</f>
        <v>75423</v>
      </c>
      <c r="J818" s="911">
        <v>1495</v>
      </c>
      <c r="K818" s="785">
        <v>3006</v>
      </c>
      <c r="L818" s="785">
        <v>4518</v>
      </c>
      <c r="M818" s="785">
        <v>7542</v>
      </c>
      <c r="N818" s="23" t="str">
        <f>D818&amp;FIXED(MOD(F818,10),0)</f>
        <v>hh91</v>
      </c>
      <c r="O818" s="78" t="str">
        <f>MID(A$5,((FIND(N818,A$4,1)-1)+1),4)</f>
        <v>7edb</v>
      </c>
      <c r="P818" s="76" t="s">
        <v>0</v>
      </c>
      <c r="Q818" s="219" t="s">
        <v>0</v>
      </c>
      <c r="R818" s="103" t="s">
        <v>0</v>
      </c>
      <c r="S818" s="103" t="s">
        <v>0</v>
      </c>
      <c r="T818" s="42" t="s">
        <v>1</v>
      </c>
    </row>
    <row r="819" spans="1:20" ht="12.75">
      <c r="A819" s="44">
        <v>7561</v>
      </c>
      <c r="B819" s="886">
        <v>15122</v>
      </c>
      <c r="C819" s="886">
        <v>57168721</v>
      </c>
      <c r="D819" s="950" t="s">
        <v>2490</v>
      </c>
      <c r="E819" s="115">
        <f>B819-MOD(E$1-A819*3,B819)</f>
        <v>9457</v>
      </c>
      <c r="F819" s="644">
        <f>IF(MOD(E819,5)=0,B819,0)+E819</f>
        <v>9457</v>
      </c>
      <c r="G819" s="785">
        <f>IF(MOD(F819+$B819,5)=0,$B819,0)+$B819+F819</f>
        <v>24579</v>
      </c>
      <c r="H819" s="785">
        <f>IF(MOD(G819+$B819,5)=0,$B819,0)+$B819+G819</f>
        <v>39701</v>
      </c>
      <c r="I819" s="785">
        <f>IF(MOD(H819+$B819,5)=0,$B819,0)+$B819+H819</f>
        <v>54823</v>
      </c>
      <c r="J819" s="911">
        <v>945</v>
      </c>
      <c r="K819" s="785">
        <v>2457</v>
      </c>
      <c r="L819" s="785">
        <v>3970</v>
      </c>
      <c r="M819" s="785">
        <v>5482</v>
      </c>
      <c r="N819" s="23" t="str">
        <f>D819&amp;FIXED(MOD(F819,10),0)</f>
        <v>hh17</v>
      </c>
      <c r="O819" s="78" t="str">
        <f>MID(A$5,((FIND(N819,A$4,1)-1)+1),4)</f>
        <v>de7b</v>
      </c>
      <c r="P819" s="76" t="s">
        <v>0</v>
      </c>
      <c r="Q819" s="219" t="s">
        <v>0</v>
      </c>
      <c r="R819" s="103" t="s">
        <v>0</v>
      </c>
      <c r="S819" s="103" t="s">
        <v>0</v>
      </c>
      <c r="T819" s="42" t="s">
        <v>1</v>
      </c>
    </row>
    <row r="820" spans="1:20" ht="12.75">
      <c r="A820" s="44">
        <v>7573</v>
      </c>
      <c r="B820" s="886">
        <v>15146</v>
      </c>
      <c r="C820" s="886">
        <v>57350329</v>
      </c>
      <c r="D820" s="950" t="s">
        <v>2496</v>
      </c>
      <c r="E820" s="115">
        <f>B820-MOD(E$1-A820*3,B820)</f>
        <v>3753</v>
      </c>
      <c r="F820" s="644">
        <f>IF(MOD(E820,5)=0,B820,0)+E820</f>
        <v>3753</v>
      </c>
      <c r="G820" s="785">
        <f>IF(MOD(F820+$B820,5)=0,$B820,0)+$B820+F820</f>
        <v>18899</v>
      </c>
      <c r="H820" s="785">
        <f>IF(MOD(G820+$B820,5)=0,$B820,0)+$B820+G820</f>
        <v>49191</v>
      </c>
      <c r="I820" s="785">
        <f>IF(MOD(H820+$B820,5)=0,$B820,0)+$B820+H820</f>
        <v>64337</v>
      </c>
      <c r="J820" s="911">
        <v>375</v>
      </c>
      <c r="K820" s="785">
        <v>1889</v>
      </c>
      <c r="L820" s="785">
        <v>4919</v>
      </c>
      <c r="M820" s="785">
        <v>6433</v>
      </c>
      <c r="N820" s="23" t="str">
        <f>D820&amp;FIXED(MOD(F820,10),0)</f>
        <v>hh33</v>
      </c>
      <c r="O820" s="78" t="str">
        <f>MID(A$5,((FIND(N820,A$4,1)-1)+1),4)</f>
        <v>be7d</v>
      </c>
      <c r="P820" s="76" t="s">
        <v>0</v>
      </c>
      <c r="Q820" s="219" t="s">
        <v>0</v>
      </c>
      <c r="R820" s="103" t="s">
        <v>0</v>
      </c>
      <c r="S820" s="103" t="s">
        <v>0</v>
      </c>
      <c r="T820" s="42" t="s">
        <v>1</v>
      </c>
    </row>
    <row r="821" spans="1:20" ht="12.75">
      <c r="A821" s="44">
        <v>7577</v>
      </c>
      <c r="B821" s="886">
        <v>15154</v>
      </c>
      <c r="C821" s="886">
        <v>57410929</v>
      </c>
      <c r="D821" s="950" t="s">
        <v>2501</v>
      </c>
      <c r="E821" s="115">
        <f>B821-MOD(E$1-A821*3,B821)</f>
        <v>9525</v>
      </c>
      <c r="F821" s="644">
        <f>IF(MOD(E821,5)=0,B821,0)+E821</f>
        <v>24679</v>
      </c>
      <c r="G821" s="785">
        <f>IF(MOD(F821+$B821,5)=0,$B821,0)+$B821+F821</f>
        <v>39833</v>
      </c>
      <c r="H821" s="785">
        <f>IF(MOD(G821+$B821,5)=0,$B821,0)+$B821+G821</f>
        <v>54987</v>
      </c>
      <c r="I821" s="785">
        <f>IF(MOD(H821+$B821,5)=0,$B821,0)+$B821+H821</f>
        <v>70141</v>
      </c>
      <c r="J821" s="911">
        <v>2467</v>
      </c>
      <c r="K821" s="785">
        <v>3983</v>
      </c>
      <c r="L821" s="785">
        <v>5498</v>
      </c>
      <c r="M821" s="785">
        <v>7014</v>
      </c>
      <c r="N821" s="23" t="str">
        <f>D821&amp;FIXED(MOD(F821,10),0)</f>
        <v>hh79</v>
      </c>
      <c r="O821" s="78" t="str">
        <f>MID(A$5,((FIND(N821,A$4,1)-1)+1),4)</f>
        <v>ebd7</v>
      </c>
      <c r="P821" s="76" t="s">
        <v>0</v>
      </c>
      <c r="Q821" s="219" t="s">
        <v>0</v>
      </c>
      <c r="R821" s="103" t="s">
        <v>0</v>
      </c>
      <c r="S821" s="103" t="s">
        <v>0</v>
      </c>
      <c r="T821" s="42" t="s">
        <v>1</v>
      </c>
    </row>
    <row r="822" spans="1:20" ht="12.75">
      <c r="A822" s="44">
        <v>7583</v>
      </c>
      <c r="B822" s="886">
        <v>15166</v>
      </c>
      <c r="C822" s="886">
        <v>57501889</v>
      </c>
      <c r="D822" s="950" t="s">
        <v>2496</v>
      </c>
      <c r="E822" s="115">
        <f>B822-MOD(E$1-A822*3,B822)</f>
        <v>13949</v>
      </c>
      <c r="F822" s="644">
        <f>IF(MOD(E822,5)=0,B822,0)+E822</f>
        <v>13949</v>
      </c>
      <c r="G822" s="785">
        <f>IF(MOD(F822+$B822,5)=0,$B822,0)+$B822+F822</f>
        <v>44281</v>
      </c>
      <c r="H822" s="785">
        <f>IF(MOD(G822+$B822,5)=0,$B822,0)+$B822+G822</f>
        <v>59447</v>
      </c>
      <c r="I822" s="785">
        <f>IF(MOD(H822+$B822,5)=0,$B822,0)+$B822+H822</f>
        <v>74613</v>
      </c>
      <c r="J822" s="911">
        <v>1394</v>
      </c>
      <c r="K822" s="785">
        <v>4428</v>
      </c>
      <c r="L822" s="785">
        <v>5944</v>
      </c>
      <c r="M822" s="785">
        <v>7461</v>
      </c>
      <c r="N822" s="23" t="str">
        <f>D822&amp;FIXED(MOD(F822,10),0)</f>
        <v>hh39</v>
      </c>
      <c r="O822" s="78" t="str">
        <f>MID(A$5,((FIND(N822,A$4,1)-1)+1),4)</f>
        <v>e7db</v>
      </c>
      <c r="P822" s="76" t="s">
        <v>0</v>
      </c>
      <c r="Q822" s="219" t="s">
        <v>0</v>
      </c>
      <c r="R822" s="103" t="s">
        <v>0</v>
      </c>
      <c r="S822" s="103" t="s">
        <v>0</v>
      </c>
      <c r="T822" s="42" t="s">
        <v>1</v>
      </c>
    </row>
    <row r="823" spans="1:20" ht="12.75">
      <c r="A823" s="44">
        <v>7589</v>
      </c>
      <c r="B823" s="886">
        <v>15178</v>
      </c>
      <c r="C823" s="886">
        <v>57592921</v>
      </c>
      <c r="D823" s="950" t="s">
        <v>2506</v>
      </c>
      <c r="E823" s="115">
        <f>B823-MOD(E$1-A823*3,B823)</f>
        <v>11831</v>
      </c>
      <c r="F823" s="644">
        <f>IF(MOD(E823,5)=0,B823,0)+E823</f>
        <v>11831</v>
      </c>
      <c r="G823" s="785">
        <f>IF(MOD(F823+$B823,5)=0,$B823,0)+$B823+F823</f>
        <v>27009</v>
      </c>
      <c r="H823" s="785">
        <f>IF(MOD(G823+$B823,5)=0,$B823,0)+$B823+G823</f>
        <v>42187</v>
      </c>
      <c r="I823" s="785">
        <f>IF(MOD(H823+$B823,5)=0,$B823,0)+$B823+H823</f>
        <v>72543</v>
      </c>
      <c r="J823" s="911">
        <v>1183</v>
      </c>
      <c r="K823" s="785">
        <v>2700</v>
      </c>
      <c r="L823" s="785">
        <v>4218</v>
      </c>
      <c r="M823" s="785">
        <v>7254</v>
      </c>
      <c r="N823" s="23" t="str">
        <f>D823&amp;FIXED(MOD(F823,10),0)</f>
        <v>hh91</v>
      </c>
      <c r="O823" s="78" t="str">
        <f>MID(A$5,((FIND(N823,A$4,1)-1)+1),4)</f>
        <v>7edb</v>
      </c>
      <c r="P823" s="76" t="s">
        <v>0</v>
      </c>
      <c r="Q823" s="219" t="s">
        <v>0</v>
      </c>
      <c r="R823" s="103" t="s">
        <v>0</v>
      </c>
      <c r="S823" s="103" t="s">
        <v>0</v>
      </c>
      <c r="T823" s="42" t="s">
        <v>1</v>
      </c>
    </row>
    <row r="824" spans="1:20" ht="12.75">
      <c r="A824" s="44">
        <v>7591</v>
      </c>
      <c r="B824" s="886">
        <v>15182</v>
      </c>
      <c r="C824" s="886">
        <v>57623281</v>
      </c>
      <c r="D824" s="950" t="s">
        <v>2490</v>
      </c>
      <c r="E824" s="115">
        <f>B824-MOD(E$1-A824*3,B824)</f>
        <v>11663</v>
      </c>
      <c r="F824" s="644">
        <f>IF(MOD(E824,5)=0,B824,0)+E824</f>
        <v>11663</v>
      </c>
      <c r="G824" s="785">
        <f>IF(MOD(F824+$B824,5)=0,$B824,0)+$B824+F824</f>
        <v>42027</v>
      </c>
      <c r="H824" s="785">
        <f>IF(MOD(G824+$B824,5)=0,$B824,0)+$B824+G824</f>
        <v>57209</v>
      </c>
      <c r="I824" s="785">
        <f>IF(MOD(H824+$B824,5)=0,$B824,0)+$B824+H824</f>
        <v>72391</v>
      </c>
      <c r="J824" s="911">
        <v>1166</v>
      </c>
      <c r="K824" s="785">
        <v>4202</v>
      </c>
      <c r="L824" s="785">
        <v>5720</v>
      </c>
      <c r="M824" s="785">
        <v>7239</v>
      </c>
      <c r="N824" s="23" t="str">
        <f>D824&amp;FIXED(MOD(F824,10),0)</f>
        <v>hh13</v>
      </c>
      <c r="O824" s="78" t="str">
        <f>MID(A$5,((FIND(N824,A$4,1)-1)+1),4)</f>
        <v>bde7</v>
      </c>
      <c r="P824" s="76" t="s">
        <v>0</v>
      </c>
      <c r="Q824" s="219" t="s">
        <v>0</v>
      </c>
      <c r="R824" s="103" t="s">
        <v>0</v>
      </c>
      <c r="S824" s="103" t="s">
        <v>0</v>
      </c>
      <c r="T824" s="42" t="s">
        <v>1</v>
      </c>
    </row>
    <row r="825" spans="1:20" ht="12.75">
      <c r="A825" s="44">
        <v>7603</v>
      </c>
      <c r="B825" s="886">
        <v>15206</v>
      </c>
      <c r="C825" s="886">
        <v>57805609</v>
      </c>
      <c r="D825" s="950" t="s">
        <v>2496</v>
      </c>
      <c r="E825" s="115">
        <f>B825-MOD(E$1-A825*3,B825)</f>
        <v>13321</v>
      </c>
      <c r="F825" s="644">
        <f>IF(MOD(E825,5)=0,B825,0)+E825</f>
        <v>13321</v>
      </c>
      <c r="G825" s="785">
        <f>IF(MOD(F825+$B825,5)=0,$B825,0)+$B825+F825</f>
        <v>28527</v>
      </c>
      <c r="H825" s="785">
        <f>IF(MOD(G825+$B825,5)=0,$B825,0)+$B825+G825</f>
        <v>43733</v>
      </c>
      <c r="I825" s="785">
        <f>IF(MOD(H825+$B825,5)=0,$B825,0)+$B825+H825</f>
        <v>58939</v>
      </c>
      <c r="J825" s="911">
        <v>1332</v>
      </c>
      <c r="K825" s="785">
        <v>2852</v>
      </c>
      <c r="L825" s="785">
        <v>4373</v>
      </c>
      <c r="M825" s="785">
        <v>5893</v>
      </c>
      <c r="N825" s="23" t="str">
        <f>D825&amp;FIXED(MOD(F825,10),0)</f>
        <v>hh31</v>
      </c>
      <c r="O825" s="78" t="str">
        <f>MID(A$5,((FIND(N825,A$4,1)-1)+1),4)</f>
        <v>7dbe</v>
      </c>
      <c r="P825" s="76" t="s">
        <v>0</v>
      </c>
      <c r="Q825" s="219" t="s">
        <v>0</v>
      </c>
      <c r="R825" s="103" t="s">
        <v>0</v>
      </c>
      <c r="S825" s="103" t="s">
        <v>0</v>
      </c>
      <c r="T825" s="42" t="s">
        <v>1</v>
      </c>
    </row>
    <row r="826" spans="1:20" ht="12.75">
      <c r="A826" s="44">
        <v>7607</v>
      </c>
      <c r="B826" s="886">
        <v>15214</v>
      </c>
      <c r="C826" s="886">
        <v>57866449</v>
      </c>
      <c r="D826" s="950" t="s">
        <v>2501</v>
      </c>
      <c r="E826" s="115">
        <f>B826-MOD(E$1-A826*3,B826)</f>
        <v>14293</v>
      </c>
      <c r="F826" s="644">
        <f>IF(MOD(E826,5)=0,B826,0)+E826</f>
        <v>14293</v>
      </c>
      <c r="G826" s="785">
        <f>IF(MOD(F826+$B826,5)=0,$B826,0)+$B826+F826</f>
        <v>29507</v>
      </c>
      <c r="H826" s="785">
        <f>IF(MOD(G826+$B826,5)=0,$B826,0)+$B826+G826</f>
        <v>44721</v>
      </c>
      <c r="I826" s="785">
        <f>IF(MOD(H826+$B826,5)=0,$B826,0)+$B826+H826</f>
        <v>75149</v>
      </c>
      <c r="J826" s="911">
        <v>1429</v>
      </c>
      <c r="K826" s="785">
        <v>2950</v>
      </c>
      <c r="L826" s="785">
        <v>4472</v>
      </c>
      <c r="M826" s="785">
        <v>7514</v>
      </c>
      <c r="N826" s="23" t="str">
        <f>D826&amp;FIXED(MOD(F826,10),0)</f>
        <v>hh73</v>
      </c>
      <c r="O826" s="78" t="str">
        <f>MID(A$5,((FIND(N826,A$4,1)-1)+1),4)</f>
        <v>bd7e</v>
      </c>
      <c r="P826" s="76" t="s">
        <v>0</v>
      </c>
      <c r="Q826" s="219" t="s">
        <v>0</v>
      </c>
      <c r="R826" s="103" t="s">
        <v>0</v>
      </c>
      <c r="S826" s="103" t="s">
        <v>0</v>
      </c>
      <c r="T826" s="42" t="s">
        <v>1</v>
      </c>
    </row>
    <row r="827" spans="1:20" ht="12.75">
      <c r="A827" s="44">
        <v>7621</v>
      </c>
      <c r="B827" s="886">
        <v>15242</v>
      </c>
      <c r="C827" s="886">
        <v>58079641</v>
      </c>
      <c r="D827" s="950" t="s">
        <v>2490</v>
      </c>
      <c r="E827" s="115">
        <f>B827-MOD(E$1-A827*3,B827)</f>
        <v>131</v>
      </c>
      <c r="F827" s="644">
        <f>IF(MOD(E827,5)=0,B827,0)+E827</f>
        <v>131</v>
      </c>
      <c r="G827" s="785">
        <f>IF(MOD(F827+$B827,5)=0,$B827,0)+$B827+F827</f>
        <v>15373</v>
      </c>
      <c r="H827" s="785">
        <f>IF(MOD(G827+$B827,5)=0,$B827,0)+$B827+G827</f>
        <v>45857</v>
      </c>
      <c r="I827" s="785">
        <f>IF(MOD(H827+$B827,5)=0,$B827,0)+$B827+H827</f>
        <v>61099</v>
      </c>
      <c r="J827" s="911">
        <v>13</v>
      </c>
      <c r="K827" s="785">
        <v>1537</v>
      </c>
      <c r="L827" s="785">
        <v>4585</v>
      </c>
      <c r="M827" s="785">
        <v>6109</v>
      </c>
      <c r="N827" s="23" t="str">
        <f>D827&amp;FIXED(MOD(F827,10),0)</f>
        <v>hh11</v>
      </c>
      <c r="O827" s="78" t="str">
        <f>MID(A$5,((FIND(N827,A$4,1)-1)+1),4)</f>
        <v>7bde</v>
      </c>
      <c r="P827" s="76" t="s">
        <v>0</v>
      </c>
      <c r="Q827" s="219" t="s">
        <v>0</v>
      </c>
      <c r="R827" s="103" t="s">
        <v>0</v>
      </c>
      <c r="S827" s="103" t="s">
        <v>0</v>
      </c>
      <c r="T827" s="42" t="s">
        <v>1</v>
      </c>
    </row>
    <row r="828" spans="1:20" ht="12.75">
      <c r="A828" s="44">
        <v>7639</v>
      </c>
      <c r="B828" s="886">
        <v>15278</v>
      </c>
      <c r="C828" s="886">
        <v>58354321</v>
      </c>
      <c r="D828" s="950" t="s">
        <v>2506</v>
      </c>
      <c r="E828" s="115">
        <f>B828-MOD(E$1-A828*3,B828)</f>
        <v>13405</v>
      </c>
      <c r="F828" s="644">
        <f>IF(MOD(E828,5)=0,B828,0)+E828</f>
        <v>28683</v>
      </c>
      <c r="G828" s="785">
        <f>IF(MOD(F828+$B828,5)=0,$B828,0)+$B828+F828</f>
        <v>43961</v>
      </c>
      <c r="H828" s="785">
        <f>IF(MOD(G828+$B828,5)=0,$B828,0)+$B828+G828</f>
        <v>59239</v>
      </c>
      <c r="I828" s="785">
        <f>IF(MOD(H828+$B828,5)=0,$B828,0)+$B828+H828</f>
        <v>74517</v>
      </c>
      <c r="J828" s="911">
        <v>2868</v>
      </c>
      <c r="K828" s="785">
        <v>4396</v>
      </c>
      <c r="L828" s="785">
        <v>5923</v>
      </c>
      <c r="M828" s="785">
        <v>7451</v>
      </c>
      <c r="N828" s="23" t="str">
        <f>D828&amp;FIXED(MOD(F828,10),0)</f>
        <v>hh93</v>
      </c>
      <c r="O828" s="78" t="str">
        <f>MID(A$5,((FIND(N828,A$4,1)-1)+1),4)</f>
        <v>b7ed</v>
      </c>
      <c r="P828" s="76" t="s">
        <v>0</v>
      </c>
      <c r="Q828" s="219" t="s">
        <v>0</v>
      </c>
      <c r="R828" s="103" t="s">
        <v>0</v>
      </c>
      <c r="S828" s="103" t="s">
        <v>0</v>
      </c>
      <c r="T828" s="42" t="s">
        <v>1</v>
      </c>
    </row>
    <row r="829" spans="1:20" ht="12.75">
      <c r="A829" s="44">
        <v>7643</v>
      </c>
      <c r="B829" s="886">
        <v>15286</v>
      </c>
      <c r="C829" s="886">
        <v>58415449</v>
      </c>
      <c r="D829" s="950" t="s">
        <v>2496</v>
      </c>
      <c r="E829" s="115">
        <f>B829-MOD(E$1-A829*3,B829)</f>
        <v>4725</v>
      </c>
      <c r="F829" s="644">
        <f>IF(MOD(E829,5)=0,B829,0)+E829</f>
        <v>20011</v>
      </c>
      <c r="G829" s="785">
        <f>IF(MOD(F829+$B829,5)=0,$B829,0)+$B829+F829</f>
        <v>35297</v>
      </c>
      <c r="H829" s="785">
        <f>IF(MOD(G829+$B829,5)=0,$B829,0)+$B829+G829</f>
        <v>50583</v>
      </c>
      <c r="I829" s="785">
        <f>IF(MOD(H829+$B829,5)=0,$B829,0)+$B829+H829</f>
        <v>65869</v>
      </c>
      <c r="J829" s="911">
        <v>2001</v>
      </c>
      <c r="K829" s="785">
        <v>3529</v>
      </c>
      <c r="L829" s="785">
        <v>5058</v>
      </c>
      <c r="M829" s="785">
        <v>6586</v>
      </c>
      <c r="N829" s="23" t="str">
        <f>D829&amp;FIXED(MOD(F829,10),0)</f>
        <v>hh31</v>
      </c>
      <c r="O829" s="78" t="str">
        <f>MID(A$5,((FIND(N829,A$4,1)-1)+1),4)</f>
        <v>7dbe</v>
      </c>
      <c r="P829" s="76" t="s">
        <v>0</v>
      </c>
      <c r="Q829" s="219" t="s">
        <v>0</v>
      </c>
      <c r="R829" s="103" t="s">
        <v>0</v>
      </c>
      <c r="S829" s="103" t="s">
        <v>0</v>
      </c>
      <c r="T829" s="42" t="s">
        <v>1</v>
      </c>
    </row>
    <row r="830" spans="1:20" ht="12.75">
      <c r="A830" s="44">
        <v>7649</v>
      </c>
      <c r="B830" s="886">
        <v>15298</v>
      </c>
      <c r="C830" s="886">
        <v>58507201</v>
      </c>
      <c r="D830" s="950" t="s">
        <v>2506</v>
      </c>
      <c r="E830" s="115">
        <f>B830-MOD(E$1-A830*3,B830)</f>
        <v>3623</v>
      </c>
      <c r="F830" s="644">
        <f>IF(MOD(E830,5)=0,B830,0)+E830</f>
        <v>3623</v>
      </c>
      <c r="G830" s="785">
        <f>IF(MOD(F830+$B830,5)=0,$B830,0)+$B830+F830</f>
        <v>18921</v>
      </c>
      <c r="H830" s="785">
        <f>IF(MOD(G830+$B830,5)=0,$B830,0)+$B830+G830</f>
        <v>34219</v>
      </c>
      <c r="I830" s="785">
        <f>IF(MOD(H830+$B830,5)=0,$B830,0)+$B830+H830</f>
        <v>49517</v>
      </c>
      <c r="J830" s="911">
        <v>362</v>
      </c>
      <c r="K830" s="785">
        <v>1892</v>
      </c>
      <c r="L830" s="785">
        <v>3421</v>
      </c>
      <c r="M830" s="785">
        <v>4951</v>
      </c>
      <c r="N830" s="23" t="str">
        <f>D830&amp;FIXED(MOD(F830,10),0)</f>
        <v>hh93</v>
      </c>
      <c r="O830" s="78" t="str">
        <f>MID(A$5,((FIND(N830,A$4,1)-1)+1),4)</f>
        <v>b7ed</v>
      </c>
      <c r="P830" s="76" t="s">
        <v>0</v>
      </c>
      <c r="Q830" s="219" t="s">
        <v>0</v>
      </c>
      <c r="R830" s="103" t="s">
        <v>0</v>
      </c>
      <c r="S830" s="103" t="s">
        <v>0</v>
      </c>
      <c r="T830" s="42" t="s">
        <v>1</v>
      </c>
    </row>
    <row r="831" spans="1:20" ht="12.75">
      <c r="A831" s="44">
        <v>7669</v>
      </c>
      <c r="B831" s="886">
        <v>15338</v>
      </c>
      <c r="C831" s="886">
        <v>58813561</v>
      </c>
      <c r="D831" s="950" t="s">
        <v>2506</v>
      </c>
      <c r="E831" s="115">
        <f>B831-MOD(E$1-A831*3,B831)</f>
        <v>1855</v>
      </c>
      <c r="F831" s="644">
        <f>IF(MOD(E831,5)=0,B831,0)+E831</f>
        <v>17193</v>
      </c>
      <c r="G831" s="785">
        <f>IF(MOD(F831+$B831,5)=0,$B831,0)+$B831+F831</f>
        <v>32531</v>
      </c>
      <c r="H831" s="785">
        <f>IF(MOD(G831+$B831,5)=0,$B831,0)+$B831+G831</f>
        <v>47869</v>
      </c>
      <c r="I831" s="785">
        <f>IF(MOD(H831+$B831,5)=0,$B831,0)+$B831+H831</f>
        <v>63207</v>
      </c>
      <c r="J831" s="911">
        <v>1719</v>
      </c>
      <c r="K831" s="785">
        <v>3253</v>
      </c>
      <c r="L831" s="785">
        <v>4786</v>
      </c>
      <c r="M831" s="785">
        <v>6320</v>
      </c>
      <c r="N831" s="23" t="str">
        <f>D831&amp;FIXED(MOD(F831,10),0)</f>
        <v>hh93</v>
      </c>
      <c r="O831" s="78" t="str">
        <f>MID(A$5,((FIND(N831,A$4,1)-1)+1),4)</f>
        <v>b7ed</v>
      </c>
      <c r="P831" s="76" t="s">
        <v>0</v>
      </c>
      <c r="Q831" s="219" t="s">
        <v>0</v>
      </c>
      <c r="R831" s="103" t="s">
        <v>0</v>
      </c>
      <c r="S831" s="103" t="s">
        <v>0</v>
      </c>
      <c r="T831" s="42" t="s">
        <v>1</v>
      </c>
    </row>
    <row r="832" spans="1:20" ht="12.75">
      <c r="A832" s="44">
        <v>7673</v>
      </c>
      <c r="B832" s="886">
        <v>15346</v>
      </c>
      <c r="C832" s="886">
        <v>58874929</v>
      </c>
      <c r="D832" s="950" t="s">
        <v>2496</v>
      </c>
      <c r="E832" s="115">
        <f>B832-MOD(E$1-A832*3,B832)</f>
        <v>6881</v>
      </c>
      <c r="F832" s="644">
        <f>IF(MOD(E832,5)=0,B832,0)+E832</f>
        <v>6881</v>
      </c>
      <c r="G832" s="785">
        <f>IF(MOD(F832+$B832,5)=0,$B832,0)+$B832+F832</f>
        <v>22227</v>
      </c>
      <c r="H832" s="785">
        <f>IF(MOD(G832+$B832,5)=0,$B832,0)+$B832+G832</f>
        <v>37573</v>
      </c>
      <c r="I832" s="785">
        <f>IF(MOD(H832+$B832,5)=0,$B832,0)+$B832+H832</f>
        <v>52919</v>
      </c>
      <c r="J832" s="911">
        <v>688</v>
      </c>
      <c r="K832" s="785">
        <v>2222</v>
      </c>
      <c r="L832" s="785">
        <v>3757</v>
      </c>
      <c r="M832" s="785">
        <v>5291</v>
      </c>
      <c r="N832" s="23" t="str">
        <f>D832&amp;FIXED(MOD(F832,10),0)</f>
        <v>hh31</v>
      </c>
      <c r="O832" s="78" t="str">
        <f>MID(A$5,((FIND(N832,A$4,1)-1)+1),4)</f>
        <v>7dbe</v>
      </c>
      <c r="P832" s="76" t="s">
        <v>0</v>
      </c>
      <c r="Q832" s="219" t="s">
        <v>0</v>
      </c>
      <c r="R832" s="103" t="s">
        <v>0</v>
      </c>
      <c r="S832" s="103" t="s">
        <v>0</v>
      </c>
      <c r="T832" s="42" t="s">
        <v>1</v>
      </c>
    </row>
    <row r="833" spans="1:20" ht="12.75">
      <c r="A833" s="44">
        <v>7681</v>
      </c>
      <c r="B833" s="886">
        <v>15362</v>
      </c>
      <c r="C833" s="886">
        <v>58997761</v>
      </c>
      <c r="D833" s="950" t="s">
        <v>2490</v>
      </c>
      <c r="E833" s="115">
        <f>B833-MOD(E$1-A833*3,B833)</f>
        <v>7987</v>
      </c>
      <c r="F833" s="644">
        <f>IF(MOD(E833,5)=0,B833,0)+E833</f>
        <v>7987</v>
      </c>
      <c r="G833" s="785">
        <f>IF(MOD(F833+$B833,5)=0,$B833,0)+$B833+F833</f>
        <v>23349</v>
      </c>
      <c r="H833" s="785">
        <f>IF(MOD(G833+$B833,5)=0,$B833,0)+$B833+G833</f>
        <v>38711</v>
      </c>
      <c r="I833" s="785">
        <f>IF(MOD(H833+$B833,5)=0,$B833,0)+$B833+H833</f>
        <v>54073</v>
      </c>
      <c r="J833" s="911">
        <v>798</v>
      </c>
      <c r="K833" s="785">
        <v>2334</v>
      </c>
      <c r="L833" s="785">
        <v>3871</v>
      </c>
      <c r="M833" s="785">
        <v>5407</v>
      </c>
      <c r="N833" s="23" t="str">
        <f>D833&amp;FIXED(MOD(F833,10),0)</f>
        <v>hh17</v>
      </c>
      <c r="O833" s="78" t="str">
        <f>MID(A$5,((FIND(N833,A$4,1)-1)+1),4)</f>
        <v>de7b</v>
      </c>
      <c r="P833" s="76" t="s">
        <v>0</v>
      </c>
      <c r="Q833" s="219" t="s">
        <v>0</v>
      </c>
      <c r="R833" s="103" t="s">
        <v>0</v>
      </c>
      <c r="S833" s="103" t="s">
        <v>0</v>
      </c>
      <c r="T833" s="42" t="s">
        <v>1</v>
      </c>
    </row>
    <row r="834" spans="1:20" ht="12.75">
      <c r="A834" s="44">
        <v>7687</v>
      </c>
      <c r="B834" s="886">
        <v>15374</v>
      </c>
      <c r="C834" s="886">
        <v>59089969</v>
      </c>
      <c r="D834" s="950" t="s">
        <v>2501</v>
      </c>
      <c r="E834" s="115">
        <f>B834-MOD(E$1-A834*3,B834)</f>
        <v>4895</v>
      </c>
      <c r="F834" s="644">
        <f>IF(MOD(E834,5)=0,B834,0)+E834</f>
        <v>20269</v>
      </c>
      <c r="G834" s="785">
        <f>IF(MOD(F834+$B834,5)=0,$B834,0)+$B834+F834</f>
        <v>35643</v>
      </c>
      <c r="H834" s="785">
        <f>IF(MOD(G834+$B834,5)=0,$B834,0)+$B834+G834</f>
        <v>51017</v>
      </c>
      <c r="I834" s="785">
        <f>IF(MOD(H834+$B834,5)=0,$B834,0)+$B834+H834</f>
        <v>66391</v>
      </c>
      <c r="J834" s="911">
        <v>2026</v>
      </c>
      <c r="K834" s="785">
        <v>3564</v>
      </c>
      <c r="L834" s="785">
        <v>5101</v>
      </c>
      <c r="M834" s="785">
        <v>6639</v>
      </c>
      <c r="N834" s="23" t="str">
        <f>D834&amp;FIXED(MOD(F834,10),0)</f>
        <v>hh79</v>
      </c>
      <c r="O834" s="78" t="str">
        <f>MID(A$5,((FIND(N834,A$4,1)-1)+1),4)</f>
        <v>ebd7</v>
      </c>
      <c r="P834" s="76" t="s">
        <v>0</v>
      </c>
      <c r="Q834" s="219" t="s">
        <v>0</v>
      </c>
      <c r="R834" s="103" t="s">
        <v>0</v>
      </c>
      <c r="S834" s="103" t="s">
        <v>0</v>
      </c>
      <c r="T834" s="42" t="s">
        <v>1</v>
      </c>
    </row>
    <row r="835" spans="1:20" ht="12.75">
      <c r="A835" s="44">
        <v>7691</v>
      </c>
      <c r="B835" s="886">
        <v>15382</v>
      </c>
      <c r="C835" s="886">
        <v>59151481</v>
      </c>
      <c r="D835" s="950" t="s">
        <v>2490</v>
      </c>
      <c r="E835" s="115">
        <f>B835-MOD(E$1-A835*3,B835)</f>
        <v>7407</v>
      </c>
      <c r="F835" s="644">
        <f>IF(MOD(E835,5)=0,B835,0)+E835</f>
        <v>7407</v>
      </c>
      <c r="G835" s="785">
        <f>IF(MOD(F835+$B835,5)=0,$B835,0)+$B835+F835</f>
        <v>22789</v>
      </c>
      <c r="H835" s="785">
        <f>IF(MOD(G835+$B835,5)=0,$B835,0)+$B835+G835</f>
        <v>38171</v>
      </c>
      <c r="I835" s="785">
        <f>IF(MOD(H835+$B835,5)=0,$B835,0)+$B835+H835</f>
        <v>53553</v>
      </c>
      <c r="J835" s="911">
        <v>740</v>
      </c>
      <c r="K835" s="785">
        <v>2278</v>
      </c>
      <c r="L835" s="785">
        <v>3817</v>
      </c>
      <c r="M835" s="785">
        <v>5355</v>
      </c>
      <c r="N835" s="23" t="str">
        <f>D835&amp;FIXED(MOD(F835,10),0)</f>
        <v>hh17</v>
      </c>
      <c r="O835" s="78" t="str">
        <f>MID(A$5,((FIND(N835,A$4,1)-1)+1),4)</f>
        <v>de7b</v>
      </c>
      <c r="P835" s="76" t="s">
        <v>0</v>
      </c>
      <c r="Q835" s="219" t="s">
        <v>0</v>
      </c>
      <c r="R835" s="103" t="s">
        <v>0</v>
      </c>
      <c r="S835" s="103" t="s">
        <v>0</v>
      </c>
      <c r="T835" s="42" t="s">
        <v>1</v>
      </c>
    </row>
    <row r="836" spans="1:20" ht="12.75">
      <c r="A836" s="44">
        <v>7699</v>
      </c>
      <c r="B836" s="886">
        <v>15398</v>
      </c>
      <c r="C836" s="886">
        <v>59274601</v>
      </c>
      <c r="D836" s="950" t="s">
        <v>2506</v>
      </c>
      <c r="E836" s="115">
        <f>B836-MOD(E$1-A836*3,B836)</f>
        <v>10313</v>
      </c>
      <c r="F836" s="644">
        <f>IF(MOD(E836,5)=0,B836,0)+E836</f>
        <v>10313</v>
      </c>
      <c r="G836" s="785">
        <f>IF(MOD(F836+$B836,5)=0,$B836,0)+$B836+F836</f>
        <v>25711</v>
      </c>
      <c r="H836" s="785">
        <f>IF(MOD(G836+$B836,5)=0,$B836,0)+$B836+G836</f>
        <v>41109</v>
      </c>
      <c r="I836" s="785">
        <f>IF(MOD(H836+$B836,5)=0,$B836,0)+$B836+H836</f>
        <v>56507</v>
      </c>
      <c r="J836" s="911">
        <v>1031</v>
      </c>
      <c r="K836" s="785">
        <v>2571</v>
      </c>
      <c r="L836" s="785">
        <v>4110</v>
      </c>
      <c r="M836" s="785">
        <v>5650</v>
      </c>
      <c r="N836" s="23" t="str">
        <f>D836&amp;FIXED(MOD(F836,10),0)</f>
        <v>hh93</v>
      </c>
      <c r="O836" s="78" t="str">
        <f>MID(A$5,((FIND(N836,A$4,1)-1)+1),4)</f>
        <v>b7ed</v>
      </c>
      <c r="P836" s="76" t="s">
        <v>0</v>
      </c>
      <c r="Q836" s="219" t="s">
        <v>0</v>
      </c>
      <c r="R836" s="103" t="s">
        <v>0</v>
      </c>
      <c r="S836" s="103" t="s">
        <v>0</v>
      </c>
      <c r="T836" s="42" t="s">
        <v>1</v>
      </c>
    </row>
    <row r="837" spans="1:20" ht="12.75">
      <c r="A837" s="44">
        <v>7703</v>
      </c>
      <c r="B837" s="886">
        <v>15406</v>
      </c>
      <c r="C837" s="886">
        <v>59336209</v>
      </c>
      <c r="D837" s="950" t="s">
        <v>2496</v>
      </c>
      <c r="E837" s="115">
        <f>B837-MOD(E$1-A837*3,B837)</f>
        <v>11715</v>
      </c>
      <c r="F837" s="644">
        <f>IF(MOD(E837,5)=0,B837,0)+E837</f>
        <v>27121</v>
      </c>
      <c r="G837" s="785">
        <f>IF(MOD(F837+$B837,5)=0,$B837,0)+$B837+F837</f>
        <v>42527</v>
      </c>
      <c r="H837" s="785">
        <f>IF(MOD(G837+$B837,5)=0,$B837,0)+$B837+G837</f>
        <v>57933</v>
      </c>
      <c r="I837" s="785">
        <f>IF(MOD(H837+$B837,5)=0,$B837,0)+$B837+H837</f>
        <v>73339</v>
      </c>
      <c r="J837" s="911">
        <v>2712</v>
      </c>
      <c r="K837" s="785">
        <v>4252</v>
      </c>
      <c r="L837" s="785">
        <v>5793</v>
      </c>
      <c r="M837" s="785">
        <v>7333</v>
      </c>
      <c r="N837" s="23" t="str">
        <f>D837&amp;FIXED(MOD(F837,10),0)</f>
        <v>hh31</v>
      </c>
      <c r="O837" s="78" t="str">
        <f>MID(A$5,((FIND(N837,A$4,1)-1)+1),4)</f>
        <v>7dbe</v>
      </c>
      <c r="P837" s="76" t="s">
        <v>0</v>
      </c>
      <c r="Q837" s="219" t="s">
        <v>0</v>
      </c>
      <c r="R837" s="103" t="s">
        <v>0</v>
      </c>
      <c r="S837" s="103" t="s">
        <v>0</v>
      </c>
      <c r="T837" s="42" t="s">
        <v>1</v>
      </c>
    </row>
    <row r="838" spans="1:20" ht="12.75">
      <c r="A838" s="44">
        <v>7717</v>
      </c>
      <c r="B838" s="886">
        <v>15434</v>
      </c>
      <c r="C838" s="886">
        <v>59552089</v>
      </c>
      <c r="D838" s="950" t="s">
        <v>2501</v>
      </c>
      <c r="E838" s="115">
        <f>B838-MOD(E$1-A838*3,B838)</f>
        <v>11449</v>
      </c>
      <c r="F838" s="644">
        <f>IF(MOD(E838,5)=0,B838,0)+E838</f>
        <v>11449</v>
      </c>
      <c r="G838" s="785">
        <f>IF(MOD(F838+$B838,5)=0,$B838,0)+$B838+F838</f>
        <v>26883</v>
      </c>
      <c r="H838" s="785">
        <f>IF(MOD(G838+$B838,5)=0,$B838,0)+$B838+G838</f>
        <v>42317</v>
      </c>
      <c r="I838" s="785">
        <f>IF(MOD(H838+$B838,5)=0,$B838,0)+$B838+H838</f>
        <v>57751</v>
      </c>
      <c r="J838" s="911">
        <v>1144</v>
      </c>
      <c r="K838" s="785">
        <v>2688</v>
      </c>
      <c r="L838" s="785">
        <v>4231</v>
      </c>
      <c r="M838" s="785">
        <v>5775</v>
      </c>
      <c r="N838" s="23" t="str">
        <f>D838&amp;FIXED(MOD(F838,10),0)</f>
        <v>hh79</v>
      </c>
      <c r="O838" s="78" t="str">
        <f>MID(A$5,((FIND(N838,A$4,1)-1)+1),4)</f>
        <v>ebd7</v>
      </c>
      <c r="P838" s="76" t="s">
        <v>0</v>
      </c>
      <c r="Q838" s="219" t="s">
        <v>0</v>
      </c>
      <c r="R838" s="103" t="s">
        <v>0</v>
      </c>
      <c r="S838" s="103" t="s">
        <v>0</v>
      </c>
      <c r="T838" s="42" t="s">
        <v>1</v>
      </c>
    </row>
    <row r="839" spans="1:20" ht="12.75">
      <c r="A839" s="44">
        <v>7723</v>
      </c>
      <c r="B839" s="886">
        <v>15446</v>
      </c>
      <c r="C839" s="886">
        <v>59644729</v>
      </c>
      <c r="D839" s="950" t="s">
        <v>2496</v>
      </c>
      <c r="E839" s="115">
        <f>B839-MOD(E$1-A839*3,B839)</f>
        <v>7483</v>
      </c>
      <c r="F839" s="644">
        <f>IF(MOD(E839,5)=0,B839,0)+E839</f>
        <v>7483</v>
      </c>
      <c r="G839" s="785">
        <f>IF(MOD(F839+$B839,5)=0,$B839,0)+$B839+F839</f>
        <v>22929</v>
      </c>
      <c r="H839" s="785">
        <f>IF(MOD(G839+$B839,5)=0,$B839,0)+$B839+G839</f>
        <v>53821</v>
      </c>
      <c r="I839" s="785">
        <f>IF(MOD(H839+$B839,5)=0,$B839,0)+$B839+H839</f>
        <v>69267</v>
      </c>
      <c r="J839" s="911">
        <v>748</v>
      </c>
      <c r="K839" s="785">
        <v>2292</v>
      </c>
      <c r="L839" s="785">
        <v>5382</v>
      </c>
      <c r="M839" s="785">
        <v>6926</v>
      </c>
      <c r="N839" s="23" t="str">
        <f>D839&amp;FIXED(MOD(F839,10),0)</f>
        <v>hh33</v>
      </c>
      <c r="O839" s="78" t="str">
        <f>MID(A$5,((FIND(N839,A$4,1)-1)+1),4)</f>
        <v>be7d</v>
      </c>
      <c r="P839" s="76" t="s">
        <v>0</v>
      </c>
      <c r="Q839" s="219" t="s">
        <v>0</v>
      </c>
      <c r="R839" s="103" t="s">
        <v>0</v>
      </c>
      <c r="S839" s="103" t="s">
        <v>0</v>
      </c>
      <c r="T839" s="42" t="s">
        <v>1</v>
      </c>
    </row>
    <row r="840" spans="1:20" ht="12.75">
      <c r="A840" s="44">
        <v>7727</v>
      </c>
      <c r="B840" s="886">
        <v>15454</v>
      </c>
      <c r="C840" s="886">
        <v>59706529</v>
      </c>
      <c r="D840" s="950" t="s">
        <v>2501</v>
      </c>
      <c r="E840" s="115">
        <f>B840-MOD(E$1-A840*3,B840)</f>
        <v>4803</v>
      </c>
      <c r="F840" s="644">
        <f>IF(MOD(E840,5)=0,B840,0)+E840</f>
        <v>4803</v>
      </c>
      <c r="G840" s="785">
        <f>IF(MOD(F840+$B840,5)=0,$B840,0)+$B840+F840</f>
        <v>20257</v>
      </c>
      <c r="H840" s="785">
        <f>IF(MOD(G840+$B840,5)=0,$B840,0)+$B840+G840</f>
        <v>35711</v>
      </c>
      <c r="I840" s="785">
        <f>IF(MOD(H840+$B840,5)=0,$B840,0)+$B840+H840</f>
        <v>66619</v>
      </c>
      <c r="J840" s="911">
        <v>480</v>
      </c>
      <c r="K840" s="785">
        <v>2025</v>
      </c>
      <c r="L840" s="785">
        <v>3571</v>
      </c>
      <c r="M840" s="785">
        <v>6661</v>
      </c>
      <c r="N840" s="23" t="str">
        <f>D840&amp;FIXED(MOD(F840,10),0)</f>
        <v>hh73</v>
      </c>
      <c r="O840" s="78" t="str">
        <f>MID(A$5,((FIND(N840,A$4,1)-1)+1),4)</f>
        <v>bd7e</v>
      </c>
      <c r="P840" s="76" t="s">
        <v>0</v>
      </c>
      <c r="Q840" s="219" t="s">
        <v>0</v>
      </c>
      <c r="R840" s="103" t="s">
        <v>0</v>
      </c>
      <c r="S840" s="103" t="s">
        <v>0</v>
      </c>
      <c r="T840" s="42" t="s">
        <v>1</v>
      </c>
    </row>
    <row r="841" spans="1:20" ht="12.75">
      <c r="A841" s="44">
        <v>7741</v>
      </c>
      <c r="B841" s="886">
        <v>15482</v>
      </c>
      <c r="C841" s="886">
        <v>59923081</v>
      </c>
      <c r="D841" s="950" t="s">
        <v>2490</v>
      </c>
      <c r="E841" s="115">
        <f>B841-MOD(E$1-A841*3,B841)</f>
        <v>6155</v>
      </c>
      <c r="F841" s="644">
        <f>IF(MOD(E841,5)=0,B841,0)+E841</f>
        <v>21637</v>
      </c>
      <c r="G841" s="785">
        <f>IF(MOD(F841+$B841,5)=0,$B841,0)+$B841+F841</f>
        <v>37119</v>
      </c>
      <c r="H841" s="785">
        <f>IF(MOD(G841+$B841,5)=0,$B841,0)+$B841+G841</f>
        <v>52601</v>
      </c>
      <c r="I841" s="785">
        <f>IF(MOD(H841+$B841,5)=0,$B841,0)+$B841+H841</f>
        <v>68083</v>
      </c>
      <c r="J841" s="911">
        <v>2163</v>
      </c>
      <c r="K841" s="785">
        <v>3711</v>
      </c>
      <c r="L841" s="785">
        <v>5260</v>
      </c>
      <c r="M841" s="785">
        <v>6808</v>
      </c>
      <c r="N841" s="23" t="str">
        <f>D841&amp;FIXED(MOD(F841,10),0)</f>
        <v>hh17</v>
      </c>
      <c r="O841" s="78" t="str">
        <f>MID(A$5,((FIND(N841,A$4,1)-1)+1),4)</f>
        <v>de7b</v>
      </c>
      <c r="P841" s="76" t="s">
        <v>0</v>
      </c>
      <c r="Q841" s="219" t="s">
        <v>0</v>
      </c>
      <c r="R841" s="103" t="s">
        <v>0</v>
      </c>
      <c r="S841" s="103" t="s">
        <v>0</v>
      </c>
      <c r="T841" s="42" t="s">
        <v>1</v>
      </c>
    </row>
    <row r="842" spans="1:20" ht="12.75">
      <c r="A842" s="44">
        <v>7753</v>
      </c>
      <c r="B842" s="886">
        <v>15506</v>
      </c>
      <c r="C842" s="886">
        <v>60109009</v>
      </c>
      <c r="D842" s="950" t="s">
        <v>2496</v>
      </c>
      <c r="E842" s="115">
        <f>B842-MOD(E$1-A842*3,B842)</f>
        <v>7679</v>
      </c>
      <c r="F842" s="644">
        <f>IF(MOD(E842,5)=0,B842,0)+E842</f>
        <v>7679</v>
      </c>
      <c r="G842" s="785">
        <f>IF(MOD(F842+$B842,5)=0,$B842,0)+$B842+F842</f>
        <v>38691</v>
      </c>
      <c r="H842" s="785">
        <f>IF(MOD(G842+$B842,5)=0,$B842,0)+$B842+G842</f>
        <v>54197</v>
      </c>
      <c r="I842" s="785">
        <f>IF(MOD(H842+$B842,5)=0,$B842,0)+$B842+H842</f>
        <v>69703</v>
      </c>
      <c r="J842" s="911">
        <v>767</v>
      </c>
      <c r="K842" s="785">
        <v>3869</v>
      </c>
      <c r="L842" s="785">
        <v>5419</v>
      </c>
      <c r="M842" s="785">
        <v>6970</v>
      </c>
      <c r="N842" s="23" t="str">
        <f>D842&amp;FIXED(MOD(F842,10),0)</f>
        <v>hh39</v>
      </c>
      <c r="O842" s="78" t="str">
        <f>MID(A$5,((FIND(N842,A$4,1)-1)+1),4)</f>
        <v>e7db</v>
      </c>
      <c r="P842" s="76" t="s">
        <v>0</v>
      </c>
      <c r="Q842" s="219" t="s">
        <v>0</v>
      </c>
      <c r="R842" s="103" t="s">
        <v>0</v>
      </c>
      <c r="S842" s="103" t="s">
        <v>0</v>
      </c>
      <c r="T842" s="42" t="s">
        <v>1</v>
      </c>
    </row>
    <row r="843" spans="1:20" ht="12.75">
      <c r="A843" s="44">
        <v>7757</v>
      </c>
      <c r="B843" s="886">
        <v>15514</v>
      </c>
      <c r="C843" s="886">
        <v>60171049</v>
      </c>
      <c r="D843" s="950" t="s">
        <v>2501</v>
      </c>
      <c r="E843" s="115">
        <f>B843-MOD(E$1-A843*3,B843)</f>
        <v>5797</v>
      </c>
      <c r="F843" s="644">
        <f>IF(MOD(E843,5)=0,B843,0)+E843</f>
        <v>5797</v>
      </c>
      <c r="G843" s="785">
        <f>IF(MOD(F843+$B843,5)=0,$B843,0)+$B843+F843</f>
        <v>21311</v>
      </c>
      <c r="H843" s="785">
        <f>IF(MOD(G843+$B843,5)=0,$B843,0)+$B843+G843</f>
        <v>52339</v>
      </c>
      <c r="I843" s="785">
        <f>IF(MOD(H843+$B843,5)=0,$B843,0)+$B843+H843</f>
        <v>67853</v>
      </c>
      <c r="J843" s="911">
        <v>579</v>
      </c>
      <c r="K843" s="785">
        <v>2131</v>
      </c>
      <c r="L843" s="785">
        <v>5233</v>
      </c>
      <c r="M843" s="785">
        <v>6785</v>
      </c>
      <c r="N843" s="23" t="str">
        <f>D843&amp;FIXED(MOD(F843,10),0)</f>
        <v>hh77</v>
      </c>
      <c r="O843" s="78" t="str">
        <f>MID(A$5,((FIND(N843,A$4,1)-1)+1),4)</f>
        <v>d7eb</v>
      </c>
      <c r="P843" s="76" t="s">
        <v>0</v>
      </c>
      <c r="Q843" s="219" t="s">
        <v>0</v>
      </c>
      <c r="R843" s="103" t="s">
        <v>0</v>
      </c>
      <c r="S843" s="103" t="s">
        <v>0</v>
      </c>
      <c r="T843" s="42" t="s">
        <v>1</v>
      </c>
    </row>
    <row r="844" spans="1:20" ht="12.75">
      <c r="A844" s="44">
        <v>7759</v>
      </c>
      <c r="B844" s="886">
        <v>15518</v>
      </c>
      <c r="C844" s="886">
        <v>60202081</v>
      </c>
      <c r="D844" s="950" t="s">
        <v>2506</v>
      </c>
      <c r="E844" s="115">
        <f>B844-MOD(E$1-A844*3,B844)</f>
        <v>1775</v>
      </c>
      <c r="F844" s="644">
        <f>IF(MOD(E844,5)=0,B844,0)+E844</f>
        <v>17293</v>
      </c>
      <c r="G844" s="785">
        <f>IF(MOD(F844+$B844,5)=0,$B844,0)+$B844+F844</f>
        <v>32811</v>
      </c>
      <c r="H844" s="785">
        <f>IF(MOD(G844+$B844,5)=0,$B844,0)+$B844+G844</f>
        <v>48329</v>
      </c>
      <c r="I844" s="785">
        <f>IF(MOD(H844+$B844,5)=0,$B844,0)+$B844+H844</f>
        <v>63847</v>
      </c>
      <c r="J844" s="911">
        <v>1729</v>
      </c>
      <c r="K844" s="785">
        <v>3281</v>
      </c>
      <c r="L844" s="785">
        <v>4832</v>
      </c>
      <c r="M844" s="785">
        <v>6384</v>
      </c>
      <c r="N844" s="23" t="str">
        <f>D844&amp;FIXED(MOD(F844,10),0)</f>
        <v>hh93</v>
      </c>
      <c r="O844" s="78" t="str">
        <f>MID(A$5,((FIND(N844,A$4,1)-1)+1),4)</f>
        <v>b7ed</v>
      </c>
      <c r="P844" s="76" t="s">
        <v>0</v>
      </c>
      <c r="Q844" s="219" t="s">
        <v>0</v>
      </c>
      <c r="R844" s="103" t="s">
        <v>0</v>
      </c>
      <c r="S844" s="103" t="s">
        <v>0</v>
      </c>
      <c r="T844" s="42" t="s">
        <v>1</v>
      </c>
    </row>
    <row r="845" spans="1:20" ht="12.75">
      <c r="A845" s="44">
        <v>7789</v>
      </c>
      <c r="B845" s="886">
        <v>15578</v>
      </c>
      <c r="C845" s="886">
        <v>60668521</v>
      </c>
      <c r="D845" s="950" t="s">
        <v>2506</v>
      </c>
      <c r="E845" s="115">
        <f>B845-MOD(E$1-A845*3,B845)</f>
        <v>2991</v>
      </c>
      <c r="F845" s="644">
        <f>IF(MOD(E845,5)=0,B845,0)+E845</f>
        <v>2991</v>
      </c>
      <c r="G845" s="785">
        <f>IF(MOD(F845+$B845,5)=0,$B845,0)+$B845+F845</f>
        <v>18569</v>
      </c>
      <c r="H845" s="785">
        <f>IF(MOD(G845+$B845,5)=0,$B845,0)+$B845+G845</f>
        <v>34147</v>
      </c>
      <c r="I845" s="785">
        <f>IF(MOD(H845+$B845,5)=0,$B845,0)+$B845+H845</f>
        <v>65303</v>
      </c>
      <c r="J845" s="911">
        <v>299</v>
      </c>
      <c r="K845" s="785">
        <v>1856</v>
      </c>
      <c r="L845" s="785">
        <v>3414</v>
      </c>
      <c r="M845" s="785">
        <v>6530</v>
      </c>
      <c r="N845" s="23" t="str">
        <f>D845&amp;FIXED(MOD(F845,10),0)</f>
        <v>hh91</v>
      </c>
      <c r="O845" s="78" t="str">
        <f>MID(A$5,((FIND(N845,A$4,1)-1)+1),4)</f>
        <v>7edb</v>
      </c>
      <c r="P845" s="76" t="s">
        <v>0</v>
      </c>
      <c r="Q845" s="219" t="s">
        <v>0</v>
      </c>
      <c r="R845" s="103" t="s">
        <v>0</v>
      </c>
      <c r="S845" s="103" t="s">
        <v>0</v>
      </c>
      <c r="T845" s="42" t="s">
        <v>1</v>
      </c>
    </row>
    <row r="846" spans="1:20" ht="12.75">
      <c r="A846" s="44">
        <v>7793</v>
      </c>
      <c r="B846" s="886">
        <v>15586</v>
      </c>
      <c r="C846" s="886">
        <v>60730849</v>
      </c>
      <c r="D846" s="950" t="s">
        <v>2496</v>
      </c>
      <c r="E846" s="115">
        <f>B846-MOD(E$1-A846*3,B846)</f>
        <v>7645</v>
      </c>
      <c r="F846" s="644">
        <f>IF(MOD(E846,5)=0,B846,0)+E846</f>
        <v>23231</v>
      </c>
      <c r="G846" s="785">
        <f>IF(MOD(F846+$B846,5)=0,$B846,0)+$B846+F846</f>
        <v>38817</v>
      </c>
      <c r="H846" s="785">
        <f>IF(MOD(G846+$B846,5)=0,$B846,0)+$B846+G846</f>
        <v>54403</v>
      </c>
      <c r="I846" s="785">
        <f>IF(MOD(H846+$B846,5)=0,$B846,0)+$B846+H846</f>
        <v>69989</v>
      </c>
      <c r="J846" s="911">
        <v>2323</v>
      </c>
      <c r="K846" s="785">
        <v>3881</v>
      </c>
      <c r="L846" s="785">
        <v>5440</v>
      </c>
      <c r="M846" s="785">
        <v>6998</v>
      </c>
      <c r="N846" s="23" t="str">
        <f>D846&amp;FIXED(MOD(F846,10),0)</f>
        <v>hh31</v>
      </c>
      <c r="O846" s="78" t="str">
        <f>MID(A$5,((FIND(N846,A$4,1)-1)+1),4)</f>
        <v>7dbe</v>
      </c>
      <c r="P846" s="76" t="s">
        <v>0</v>
      </c>
      <c r="Q846" s="219" t="s">
        <v>0</v>
      </c>
      <c r="R846" s="103" t="s">
        <v>0</v>
      </c>
      <c r="S846" s="103" t="s">
        <v>0</v>
      </c>
      <c r="T846" s="42" t="s">
        <v>1</v>
      </c>
    </row>
    <row r="847" spans="1:20" ht="12.75">
      <c r="A847" s="44">
        <v>7817</v>
      </c>
      <c r="B847" s="886">
        <v>15634</v>
      </c>
      <c r="C847" s="886">
        <v>61105489</v>
      </c>
      <c r="D847" s="950" t="s">
        <v>2501</v>
      </c>
      <c r="E847" s="115">
        <f>B847-MOD(E$1-A847*3,B847)</f>
        <v>4845</v>
      </c>
      <c r="F847" s="644">
        <f>IF(MOD(E847,5)=0,B847,0)+E847</f>
        <v>20479</v>
      </c>
      <c r="G847" s="785">
        <f>IF(MOD(F847+$B847,5)=0,$B847,0)+$B847+F847</f>
        <v>36113</v>
      </c>
      <c r="H847" s="785">
        <f>IF(MOD(G847+$B847,5)=0,$B847,0)+$B847+G847</f>
        <v>51747</v>
      </c>
      <c r="I847" s="785">
        <f>IF(MOD(H847+$B847,5)=0,$B847,0)+$B847+H847</f>
        <v>67381</v>
      </c>
      <c r="J847" s="911">
        <v>2047</v>
      </c>
      <c r="K847" s="785">
        <v>3611</v>
      </c>
      <c r="L847" s="785">
        <v>5174</v>
      </c>
      <c r="M847" s="785">
        <v>6738</v>
      </c>
      <c r="N847" s="23" t="str">
        <f>D847&amp;FIXED(MOD(F847,10),0)</f>
        <v>hh79</v>
      </c>
      <c r="O847" s="78" t="str">
        <f>MID(A$5,((FIND(N847,A$4,1)-1)+1),4)</f>
        <v>ebd7</v>
      </c>
      <c r="P847" s="76" t="s">
        <v>0</v>
      </c>
      <c r="Q847" s="219" t="s">
        <v>0</v>
      </c>
      <c r="R847" s="103" t="s">
        <v>0</v>
      </c>
      <c r="S847" s="103" t="s">
        <v>0</v>
      </c>
      <c r="T847" s="42" t="s">
        <v>1</v>
      </c>
    </row>
    <row r="848" spans="1:20" ht="12.75">
      <c r="A848" s="44">
        <v>7823</v>
      </c>
      <c r="B848" s="886">
        <v>15646</v>
      </c>
      <c r="C848" s="886">
        <v>61199329</v>
      </c>
      <c r="D848" s="950" t="s">
        <v>2496</v>
      </c>
      <c r="E848" s="115">
        <f>B848-MOD(E$1-A848*3,B848)</f>
        <v>3043</v>
      </c>
      <c r="F848" s="644">
        <f>IF(MOD(E848,5)=0,B848,0)+E848</f>
        <v>3043</v>
      </c>
      <c r="G848" s="785">
        <f>IF(MOD(F848+$B848,5)=0,$B848,0)+$B848+F848</f>
        <v>18689</v>
      </c>
      <c r="H848" s="785">
        <f>IF(MOD(G848+$B848,5)=0,$B848,0)+$B848+G848</f>
        <v>49981</v>
      </c>
      <c r="I848" s="785">
        <f>IF(MOD(H848+$B848,5)=0,$B848,0)+$B848+H848</f>
        <v>65627</v>
      </c>
      <c r="J848" s="911">
        <v>304</v>
      </c>
      <c r="K848" s="785">
        <v>1868</v>
      </c>
      <c r="L848" s="785">
        <v>4998</v>
      </c>
      <c r="M848" s="785">
        <v>6562</v>
      </c>
      <c r="N848" s="23" t="str">
        <f>D848&amp;FIXED(MOD(F848,10),0)</f>
        <v>hh33</v>
      </c>
      <c r="O848" s="78" t="str">
        <f>MID(A$5,((FIND(N848,A$4,1)-1)+1),4)</f>
        <v>be7d</v>
      </c>
      <c r="P848" s="76" t="s">
        <v>0</v>
      </c>
      <c r="Q848" s="219" t="s">
        <v>0</v>
      </c>
      <c r="R848" s="103" t="s">
        <v>0</v>
      </c>
      <c r="S848" s="103" t="s">
        <v>0</v>
      </c>
      <c r="T848" s="42" t="s">
        <v>1</v>
      </c>
    </row>
    <row r="849" spans="1:20" ht="12.75">
      <c r="A849" s="44">
        <v>7829</v>
      </c>
      <c r="B849" s="886">
        <v>15658</v>
      </c>
      <c r="C849" s="886">
        <v>61293241</v>
      </c>
      <c r="D849" s="950" t="s">
        <v>2506</v>
      </c>
      <c r="E849" s="115">
        <f>B849-MOD(E$1-A849*3,B849)</f>
        <v>923</v>
      </c>
      <c r="F849" s="644">
        <f>IF(MOD(E849,5)=0,B849,0)+E849</f>
        <v>923</v>
      </c>
      <c r="G849" s="785">
        <f>IF(MOD(F849+$B849,5)=0,$B849,0)+$B849+F849</f>
        <v>16581</v>
      </c>
      <c r="H849" s="785">
        <f>IF(MOD(G849+$B849,5)=0,$B849,0)+$B849+G849</f>
        <v>32239</v>
      </c>
      <c r="I849" s="785">
        <f>IF(MOD(H849+$B849,5)=0,$B849,0)+$B849+H849</f>
        <v>47897</v>
      </c>
      <c r="J849" s="911">
        <v>92</v>
      </c>
      <c r="K849" s="785">
        <v>1658</v>
      </c>
      <c r="L849" s="785">
        <v>3223</v>
      </c>
      <c r="M849" s="785">
        <v>4789</v>
      </c>
      <c r="N849" s="23" t="str">
        <f>D849&amp;FIXED(MOD(F849,10),0)</f>
        <v>hh93</v>
      </c>
      <c r="O849" s="78" t="str">
        <f>MID(A$5,((FIND(N849,A$4,1)-1)+1),4)</f>
        <v>b7ed</v>
      </c>
      <c r="P849" s="76" t="s">
        <v>0</v>
      </c>
      <c r="Q849" s="219" t="s">
        <v>0</v>
      </c>
      <c r="R849" s="103" t="s">
        <v>0</v>
      </c>
      <c r="S849" s="103" t="s">
        <v>0</v>
      </c>
      <c r="T849" s="42" t="s">
        <v>1</v>
      </c>
    </row>
    <row r="850" spans="1:20" ht="12.75">
      <c r="A850" s="44">
        <v>7841</v>
      </c>
      <c r="B850" s="886">
        <v>15682</v>
      </c>
      <c r="C850" s="886">
        <v>61481281</v>
      </c>
      <c r="D850" s="950" t="s">
        <v>2490</v>
      </c>
      <c r="E850" s="115">
        <f>B850-MOD(E$1-A850*3,B850)</f>
        <v>2209</v>
      </c>
      <c r="F850" s="644">
        <f>IF(MOD(E850,5)=0,B850,0)+E850</f>
        <v>2209</v>
      </c>
      <c r="G850" s="785">
        <f>IF(MOD(F850+$B850,5)=0,$B850,0)+$B850+F850</f>
        <v>17891</v>
      </c>
      <c r="H850" s="785">
        <f>IF(MOD(G850+$B850,5)=0,$B850,0)+$B850+G850</f>
        <v>33573</v>
      </c>
      <c r="I850" s="785">
        <f>IF(MOD(H850+$B850,5)=0,$B850,0)+$B850+H850</f>
        <v>64937</v>
      </c>
      <c r="J850" s="911">
        <v>220</v>
      </c>
      <c r="K850" s="785">
        <v>1789</v>
      </c>
      <c r="L850" s="785">
        <v>3357</v>
      </c>
      <c r="M850" s="785">
        <v>6493</v>
      </c>
      <c r="N850" s="23" t="str">
        <f>D850&amp;FIXED(MOD(F850,10),0)</f>
        <v>hh19</v>
      </c>
      <c r="O850" s="78" t="str">
        <f>MID(A$5,((FIND(N850,A$4,1)-1)+1),4)</f>
        <v>e7bd</v>
      </c>
      <c r="P850" s="76" t="s">
        <v>0</v>
      </c>
      <c r="Q850" s="219" t="s">
        <v>0</v>
      </c>
      <c r="R850" s="103" t="s">
        <v>0</v>
      </c>
      <c r="S850" s="103" t="s">
        <v>0</v>
      </c>
      <c r="T850" s="42" t="s">
        <v>1</v>
      </c>
    </row>
    <row r="851" spans="1:20" ht="12.75">
      <c r="A851" s="44">
        <v>7853</v>
      </c>
      <c r="B851" s="886">
        <v>15706</v>
      </c>
      <c r="C851" s="886">
        <v>61669609</v>
      </c>
      <c r="D851" s="950" t="s">
        <v>2496</v>
      </c>
      <c r="E851" s="115">
        <f>B851-MOD(E$1-A851*3,B851)</f>
        <v>5957</v>
      </c>
      <c r="F851" s="644">
        <f>IF(MOD(E851,5)=0,B851,0)+E851</f>
        <v>5957</v>
      </c>
      <c r="G851" s="785">
        <f>IF(MOD(F851+$B851,5)=0,$B851,0)+$B851+F851</f>
        <v>21663</v>
      </c>
      <c r="H851" s="785">
        <f>IF(MOD(G851+$B851,5)=0,$B851,0)+$B851+G851</f>
        <v>37369</v>
      </c>
      <c r="I851" s="785">
        <f>IF(MOD(H851+$B851,5)=0,$B851,0)+$B851+H851</f>
        <v>68781</v>
      </c>
      <c r="J851" s="911">
        <v>595</v>
      </c>
      <c r="K851" s="785">
        <v>2166</v>
      </c>
      <c r="L851" s="785">
        <v>3736</v>
      </c>
      <c r="M851" s="785">
        <v>6878</v>
      </c>
      <c r="N851" s="23" t="str">
        <f>D851&amp;FIXED(MOD(F851,10),0)</f>
        <v>hh37</v>
      </c>
      <c r="O851" s="78" t="str">
        <f>MID(A$5,((FIND(N851,A$4,1)-1)+1),4)</f>
        <v>dbe7</v>
      </c>
      <c r="P851" s="76" t="s">
        <v>0</v>
      </c>
      <c r="Q851" s="219" t="s">
        <v>0</v>
      </c>
      <c r="R851" s="103" t="s">
        <v>0</v>
      </c>
      <c r="S851" s="103" t="s">
        <v>0</v>
      </c>
      <c r="T851" s="42" t="s">
        <v>1</v>
      </c>
    </row>
    <row r="852" spans="1:20" ht="12.75">
      <c r="A852" s="44">
        <v>7867</v>
      </c>
      <c r="B852" s="886">
        <v>15734</v>
      </c>
      <c r="C852" s="886">
        <v>61889689</v>
      </c>
      <c r="D852" s="950" t="s">
        <v>2501</v>
      </c>
      <c r="E852" s="115">
        <f>B852-MOD(E$1-A852*3,B852)</f>
        <v>697</v>
      </c>
      <c r="F852" s="644">
        <f>IF(MOD(E852,5)=0,B852,0)+E852</f>
        <v>697</v>
      </c>
      <c r="G852" s="785">
        <f>IF(MOD(F852+$B852,5)=0,$B852,0)+$B852+F852</f>
        <v>16431</v>
      </c>
      <c r="H852" s="785">
        <f>IF(MOD(G852+$B852,5)=0,$B852,0)+$B852+G852</f>
        <v>47899</v>
      </c>
      <c r="I852" s="785">
        <f>IF(MOD(H852+$B852,5)=0,$B852,0)+$B852+H852</f>
        <v>63633</v>
      </c>
      <c r="J852" s="911">
        <v>69</v>
      </c>
      <c r="K852" s="785">
        <v>1643</v>
      </c>
      <c r="L852" s="785">
        <v>4789</v>
      </c>
      <c r="M852" s="785">
        <v>6363</v>
      </c>
      <c r="N852" s="23" t="str">
        <f>D852&amp;FIXED(MOD(F852,10),0)</f>
        <v>hh77</v>
      </c>
      <c r="O852" s="78" t="str">
        <f>MID(A$5,((FIND(N852,A$4,1)-1)+1),4)</f>
        <v>d7eb</v>
      </c>
      <c r="P852" s="76" t="s">
        <v>0</v>
      </c>
      <c r="Q852" s="219" t="s">
        <v>0</v>
      </c>
      <c r="R852" s="103" t="s">
        <v>0</v>
      </c>
      <c r="S852" s="103" t="s">
        <v>0</v>
      </c>
      <c r="T852" s="42" t="s">
        <v>1</v>
      </c>
    </row>
    <row r="853" spans="1:20" ht="12.75">
      <c r="A853" s="44">
        <v>7873</v>
      </c>
      <c r="B853" s="886">
        <v>15746</v>
      </c>
      <c r="C853" s="886">
        <v>61984129</v>
      </c>
      <c r="D853" s="950" t="s">
        <v>2496</v>
      </c>
      <c r="E853" s="115">
        <f>B853-MOD(E$1-A853*3,B853)</f>
        <v>14189</v>
      </c>
      <c r="F853" s="644">
        <f>IF(MOD(E853,5)=0,B853,0)+E853</f>
        <v>14189</v>
      </c>
      <c r="G853" s="785">
        <f>IF(MOD(F853+$B853,5)=0,$B853,0)+$B853+F853</f>
        <v>45681</v>
      </c>
      <c r="H853" s="785">
        <f>IF(MOD(G853+$B853,5)=0,$B853,0)+$B853+G853</f>
        <v>61427</v>
      </c>
      <c r="I853" s="785">
        <f>IF(MOD(H853+$B853,5)=0,$B853,0)+$B853+H853</f>
        <v>77173</v>
      </c>
      <c r="J853" s="911">
        <v>1418</v>
      </c>
      <c r="K853" s="785">
        <v>4568</v>
      </c>
      <c r="L853" s="785">
        <v>6142</v>
      </c>
      <c r="M853" s="785">
        <v>7717</v>
      </c>
      <c r="N853" s="23" t="str">
        <f>D853&amp;FIXED(MOD(F853,10),0)</f>
        <v>hh39</v>
      </c>
      <c r="O853" s="78" t="str">
        <f>MID(A$5,((FIND(N853,A$4,1)-1)+1),4)</f>
        <v>e7db</v>
      </c>
      <c r="P853" s="76" t="s">
        <v>0</v>
      </c>
      <c r="Q853" s="219" t="s">
        <v>0</v>
      </c>
      <c r="R853" s="103" t="s">
        <v>0</v>
      </c>
      <c r="S853" s="103" t="s">
        <v>0</v>
      </c>
      <c r="T853" s="42" t="s">
        <v>1</v>
      </c>
    </row>
    <row r="854" spans="1:20" ht="12.75">
      <c r="A854" s="44">
        <v>7877</v>
      </c>
      <c r="B854" s="886">
        <v>15754</v>
      </c>
      <c r="C854" s="886">
        <v>62047129</v>
      </c>
      <c r="D854" s="950" t="s">
        <v>2501</v>
      </c>
      <c r="E854" s="115">
        <f>B854-MOD(E$1-A854*3,B854)</f>
        <v>9375</v>
      </c>
      <c r="F854" s="644">
        <f>IF(MOD(E854,5)=0,B854,0)+E854</f>
        <v>25129</v>
      </c>
      <c r="G854" s="785">
        <f>IF(MOD(F854+$B854,5)=0,$B854,0)+$B854+F854</f>
        <v>40883</v>
      </c>
      <c r="H854" s="785">
        <f>IF(MOD(G854+$B854,5)=0,$B854,0)+$B854+G854</f>
        <v>56637</v>
      </c>
      <c r="I854" s="785">
        <f>IF(MOD(H854+$B854,5)=0,$B854,0)+$B854+H854</f>
        <v>72391</v>
      </c>
      <c r="J854" s="911">
        <v>2512</v>
      </c>
      <c r="K854" s="785">
        <v>4088</v>
      </c>
      <c r="L854" s="785">
        <v>5663</v>
      </c>
      <c r="M854" s="785">
        <v>7239</v>
      </c>
      <c r="N854" s="23" t="str">
        <f>D854&amp;FIXED(MOD(F854,10),0)</f>
        <v>hh79</v>
      </c>
      <c r="O854" s="78" t="str">
        <f>MID(A$5,((FIND(N854,A$4,1)-1)+1),4)</f>
        <v>ebd7</v>
      </c>
      <c r="P854" s="76" t="s">
        <v>0</v>
      </c>
      <c r="Q854" s="219" t="s">
        <v>0</v>
      </c>
      <c r="R854" s="103" t="s">
        <v>0</v>
      </c>
      <c r="S854" s="103" t="s">
        <v>0</v>
      </c>
      <c r="T854" s="42" t="s">
        <v>1</v>
      </c>
    </row>
    <row r="855" spans="1:20" ht="12.75">
      <c r="A855" s="44">
        <v>7879</v>
      </c>
      <c r="B855" s="886">
        <v>15758</v>
      </c>
      <c r="C855" s="886">
        <v>62078641</v>
      </c>
      <c r="D855" s="950" t="s">
        <v>2506</v>
      </c>
      <c r="E855" s="115">
        <f>B855-MOD(E$1-A855*3,B855)</f>
        <v>9299</v>
      </c>
      <c r="F855" s="644">
        <f>IF(MOD(E855,5)=0,B855,0)+E855</f>
        <v>9299</v>
      </c>
      <c r="G855" s="785">
        <f>IF(MOD(F855+$B855,5)=0,$B855,0)+$B855+F855</f>
        <v>25057</v>
      </c>
      <c r="H855" s="785">
        <f>IF(MOD(G855+$B855,5)=0,$B855,0)+$B855+G855</f>
        <v>56573</v>
      </c>
      <c r="I855" s="785">
        <f>IF(MOD(H855+$B855,5)=0,$B855,0)+$B855+H855</f>
        <v>72331</v>
      </c>
      <c r="J855" s="911">
        <v>929</v>
      </c>
      <c r="K855" s="785">
        <v>2505</v>
      </c>
      <c r="L855" s="785">
        <v>5657</v>
      </c>
      <c r="M855" s="785">
        <v>7233</v>
      </c>
      <c r="N855" s="23" t="str">
        <f>D855&amp;FIXED(MOD(F855,10),0)</f>
        <v>hh99</v>
      </c>
      <c r="O855" s="78" t="str">
        <f>MID(A$5,((FIND(N855,A$4,1)-1)+1),4)</f>
        <v>edb7</v>
      </c>
      <c r="P855" s="76" t="s">
        <v>0</v>
      </c>
      <c r="Q855" s="219" t="s">
        <v>0</v>
      </c>
      <c r="R855" s="103" t="s">
        <v>0</v>
      </c>
      <c r="S855" s="103" t="s">
        <v>0</v>
      </c>
      <c r="T855" s="42" t="s">
        <v>1</v>
      </c>
    </row>
    <row r="856" spans="1:20" ht="12.75">
      <c r="A856" s="44">
        <v>7883</v>
      </c>
      <c r="B856" s="886">
        <v>15766</v>
      </c>
      <c r="C856" s="886">
        <v>62141689</v>
      </c>
      <c r="D856" s="950" t="s">
        <v>2496</v>
      </c>
      <c r="E856" s="115">
        <f>B856-MOD(E$1-A856*3,B856)</f>
        <v>14109</v>
      </c>
      <c r="F856" s="644">
        <f>IF(MOD(E856,5)=0,B856,0)+E856</f>
        <v>14109</v>
      </c>
      <c r="G856" s="785">
        <f>IF(MOD(F856+$B856,5)=0,$B856,0)+$B856+F856</f>
        <v>45641</v>
      </c>
      <c r="H856" s="785">
        <f>IF(MOD(G856+$B856,5)=0,$B856,0)+$B856+G856</f>
        <v>61407</v>
      </c>
      <c r="I856" s="785">
        <f>IF(MOD(H856+$B856,5)=0,$B856,0)+$B856+H856</f>
        <v>77173</v>
      </c>
      <c r="J856" s="911">
        <v>1410</v>
      </c>
      <c r="K856" s="785">
        <v>4564</v>
      </c>
      <c r="L856" s="785">
        <v>6140</v>
      </c>
      <c r="M856" s="785">
        <v>7717</v>
      </c>
      <c r="N856" s="23" t="str">
        <f>D856&amp;FIXED(MOD(F856,10),0)</f>
        <v>hh39</v>
      </c>
      <c r="O856" s="78" t="str">
        <f>MID(A$5,((FIND(N856,A$4,1)-1)+1),4)</f>
        <v>e7db</v>
      </c>
      <c r="P856" s="76" t="s">
        <v>0</v>
      </c>
      <c r="Q856" s="219" t="s">
        <v>0</v>
      </c>
      <c r="R856" s="103" t="s">
        <v>0</v>
      </c>
      <c r="S856" s="103" t="s">
        <v>0</v>
      </c>
      <c r="T856" s="42" t="s">
        <v>1</v>
      </c>
    </row>
    <row r="857" spans="1:20" ht="12.75">
      <c r="A857" s="44">
        <v>7901</v>
      </c>
      <c r="B857" s="886">
        <v>15802</v>
      </c>
      <c r="C857" s="886">
        <v>62425801</v>
      </c>
      <c r="D857" s="950" t="s">
        <v>2490</v>
      </c>
      <c r="E857" s="115">
        <f>B857-MOD(E$1-A857*3,B857)</f>
        <v>3091</v>
      </c>
      <c r="F857" s="644">
        <f>IF(MOD(E857,5)=0,B857,0)+E857</f>
        <v>3091</v>
      </c>
      <c r="G857" s="785">
        <f>IF(MOD(F857+$B857,5)=0,$B857,0)+$B857+F857</f>
        <v>18893</v>
      </c>
      <c r="H857" s="785">
        <f>IF(MOD(G857+$B857,5)=0,$B857,0)+$B857+G857</f>
        <v>50497</v>
      </c>
      <c r="I857" s="785">
        <f>IF(MOD(H857+$B857,5)=0,$B857,0)+$B857+H857</f>
        <v>66299</v>
      </c>
      <c r="J857" s="911">
        <v>309</v>
      </c>
      <c r="K857" s="785">
        <v>1889</v>
      </c>
      <c r="L857" s="785">
        <v>5049</v>
      </c>
      <c r="M857" s="785">
        <v>6629</v>
      </c>
      <c r="N857" s="23" t="str">
        <f>D857&amp;FIXED(MOD(F857,10),0)</f>
        <v>hh11</v>
      </c>
      <c r="O857" s="78" t="str">
        <f>MID(A$5,((FIND(N857,A$4,1)-1)+1),4)</f>
        <v>7bde</v>
      </c>
      <c r="P857" s="76" t="s">
        <v>0</v>
      </c>
      <c r="Q857" s="219" t="s">
        <v>0</v>
      </c>
      <c r="R857" s="103" t="s">
        <v>0</v>
      </c>
      <c r="S857" s="103" t="s">
        <v>0</v>
      </c>
      <c r="T857" s="42" t="s">
        <v>1</v>
      </c>
    </row>
    <row r="858" spans="1:20" ht="12.75">
      <c r="A858" s="44">
        <v>7907</v>
      </c>
      <c r="B858" s="886">
        <v>15814</v>
      </c>
      <c r="C858" s="886">
        <v>62520649</v>
      </c>
      <c r="D858" s="950" t="s">
        <v>2501</v>
      </c>
      <c r="E858" s="115">
        <f>B858-MOD(E$1-A858*3,B858)</f>
        <v>1523</v>
      </c>
      <c r="F858" s="644">
        <f>IF(MOD(E858,5)=0,B858,0)+E858</f>
        <v>1523</v>
      </c>
      <c r="G858" s="785">
        <f>IF(MOD(F858+$B858,5)=0,$B858,0)+$B858+F858</f>
        <v>17337</v>
      </c>
      <c r="H858" s="785">
        <f>IF(MOD(G858+$B858,5)=0,$B858,0)+$B858+G858</f>
        <v>33151</v>
      </c>
      <c r="I858" s="785">
        <f>IF(MOD(H858+$B858,5)=0,$B858,0)+$B858+H858</f>
        <v>64779</v>
      </c>
      <c r="J858" s="911">
        <v>152</v>
      </c>
      <c r="K858" s="785">
        <v>1733</v>
      </c>
      <c r="L858" s="785">
        <v>3315</v>
      </c>
      <c r="M858" s="785">
        <v>6477</v>
      </c>
      <c r="N858" s="23" t="str">
        <f>D858&amp;FIXED(MOD(F858,10),0)</f>
        <v>hh73</v>
      </c>
      <c r="O858" s="78" t="str">
        <f>MID(A$5,((FIND(N858,A$4,1)-1)+1),4)</f>
        <v>bd7e</v>
      </c>
      <c r="P858" s="76" t="s">
        <v>0</v>
      </c>
      <c r="Q858" s="219" t="s">
        <v>0</v>
      </c>
      <c r="R858" s="103" t="s">
        <v>0</v>
      </c>
      <c r="S858" s="103" t="s">
        <v>0</v>
      </c>
      <c r="T858" s="42" t="s">
        <v>1</v>
      </c>
    </row>
    <row r="859" spans="1:20" ht="12.75">
      <c r="A859" s="44">
        <v>7919</v>
      </c>
      <c r="B859" s="886">
        <v>15838</v>
      </c>
      <c r="C859" s="886">
        <v>62710561</v>
      </c>
      <c r="D859" s="950" t="s">
        <v>2506</v>
      </c>
      <c r="E859" s="115">
        <f>B859-MOD(E$1-A859*3,B859)</f>
        <v>3093</v>
      </c>
      <c r="F859" s="644">
        <f>IF(MOD(E859,5)=0,B859,0)+E859</f>
        <v>3093</v>
      </c>
      <c r="G859" s="785">
        <f>IF(MOD(F859+$B859,5)=0,$B859,0)+$B859+F859</f>
        <v>18931</v>
      </c>
      <c r="H859" s="785">
        <f>IF(MOD(G859+$B859,5)=0,$B859,0)+$B859+G859</f>
        <v>34769</v>
      </c>
      <c r="I859" s="785">
        <f>IF(MOD(H859+$B859,5)=0,$B859,0)+$B859+H859</f>
        <v>50607</v>
      </c>
      <c r="J859" s="911">
        <v>309</v>
      </c>
      <c r="K859" s="785">
        <v>1893</v>
      </c>
      <c r="L859" s="785">
        <v>3476</v>
      </c>
      <c r="M859" s="785">
        <v>5060</v>
      </c>
      <c r="N859" s="23" t="str">
        <f>D859&amp;FIXED(MOD(F859,10),0)</f>
        <v>hh93</v>
      </c>
      <c r="O859" s="78" t="str">
        <f>MID(A$5,((FIND(N859,A$4,1)-1)+1),4)</f>
        <v>b7ed</v>
      </c>
      <c r="P859" s="76" t="s">
        <v>0</v>
      </c>
      <c r="Q859" s="219" t="s">
        <v>0</v>
      </c>
      <c r="R859" s="103" t="s">
        <v>0</v>
      </c>
      <c r="S859" s="103" t="s">
        <v>0</v>
      </c>
      <c r="T859" s="42" t="s">
        <v>1</v>
      </c>
    </row>
    <row r="860" spans="1:20" ht="12.75">
      <c r="A860" s="44">
        <v>7927</v>
      </c>
      <c r="B860" s="886">
        <v>15854</v>
      </c>
      <c r="C860" s="886">
        <v>62837329</v>
      </c>
      <c r="D860" s="950" t="s">
        <v>2501</v>
      </c>
      <c r="E860" s="115">
        <f>B860-MOD(E$1-A860*3,B860)</f>
        <v>1515</v>
      </c>
      <c r="F860" s="644">
        <f>IF(MOD(E860,5)=0,B860,0)+E860</f>
        <v>17369</v>
      </c>
      <c r="G860" s="785">
        <f>IF(MOD(F860+$B860,5)=0,$B860,0)+$B860+F860</f>
        <v>33223</v>
      </c>
      <c r="H860" s="785">
        <f>IF(MOD(G860+$B860,5)=0,$B860,0)+$B860+G860</f>
        <v>49077</v>
      </c>
      <c r="I860" s="785">
        <f>IF(MOD(H860+$B860,5)=0,$B860,0)+$B860+H860</f>
        <v>64931</v>
      </c>
      <c r="J860" s="911">
        <v>1736</v>
      </c>
      <c r="K860" s="785">
        <v>3322</v>
      </c>
      <c r="L860" s="785">
        <v>4907</v>
      </c>
      <c r="M860" s="785">
        <v>6493</v>
      </c>
      <c r="N860" s="23" t="str">
        <f>D860&amp;FIXED(MOD(F860,10),0)</f>
        <v>hh79</v>
      </c>
      <c r="O860" s="78" t="str">
        <f>MID(A$5,((FIND(N860,A$4,1)-1)+1),4)</f>
        <v>ebd7</v>
      </c>
      <c r="P860" s="76" t="s">
        <v>0</v>
      </c>
      <c r="Q860" s="219" t="s">
        <v>0</v>
      </c>
      <c r="R860" s="103" t="s">
        <v>0</v>
      </c>
      <c r="S860" s="103" t="s">
        <v>0</v>
      </c>
      <c r="T860" s="42" t="s">
        <v>1</v>
      </c>
    </row>
    <row r="861" spans="1:20" ht="12.75">
      <c r="A861" s="44">
        <v>7933</v>
      </c>
      <c r="B861" s="886">
        <v>15866</v>
      </c>
      <c r="C861" s="886">
        <v>62932489</v>
      </c>
      <c r="D861" s="950" t="s">
        <v>2496</v>
      </c>
      <c r="E861" s="115">
        <f>B861-MOD(E$1-A861*3,B861)</f>
        <v>12293</v>
      </c>
      <c r="F861" s="644">
        <f>IF(MOD(E861,5)=0,B861,0)+E861</f>
        <v>12293</v>
      </c>
      <c r="G861" s="785">
        <f>IF(MOD(F861+$B861,5)=0,$B861,0)+$B861+F861</f>
        <v>28159</v>
      </c>
      <c r="H861" s="785">
        <f>IF(MOD(G861+$B861,5)=0,$B861,0)+$B861+G861</f>
        <v>59891</v>
      </c>
      <c r="I861" s="785">
        <f>IF(MOD(H861+$B861,5)=0,$B861,0)+$B861+H861</f>
        <v>75757</v>
      </c>
      <c r="J861" s="911">
        <v>1229</v>
      </c>
      <c r="K861" s="785">
        <v>2815</v>
      </c>
      <c r="L861" s="785">
        <v>5989</v>
      </c>
      <c r="M861" s="785">
        <v>7575</v>
      </c>
      <c r="N861" s="23" t="str">
        <f>D861&amp;FIXED(MOD(F861,10),0)</f>
        <v>hh33</v>
      </c>
      <c r="O861" s="78" t="str">
        <f>MID(A$5,((FIND(N861,A$4,1)-1)+1),4)</f>
        <v>be7d</v>
      </c>
      <c r="P861" s="76" t="s">
        <v>0</v>
      </c>
      <c r="Q861" s="219" t="s">
        <v>0</v>
      </c>
      <c r="R861" s="103" t="s">
        <v>0</v>
      </c>
      <c r="S861" s="103" t="s">
        <v>0</v>
      </c>
      <c r="T861" s="42" t="s">
        <v>1</v>
      </c>
    </row>
    <row r="862" spans="1:20" ht="12.75">
      <c r="A862" s="44">
        <v>7937</v>
      </c>
      <c r="B862" s="886">
        <v>15874</v>
      </c>
      <c r="C862" s="886">
        <v>62995969</v>
      </c>
      <c r="D862" s="950" t="s">
        <v>2501</v>
      </c>
      <c r="E862" s="115">
        <f>B862-MOD(E$1-A862*3,B862)</f>
        <v>9045</v>
      </c>
      <c r="F862" s="644">
        <f>IF(MOD(E862,5)=0,B862,0)+E862</f>
        <v>24919</v>
      </c>
      <c r="G862" s="785">
        <f>IF(MOD(F862+$B862,5)=0,$B862,0)+$B862+F862</f>
        <v>40793</v>
      </c>
      <c r="H862" s="785">
        <f>IF(MOD(G862+$B862,5)=0,$B862,0)+$B862+G862</f>
        <v>56667</v>
      </c>
      <c r="I862" s="785">
        <f>IF(MOD(H862+$B862,5)=0,$B862,0)+$B862+H862</f>
        <v>72541</v>
      </c>
      <c r="J862" s="911">
        <v>2491</v>
      </c>
      <c r="K862" s="785">
        <v>4079</v>
      </c>
      <c r="L862" s="785">
        <v>5666</v>
      </c>
      <c r="M862" s="785">
        <v>7254</v>
      </c>
      <c r="N862" s="23" t="str">
        <f>D862&amp;FIXED(MOD(F862,10),0)</f>
        <v>hh79</v>
      </c>
      <c r="O862" s="78" t="str">
        <f>MID(A$5,((FIND(N862,A$4,1)-1)+1),4)</f>
        <v>ebd7</v>
      </c>
      <c r="P862" s="76" t="s">
        <v>0</v>
      </c>
      <c r="Q862" s="219" t="s">
        <v>0</v>
      </c>
      <c r="R862" s="103" t="s">
        <v>0</v>
      </c>
      <c r="S862" s="103" t="s">
        <v>0</v>
      </c>
      <c r="T862" s="42" t="s">
        <v>1</v>
      </c>
    </row>
    <row r="863" spans="1:20" ht="12.75">
      <c r="A863" s="44">
        <v>7949</v>
      </c>
      <c r="B863" s="886">
        <v>15898</v>
      </c>
      <c r="C863" s="886">
        <v>63186601</v>
      </c>
      <c r="D863" s="950" t="s">
        <v>2506</v>
      </c>
      <c r="E863" s="115">
        <f>B863-MOD(E$1-A863*3,B863)</f>
        <v>1843</v>
      </c>
      <c r="F863" s="644">
        <f>IF(MOD(E863,5)=0,B863,0)+E863</f>
        <v>1843</v>
      </c>
      <c r="G863" s="785">
        <f>IF(MOD(F863+$B863,5)=0,$B863,0)+$B863+F863</f>
        <v>17741</v>
      </c>
      <c r="H863" s="785">
        <f>IF(MOD(G863+$B863,5)=0,$B863,0)+$B863+G863</f>
        <v>33639</v>
      </c>
      <c r="I863" s="785">
        <f>IF(MOD(H863+$B863,5)=0,$B863,0)+$B863+H863</f>
        <v>49537</v>
      </c>
      <c r="J863" s="911">
        <v>184</v>
      </c>
      <c r="K863" s="785">
        <v>1774</v>
      </c>
      <c r="L863" s="785">
        <v>3363</v>
      </c>
      <c r="M863" s="785">
        <v>4953</v>
      </c>
      <c r="N863" s="23" t="str">
        <f>D863&amp;FIXED(MOD(F863,10),0)</f>
        <v>hh93</v>
      </c>
      <c r="O863" s="78" t="str">
        <f>MID(A$5,((FIND(N863,A$4,1)-1)+1),4)</f>
        <v>b7ed</v>
      </c>
      <c r="P863" s="76" t="s">
        <v>0</v>
      </c>
      <c r="Q863" s="219" t="s">
        <v>0</v>
      </c>
      <c r="R863" s="103" t="s">
        <v>0</v>
      </c>
      <c r="S863" s="103" t="s">
        <v>0</v>
      </c>
      <c r="T863" s="42" t="s">
        <v>1</v>
      </c>
    </row>
    <row r="864" spans="1:20" ht="12.75">
      <c r="A864" s="44">
        <v>7951</v>
      </c>
      <c r="B864" s="886">
        <v>15902</v>
      </c>
      <c r="C864" s="886">
        <v>63218401</v>
      </c>
      <c r="D864" s="950" t="s">
        <v>2490</v>
      </c>
      <c r="E864" s="115">
        <f>B864-MOD(E$1-A864*3,B864)</f>
        <v>2611</v>
      </c>
      <c r="F864" s="644">
        <f>IF(MOD(E864,5)=0,B864,0)+E864</f>
        <v>2611</v>
      </c>
      <c r="G864" s="785">
        <f>IF(MOD(F864+$B864,5)=0,$B864,0)+$B864+F864</f>
        <v>18513</v>
      </c>
      <c r="H864" s="785">
        <f>IF(MOD(G864+$B864,5)=0,$B864,0)+$B864+G864</f>
        <v>50317</v>
      </c>
      <c r="I864" s="785">
        <f>IF(MOD(H864+$B864,5)=0,$B864,0)+$B864+H864</f>
        <v>66219</v>
      </c>
      <c r="J864" s="911">
        <v>261</v>
      </c>
      <c r="K864" s="785">
        <v>1851</v>
      </c>
      <c r="L864" s="785">
        <v>5031</v>
      </c>
      <c r="M864" s="785">
        <v>6621</v>
      </c>
      <c r="N864" s="23" t="str">
        <f>D864&amp;FIXED(MOD(F864,10),0)</f>
        <v>hh11</v>
      </c>
      <c r="O864" s="78" t="str">
        <f>MID(A$5,((FIND(N864,A$4,1)-1)+1),4)</f>
        <v>7bde</v>
      </c>
      <c r="P864" s="76" t="s">
        <v>0</v>
      </c>
      <c r="Q864" s="219" t="s">
        <v>0</v>
      </c>
      <c r="R864" s="103" t="s">
        <v>0</v>
      </c>
      <c r="S864" s="103" t="s">
        <v>0</v>
      </c>
      <c r="T864" s="42" t="s">
        <v>1</v>
      </c>
    </row>
    <row r="865" spans="1:20" ht="12.75">
      <c r="A865" s="44">
        <v>7963</v>
      </c>
      <c r="B865" s="886">
        <v>15926</v>
      </c>
      <c r="C865" s="886">
        <v>63409369</v>
      </c>
      <c r="D865" s="950" t="s">
        <v>2496</v>
      </c>
      <c r="E865" s="115">
        <f>B865-MOD(E$1-A865*3,B865)</f>
        <v>8355</v>
      </c>
      <c r="F865" s="644">
        <f>IF(MOD(E865,5)=0,B865,0)+E865</f>
        <v>24281</v>
      </c>
      <c r="G865" s="785">
        <f>IF(MOD(F865+$B865,5)=0,$B865,0)+$B865+F865</f>
        <v>40207</v>
      </c>
      <c r="H865" s="785">
        <f>IF(MOD(G865+$B865,5)=0,$B865,0)+$B865+G865</f>
        <v>56133</v>
      </c>
      <c r="I865" s="785">
        <f>IF(MOD(H865+$B865,5)=0,$B865,0)+$B865+H865</f>
        <v>72059</v>
      </c>
      <c r="J865" s="911">
        <v>2428</v>
      </c>
      <c r="K865" s="785">
        <v>4020</v>
      </c>
      <c r="L865" s="785">
        <v>5613</v>
      </c>
      <c r="M865" s="785">
        <v>7205</v>
      </c>
      <c r="N865" s="23" t="str">
        <f>D865&amp;FIXED(MOD(F865,10),0)</f>
        <v>hh31</v>
      </c>
      <c r="O865" s="78" t="str">
        <f>MID(A$5,((FIND(N865,A$4,1)-1)+1),4)</f>
        <v>7dbe</v>
      </c>
      <c r="P865" s="76" t="s">
        <v>0</v>
      </c>
      <c r="Q865" s="219" t="s">
        <v>0</v>
      </c>
      <c r="R865" s="103" t="s">
        <v>0</v>
      </c>
      <c r="S865" s="103" t="s">
        <v>0</v>
      </c>
      <c r="T865" s="42" t="s">
        <v>1</v>
      </c>
    </row>
    <row r="866" spans="1:20" ht="12.75">
      <c r="A866" s="44">
        <v>7993</v>
      </c>
      <c r="B866" s="886">
        <v>15986</v>
      </c>
      <c r="C866" s="886">
        <v>63888049</v>
      </c>
      <c r="D866" s="950" t="s">
        <v>2496</v>
      </c>
      <c r="E866" s="115">
        <f>B866-MOD(E$1-A866*3,B866)</f>
        <v>1319</v>
      </c>
      <c r="F866" s="644">
        <f>IF(MOD(E866,5)=0,B866,0)+E866</f>
        <v>1319</v>
      </c>
      <c r="G866" s="785">
        <f>IF(MOD(F866+$B866,5)=0,$B866,0)+$B866+F866</f>
        <v>33291</v>
      </c>
      <c r="H866" s="785">
        <f>IF(MOD(G866+$B866,5)=0,$B866,0)+$B866+G866</f>
        <v>49277</v>
      </c>
      <c r="I866" s="785">
        <f>IF(MOD(H866+$B866,5)=0,$B866,0)+$B866+H866</f>
        <v>65263</v>
      </c>
      <c r="J866" s="911">
        <v>131</v>
      </c>
      <c r="K866" s="785">
        <v>3329</v>
      </c>
      <c r="L866" s="785">
        <v>4927</v>
      </c>
      <c r="M866" s="785">
        <v>6526</v>
      </c>
      <c r="N866" s="23" t="str">
        <f>D866&amp;FIXED(MOD(F866,10),0)</f>
        <v>hh39</v>
      </c>
      <c r="O866" s="78" t="str">
        <f>MID(A$5,((FIND(N866,A$4,1)-1)+1),4)</f>
        <v>e7db</v>
      </c>
      <c r="P866" s="76" t="s">
        <v>0</v>
      </c>
      <c r="Q866" s="219" t="s">
        <v>0</v>
      </c>
      <c r="R866" s="103" t="s">
        <v>0</v>
      </c>
      <c r="S866" s="103" t="s">
        <v>0</v>
      </c>
      <c r="T866" s="42" t="s">
        <v>1</v>
      </c>
    </row>
    <row r="867" spans="1:20" ht="12.75">
      <c r="A867" s="44">
        <v>8009</v>
      </c>
      <c r="B867" s="886">
        <v>16018</v>
      </c>
      <c r="C867" s="886">
        <v>64144081</v>
      </c>
      <c r="D867" s="950" t="s">
        <v>2506</v>
      </c>
      <c r="E867" s="115">
        <f>B867-MOD(E$1-A867*3,B867)</f>
        <v>7869</v>
      </c>
      <c r="F867" s="644">
        <f>IF(MOD(E867,5)=0,B867,0)+E867</f>
        <v>7869</v>
      </c>
      <c r="G867" s="785">
        <f>IF(MOD(F867+$B867,5)=0,$B867,0)+$B867+F867</f>
        <v>23887</v>
      </c>
      <c r="H867" s="785">
        <f>IF(MOD(G867+$B867,5)=0,$B867,0)+$B867+G867</f>
        <v>55923</v>
      </c>
      <c r="I867" s="785">
        <f>IF(MOD(H867+$B867,5)=0,$B867,0)+$B867+H867</f>
        <v>71941</v>
      </c>
      <c r="J867" s="911">
        <v>786</v>
      </c>
      <c r="K867" s="785">
        <v>2388</v>
      </c>
      <c r="L867" s="785">
        <v>5592</v>
      </c>
      <c r="M867" s="785">
        <v>7194</v>
      </c>
      <c r="N867" s="23" t="str">
        <f>D867&amp;FIXED(MOD(F867,10),0)</f>
        <v>hh99</v>
      </c>
      <c r="O867" s="78" t="str">
        <f>MID(A$5,((FIND(N867,A$4,1)-1)+1),4)</f>
        <v>edb7</v>
      </c>
      <c r="P867" s="76" t="s">
        <v>0</v>
      </c>
      <c r="Q867" s="219" t="s">
        <v>0</v>
      </c>
      <c r="R867" s="103" t="s">
        <v>0</v>
      </c>
      <c r="S867" s="103" t="s">
        <v>0</v>
      </c>
      <c r="T867" s="42" t="s">
        <v>1</v>
      </c>
    </row>
    <row r="868" spans="1:20" ht="12.75">
      <c r="A868" s="44">
        <v>8011</v>
      </c>
      <c r="B868" s="886">
        <v>16022</v>
      </c>
      <c r="C868" s="886">
        <v>64176121</v>
      </c>
      <c r="D868" s="950" t="s">
        <v>2490</v>
      </c>
      <c r="E868" s="115">
        <f>B868-MOD(E$1-A868*3,B868)</f>
        <v>2447</v>
      </c>
      <c r="F868" s="644">
        <f>IF(MOD(E868,5)=0,B868,0)+E868</f>
        <v>2447</v>
      </c>
      <c r="G868" s="785">
        <f>IF(MOD(F868+$B868,5)=0,$B868,0)+$B868+F868</f>
        <v>18469</v>
      </c>
      <c r="H868" s="785">
        <f>IF(MOD(G868+$B868,5)=0,$B868,0)+$B868+G868</f>
        <v>34491</v>
      </c>
      <c r="I868" s="785">
        <f>IF(MOD(H868+$B868,5)=0,$B868,0)+$B868+H868</f>
        <v>50513</v>
      </c>
      <c r="J868" s="911">
        <v>244</v>
      </c>
      <c r="K868" s="785">
        <v>1846</v>
      </c>
      <c r="L868" s="785">
        <v>3449</v>
      </c>
      <c r="M868" s="785">
        <v>5051</v>
      </c>
      <c r="N868" s="23" t="str">
        <f>D868&amp;FIXED(MOD(F868,10),0)</f>
        <v>hh17</v>
      </c>
      <c r="O868" s="78" t="str">
        <f>MID(A$5,((FIND(N868,A$4,1)-1)+1),4)</f>
        <v>de7b</v>
      </c>
      <c r="P868" s="76" t="s">
        <v>0</v>
      </c>
      <c r="Q868" s="219" t="s">
        <v>0</v>
      </c>
      <c r="R868" s="103" t="s">
        <v>0</v>
      </c>
      <c r="S868" s="103" t="s">
        <v>0</v>
      </c>
      <c r="T868" s="42" t="s">
        <v>1</v>
      </c>
    </row>
    <row r="869" spans="1:20" ht="12.75">
      <c r="A869" s="44">
        <v>8017</v>
      </c>
      <c r="B869" s="886">
        <v>16034</v>
      </c>
      <c r="C869" s="886">
        <v>64272289</v>
      </c>
      <c r="D869" s="950" t="s">
        <v>2501</v>
      </c>
      <c r="E869" s="115">
        <f>B869-MOD(E$1-A869*3,B869)</f>
        <v>3231</v>
      </c>
      <c r="F869" s="644">
        <f>IF(MOD(E869,5)=0,B869,0)+E869</f>
        <v>3231</v>
      </c>
      <c r="G869" s="785">
        <f>IF(MOD(F869+$B869,5)=0,$B869,0)+$B869+F869</f>
        <v>35299</v>
      </c>
      <c r="H869" s="785">
        <f>IF(MOD(G869+$B869,5)=0,$B869,0)+$B869+G869</f>
        <v>51333</v>
      </c>
      <c r="I869" s="785">
        <f>IF(MOD(H869+$B869,5)=0,$B869,0)+$B869+H869</f>
        <v>67367</v>
      </c>
      <c r="J869" s="911">
        <v>323</v>
      </c>
      <c r="K869" s="785">
        <v>3529</v>
      </c>
      <c r="L869" s="785">
        <v>5133</v>
      </c>
      <c r="M869" s="785">
        <v>6736</v>
      </c>
      <c r="N869" s="23" t="str">
        <f>D869&amp;FIXED(MOD(F869,10),0)</f>
        <v>hh71</v>
      </c>
      <c r="O869" s="78" t="str">
        <f>MID(A$5,((FIND(N869,A$4,1)-1)+1),4)</f>
        <v>7ebd</v>
      </c>
      <c r="P869" s="76" t="s">
        <v>0</v>
      </c>
      <c r="Q869" s="219" t="s">
        <v>0</v>
      </c>
      <c r="R869" s="103" t="s">
        <v>0</v>
      </c>
      <c r="S869" s="103" t="s">
        <v>0</v>
      </c>
      <c r="T869" s="42" t="s">
        <v>1</v>
      </c>
    </row>
    <row r="870" spans="1:20" ht="12.75">
      <c r="A870" s="44">
        <v>8039</v>
      </c>
      <c r="B870" s="886">
        <v>16078</v>
      </c>
      <c r="C870" s="886">
        <v>64625521</v>
      </c>
      <c r="D870" s="950" t="s">
        <v>2506</v>
      </c>
      <c r="E870" s="115">
        <f>B870-MOD(E$1-A870*3,B870)</f>
        <v>14113</v>
      </c>
      <c r="F870" s="644">
        <f>IF(MOD(E870,5)=0,B870,0)+E870</f>
        <v>14113</v>
      </c>
      <c r="G870" s="785">
        <f>IF(MOD(F870+$B870,5)=0,$B870,0)+$B870+F870</f>
        <v>30191</v>
      </c>
      <c r="H870" s="785">
        <f>IF(MOD(G870+$B870,5)=0,$B870,0)+$B870+G870</f>
        <v>46269</v>
      </c>
      <c r="I870" s="785">
        <f>IF(MOD(H870+$B870,5)=0,$B870,0)+$B870+H870</f>
        <v>62347</v>
      </c>
      <c r="J870" s="911">
        <v>1411</v>
      </c>
      <c r="K870" s="785">
        <v>3019</v>
      </c>
      <c r="L870" s="785">
        <v>4626</v>
      </c>
      <c r="M870" s="785">
        <v>6234</v>
      </c>
      <c r="N870" s="23" t="str">
        <f>D870&amp;FIXED(MOD(F870,10),0)</f>
        <v>hh93</v>
      </c>
      <c r="O870" s="78" t="str">
        <f>MID(A$5,((FIND(N870,A$4,1)-1)+1),4)</f>
        <v>b7ed</v>
      </c>
      <c r="P870" s="76" t="s">
        <v>0</v>
      </c>
      <c r="Q870" s="219" t="s">
        <v>0</v>
      </c>
      <c r="R870" s="103" t="s">
        <v>0</v>
      </c>
      <c r="S870" s="103" t="s">
        <v>0</v>
      </c>
      <c r="T870" s="42" t="s">
        <v>1</v>
      </c>
    </row>
    <row r="871" spans="1:20" ht="12.75">
      <c r="A871" s="44">
        <v>8053</v>
      </c>
      <c r="B871" s="886">
        <v>16106</v>
      </c>
      <c r="C871" s="886">
        <v>64850809</v>
      </c>
      <c r="D871" s="950" t="s">
        <v>2496</v>
      </c>
      <c r="E871" s="115">
        <f>B871-MOD(E$1-A871*3,B871)</f>
        <v>5317</v>
      </c>
      <c r="F871" s="644">
        <f>IF(MOD(E871,5)=0,B871,0)+E871</f>
        <v>5317</v>
      </c>
      <c r="G871" s="785">
        <f>IF(MOD(F871+$B871,5)=0,$B871,0)+$B871+F871</f>
        <v>21423</v>
      </c>
      <c r="H871" s="785">
        <f>IF(MOD(G871+$B871,5)=0,$B871,0)+$B871+G871</f>
        <v>37529</v>
      </c>
      <c r="I871" s="785">
        <f>IF(MOD(H871+$B871,5)=0,$B871,0)+$B871+H871</f>
        <v>69741</v>
      </c>
      <c r="J871" s="911">
        <v>531</v>
      </c>
      <c r="K871" s="785">
        <v>2142</v>
      </c>
      <c r="L871" s="785">
        <v>3752</v>
      </c>
      <c r="M871" s="785">
        <v>6974</v>
      </c>
      <c r="N871" s="23" t="str">
        <f>D871&amp;FIXED(MOD(F871,10),0)</f>
        <v>hh37</v>
      </c>
      <c r="O871" s="78" t="str">
        <f>MID(A$5,((FIND(N871,A$4,1)-1)+1),4)</f>
        <v>dbe7</v>
      </c>
      <c r="P871" s="76" t="s">
        <v>0</v>
      </c>
      <c r="Q871" s="219" t="s">
        <v>0</v>
      </c>
      <c r="R871" s="103" t="s">
        <v>0</v>
      </c>
      <c r="S871" s="103" t="s">
        <v>0</v>
      </c>
      <c r="T871" s="42" t="s">
        <v>1</v>
      </c>
    </row>
    <row r="872" spans="1:20" ht="12.75">
      <c r="A872" s="44">
        <v>8059</v>
      </c>
      <c r="B872" s="886">
        <v>16118</v>
      </c>
      <c r="C872" s="886">
        <v>64947481</v>
      </c>
      <c r="D872" s="950" t="s">
        <v>2506</v>
      </c>
      <c r="E872" s="115">
        <f>B872-MOD(E$1-A872*3,B872)</f>
        <v>8483</v>
      </c>
      <c r="F872" s="644">
        <f>IF(MOD(E872,5)=0,B872,0)+E872</f>
        <v>8483</v>
      </c>
      <c r="G872" s="785">
        <f>IF(MOD(F872+$B872,5)=0,$B872,0)+$B872+F872</f>
        <v>24601</v>
      </c>
      <c r="H872" s="785">
        <f>IF(MOD(G872+$B872,5)=0,$B872,0)+$B872+G872</f>
        <v>40719</v>
      </c>
      <c r="I872" s="785">
        <f>IF(MOD(H872+$B872,5)=0,$B872,0)+$B872+H872</f>
        <v>56837</v>
      </c>
      <c r="J872" s="911">
        <v>848</v>
      </c>
      <c r="K872" s="785">
        <v>2460</v>
      </c>
      <c r="L872" s="785">
        <v>4071</v>
      </c>
      <c r="M872" s="785">
        <v>5683</v>
      </c>
      <c r="N872" s="23" t="str">
        <f>D872&amp;FIXED(MOD(F872,10),0)</f>
        <v>hh93</v>
      </c>
      <c r="O872" s="78" t="str">
        <f>MID(A$5,((FIND(N872,A$4,1)-1)+1),4)</f>
        <v>b7ed</v>
      </c>
      <c r="P872" s="76" t="s">
        <v>0</v>
      </c>
      <c r="Q872" s="219" t="s">
        <v>0</v>
      </c>
      <c r="R872" s="103" t="s">
        <v>0</v>
      </c>
      <c r="S872" s="103" t="s">
        <v>0</v>
      </c>
      <c r="T872" s="42" t="s">
        <v>1</v>
      </c>
    </row>
    <row r="873" spans="1:20" ht="12.75">
      <c r="A873" s="44">
        <v>8069</v>
      </c>
      <c r="B873" s="886">
        <v>16138</v>
      </c>
      <c r="C873" s="886">
        <v>65108761</v>
      </c>
      <c r="D873" s="950" t="s">
        <v>2506</v>
      </c>
      <c r="E873" s="115">
        <f>B873-MOD(E$1-A873*3,B873)</f>
        <v>885</v>
      </c>
      <c r="F873" s="644">
        <f>IF(MOD(E873,5)=0,B873,0)+E873</f>
        <v>17023</v>
      </c>
      <c r="G873" s="785">
        <f>IF(MOD(F873+$B873,5)=0,$B873,0)+$B873+F873</f>
        <v>33161</v>
      </c>
      <c r="H873" s="785">
        <f>IF(MOD(G873+$B873,5)=0,$B873,0)+$B873+G873</f>
        <v>49299</v>
      </c>
      <c r="I873" s="785">
        <f>IF(MOD(H873+$B873,5)=0,$B873,0)+$B873+H873</f>
        <v>65437</v>
      </c>
      <c r="J873" s="911">
        <v>1702</v>
      </c>
      <c r="K873" s="785">
        <v>3316</v>
      </c>
      <c r="L873" s="785">
        <v>4929</v>
      </c>
      <c r="M873" s="785">
        <v>6543</v>
      </c>
      <c r="N873" s="23" t="str">
        <f>D873&amp;FIXED(MOD(F873,10),0)</f>
        <v>hh93</v>
      </c>
      <c r="O873" s="78" t="str">
        <f>MID(A$5,((FIND(N873,A$4,1)-1)+1),4)</f>
        <v>b7ed</v>
      </c>
      <c r="P873" s="76" t="s">
        <v>0</v>
      </c>
      <c r="Q873" s="219" t="s">
        <v>0</v>
      </c>
      <c r="R873" s="103" t="s">
        <v>0</v>
      </c>
      <c r="S873" s="103" t="s">
        <v>0</v>
      </c>
      <c r="T873" s="42" t="s">
        <v>1</v>
      </c>
    </row>
    <row r="874" spans="1:20" ht="12.75">
      <c r="A874" s="44">
        <v>8081</v>
      </c>
      <c r="B874" s="886">
        <v>16162</v>
      </c>
      <c r="C874" s="886">
        <v>65302561</v>
      </c>
      <c r="D874" s="950" t="s">
        <v>2490</v>
      </c>
      <c r="E874" s="115">
        <f>B874-MOD(E$1-A874*3,B874)</f>
        <v>4761</v>
      </c>
      <c r="F874" s="644">
        <f>IF(MOD(E874,5)=0,B874,0)+E874</f>
        <v>4761</v>
      </c>
      <c r="G874" s="785">
        <f>IF(MOD(F874+$B874,5)=0,$B874,0)+$B874+F874</f>
        <v>20923</v>
      </c>
      <c r="H874" s="785">
        <f>IF(MOD(G874+$B874,5)=0,$B874,0)+$B874+G874</f>
        <v>53247</v>
      </c>
      <c r="I874" s="785">
        <f>IF(MOD(H874+$B874,5)=0,$B874,0)+$B874+H874</f>
        <v>69409</v>
      </c>
      <c r="J874" s="911">
        <v>476</v>
      </c>
      <c r="K874" s="785">
        <v>2092</v>
      </c>
      <c r="L874" s="785">
        <v>5324</v>
      </c>
      <c r="M874" s="785">
        <v>6940</v>
      </c>
      <c r="N874" s="23" t="str">
        <f>D874&amp;FIXED(MOD(F874,10),0)</f>
        <v>hh11</v>
      </c>
      <c r="O874" s="78" t="str">
        <f>MID(A$5,((FIND(N874,A$4,1)-1)+1),4)</f>
        <v>7bde</v>
      </c>
      <c r="P874" s="76" t="s">
        <v>0</v>
      </c>
      <c r="Q874" s="219" t="s">
        <v>0</v>
      </c>
      <c r="R874" s="103" t="s">
        <v>0</v>
      </c>
      <c r="S874" s="103" t="s">
        <v>0</v>
      </c>
      <c r="T874" s="42" t="s">
        <v>1</v>
      </c>
    </row>
    <row r="875" spans="1:20" ht="12.75">
      <c r="A875" s="44">
        <v>8087</v>
      </c>
      <c r="B875" s="886">
        <v>16174</v>
      </c>
      <c r="C875" s="886">
        <v>65399569</v>
      </c>
      <c r="D875" s="950" t="s">
        <v>2501</v>
      </c>
      <c r="E875" s="115">
        <f>B875-MOD(E$1-A875*3,B875)</f>
        <v>1657</v>
      </c>
      <c r="F875" s="644">
        <f>IF(MOD(E875,5)=0,B875,0)+E875</f>
        <v>1657</v>
      </c>
      <c r="G875" s="785">
        <f>IF(MOD(F875+$B875,5)=0,$B875,0)+$B875+F875</f>
        <v>17831</v>
      </c>
      <c r="H875" s="785">
        <f>IF(MOD(G875+$B875,5)=0,$B875,0)+$B875+G875</f>
        <v>50179</v>
      </c>
      <c r="I875" s="785">
        <f>IF(MOD(H875+$B875,5)=0,$B875,0)+$B875+H875</f>
        <v>66353</v>
      </c>
      <c r="J875" s="911">
        <v>165</v>
      </c>
      <c r="K875" s="785">
        <v>1783</v>
      </c>
      <c r="L875" s="785">
        <v>5017</v>
      </c>
      <c r="M875" s="785">
        <v>6635</v>
      </c>
      <c r="N875" s="23" t="str">
        <f>D875&amp;FIXED(MOD(F875,10),0)</f>
        <v>hh77</v>
      </c>
      <c r="O875" s="78" t="str">
        <f>MID(A$5,((FIND(N875,A$4,1)-1)+1),4)</f>
        <v>d7eb</v>
      </c>
      <c r="P875" s="76" t="s">
        <v>0</v>
      </c>
      <c r="Q875" s="219" t="s">
        <v>0</v>
      </c>
      <c r="R875" s="103" t="s">
        <v>0</v>
      </c>
      <c r="S875" s="103" t="s">
        <v>0</v>
      </c>
      <c r="T875" s="42" t="s">
        <v>1</v>
      </c>
    </row>
    <row r="876" spans="1:20" ht="12.75">
      <c r="A876" s="44">
        <v>8089</v>
      </c>
      <c r="B876" s="886">
        <v>16178</v>
      </c>
      <c r="C876" s="886">
        <v>65431921</v>
      </c>
      <c r="D876" s="950" t="s">
        <v>2506</v>
      </c>
      <c r="E876" s="115">
        <f>B876-MOD(E$1-A876*3,B876)</f>
        <v>10423</v>
      </c>
      <c r="F876" s="644">
        <f>IF(MOD(E876,5)=0,B876,0)+E876</f>
        <v>10423</v>
      </c>
      <c r="G876" s="785">
        <f>IF(MOD(F876+$B876,5)=0,$B876,0)+$B876+F876</f>
        <v>26601</v>
      </c>
      <c r="H876" s="785">
        <f>IF(MOD(G876+$B876,5)=0,$B876,0)+$B876+G876</f>
        <v>42779</v>
      </c>
      <c r="I876" s="785">
        <f>IF(MOD(H876+$B876,5)=0,$B876,0)+$B876+H876</f>
        <v>58957</v>
      </c>
      <c r="J876" s="911">
        <v>1042</v>
      </c>
      <c r="K876" s="785">
        <v>2660</v>
      </c>
      <c r="L876" s="785">
        <v>4277</v>
      </c>
      <c r="M876" s="785">
        <v>5895</v>
      </c>
      <c r="N876" s="23" t="str">
        <f>D876&amp;FIXED(MOD(F876,10),0)</f>
        <v>hh93</v>
      </c>
      <c r="O876" s="78" t="str">
        <f>MID(A$5,((FIND(N876,A$4,1)-1)+1),4)</f>
        <v>b7ed</v>
      </c>
      <c r="P876" s="76" t="s">
        <v>0</v>
      </c>
      <c r="Q876" s="219" t="s">
        <v>0</v>
      </c>
      <c r="R876" s="103" t="s">
        <v>0</v>
      </c>
      <c r="S876" s="103" t="s">
        <v>0</v>
      </c>
      <c r="T876" s="42" t="s">
        <v>1</v>
      </c>
    </row>
    <row r="877" spans="1:20" ht="12.75">
      <c r="A877" s="44">
        <v>8093</v>
      </c>
      <c r="B877" s="886">
        <v>16186</v>
      </c>
      <c r="C877" s="886">
        <v>65496649</v>
      </c>
      <c r="D877" s="950" t="s">
        <v>2496</v>
      </c>
      <c r="E877" s="115">
        <f>B877-MOD(E$1-A877*3,B877)</f>
        <v>2539</v>
      </c>
      <c r="F877" s="644">
        <f>IF(MOD(E877,5)=0,B877,0)+E877</f>
        <v>2539</v>
      </c>
      <c r="G877" s="785">
        <f>IF(MOD(F877+$B877,5)=0,$B877,0)+$B877+F877</f>
        <v>34911</v>
      </c>
      <c r="H877" s="785">
        <f>IF(MOD(G877+$B877,5)=0,$B877,0)+$B877+G877</f>
        <v>51097</v>
      </c>
      <c r="I877" s="785">
        <f>IF(MOD(H877+$B877,5)=0,$B877,0)+$B877+H877</f>
        <v>67283</v>
      </c>
      <c r="J877" s="911">
        <v>253</v>
      </c>
      <c r="K877" s="785">
        <v>3491</v>
      </c>
      <c r="L877" s="785">
        <v>5109</v>
      </c>
      <c r="M877" s="785">
        <v>6728</v>
      </c>
      <c r="N877" s="23" t="str">
        <f>D877&amp;FIXED(MOD(F877,10),0)</f>
        <v>hh39</v>
      </c>
      <c r="O877" s="78" t="str">
        <f>MID(A$5,((FIND(N877,A$4,1)-1)+1),4)</f>
        <v>e7db</v>
      </c>
      <c r="P877" s="76" t="s">
        <v>0</v>
      </c>
      <c r="Q877" s="219" t="s">
        <v>0</v>
      </c>
      <c r="R877" s="103" t="s">
        <v>0</v>
      </c>
      <c r="S877" s="103" t="s">
        <v>0</v>
      </c>
      <c r="T877" s="42" t="s">
        <v>1</v>
      </c>
    </row>
    <row r="878" spans="1:20" ht="12.75">
      <c r="A878" s="44">
        <v>8101</v>
      </c>
      <c r="B878" s="886">
        <v>16202</v>
      </c>
      <c r="C878" s="886">
        <v>65626201</v>
      </c>
      <c r="D878" s="950" t="s">
        <v>2490</v>
      </c>
      <c r="E878" s="115">
        <f>B878-MOD(E$1-A878*3,B878)</f>
        <v>16067</v>
      </c>
      <c r="F878" s="644">
        <f>IF(MOD(E878,5)=0,B878,0)+E878</f>
        <v>16067</v>
      </c>
      <c r="G878" s="785">
        <f>IF(MOD(F878+$B878,5)=0,$B878,0)+$B878+F878</f>
        <v>32269</v>
      </c>
      <c r="H878" s="785">
        <f>IF(MOD(G878+$B878,5)=0,$B878,0)+$B878+G878</f>
        <v>48471</v>
      </c>
      <c r="I878" s="785">
        <f>IF(MOD(H878+$B878,5)=0,$B878,0)+$B878+H878</f>
        <v>64673</v>
      </c>
      <c r="J878" s="911">
        <v>1606</v>
      </c>
      <c r="K878" s="785">
        <v>3226</v>
      </c>
      <c r="L878" s="785">
        <v>4847</v>
      </c>
      <c r="M878" s="785">
        <v>6467</v>
      </c>
      <c r="N878" s="23" t="str">
        <f>D878&amp;FIXED(MOD(F878,10),0)</f>
        <v>hh17</v>
      </c>
      <c r="O878" s="78" t="str">
        <f>MID(A$5,((FIND(N878,A$4,1)-1)+1),4)</f>
        <v>de7b</v>
      </c>
      <c r="P878" s="76" t="s">
        <v>0</v>
      </c>
      <c r="Q878" s="219" t="s">
        <v>0</v>
      </c>
      <c r="R878" s="103" t="s">
        <v>0</v>
      </c>
      <c r="S878" s="103" t="s">
        <v>0</v>
      </c>
      <c r="T878" s="42" t="s">
        <v>1</v>
      </c>
    </row>
    <row r="879" spans="1:20" ht="12.75">
      <c r="A879" s="44">
        <v>8111</v>
      </c>
      <c r="B879" s="886">
        <v>16222</v>
      </c>
      <c r="C879" s="886">
        <v>65788321</v>
      </c>
      <c r="D879" s="950" t="s">
        <v>2490</v>
      </c>
      <c r="E879" s="115">
        <f>B879-MOD(E$1-A879*3,B879)</f>
        <v>11417</v>
      </c>
      <c r="F879" s="644">
        <f>IF(MOD(E879,5)=0,B879,0)+E879</f>
        <v>11417</v>
      </c>
      <c r="G879" s="785">
        <f>IF(MOD(F879+$B879,5)=0,$B879,0)+$B879+F879</f>
        <v>27639</v>
      </c>
      <c r="H879" s="785">
        <f>IF(MOD(G879+$B879,5)=0,$B879,0)+$B879+G879</f>
        <v>43861</v>
      </c>
      <c r="I879" s="785">
        <f>IF(MOD(H879+$B879,5)=0,$B879,0)+$B879+H879</f>
        <v>60083</v>
      </c>
      <c r="J879" s="911">
        <v>1141</v>
      </c>
      <c r="K879" s="785">
        <v>2763</v>
      </c>
      <c r="L879" s="785">
        <v>4386</v>
      </c>
      <c r="M879" s="785">
        <v>6008</v>
      </c>
      <c r="N879" s="23" t="str">
        <f>D879&amp;FIXED(MOD(F879,10),0)</f>
        <v>hh17</v>
      </c>
      <c r="O879" s="78" t="str">
        <f>MID(A$5,((FIND(N879,A$4,1)-1)+1),4)</f>
        <v>de7b</v>
      </c>
      <c r="P879" s="76" t="s">
        <v>0</v>
      </c>
      <c r="Q879" s="219" t="s">
        <v>0</v>
      </c>
      <c r="R879" s="103" t="s">
        <v>0</v>
      </c>
      <c r="S879" s="103" t="s">
        <v>0</v>
      </c>
      <c r="T879" s="42" t="s">
        <v>1</v>
      </c>
    </row>
    <row r="880" spans="1:20" ht="12.75">
      <c r="A880" s="44">
        <v>8117</v>
      </c>
      <c r="B880" s="886">
        <v>16234</v>
      </c>
      <c r="C880" s="886">
        <v>65885689</v>
      </c>
      <c r="D880" s="950" t="s">
        <v>2501</v>
      </c>
      <c r="E880" s="115">
        <f>B880-MOD(E$1-A880*3,B880)</f>
        <v>10511</v>
      </c>
      <c r="F880" s="644">
        <f>IF(MOD(E880,5)=0,B880,0)+E880</f>
        <v>10511</v>
      </c>
      <c r="G880" s="785">
        <f>IF(MOD(F880+$B880,5)=0,$B880,0)+$B880+F880</f>
        <v>42979</v>
      </c>
      <c r="H880" s="785">
        <f>IF(MOD(G880+$B880,5)=0,$B880,0)+$B880+G880</f>
        <v>59213</v>
      </c>
      <c r="I880" s="785">
        <f>IF(MOD(H880+$B880,5)=0,$B880,0)+$B880+H880</f>
        <v>75447</v>
      </c>
      <c r="J880" s="911">
        <v>1051</v>
      </c>
      <c r="K880" s="785">
        <v>4297</v>
      </c>
      <c r="L880" s="785">
        <v>5921</v>
      </c>
      <c r="M880" s="785">
        <v>7544</v>
      </c>
      <c r="N880" s="23" t="str">
        <f>D880&amp;FIXED(MOD(F880,10),0)</f>
        <v>hh71</v>
      </c>
      <c r="O880" s="78" t="str">
        <f>MID(A$5,((FIND(N880,A$4,1)-1)+1),4)</f>
        <v>7ebd</v>
      </c>
      <c r="P880" s="76" t="s">
        <v>0</v>
      </c>
      <c r="Q880" s="219" t="s">
        <v>0</v>
      </c>
      <c r="R880" s="103" t="s">
        <v>0</v>
      </c>
      <c r="S880" s="103" t="s">
        <v>0</v>
      </c>
      <c r="T880" s="42" t="s">
        <v>1</v>
      </c>
    </row>
    <row r="881" spans="1:20" ht="12.75">
      <c r="A881" s="44">
        <v>8123</v>
      </c>
      <c r="B881" s="886">
        <v>16246</v>
      </c>
      <c r="C881" s="886">
        <v>65983129</v>
      </c>
      <c r="D881" s="950" t="s">
        <v>2496</v>
      </c>
      <c r="E881" s="115">
        <f>B881-MOD(E$1-A881*3,B881)</f>
        <v>4677</v>
      </c>
      <c r="F881" s="644">
        <f>IF(MOD(E881,5)=0,B881,0)+E881</f>
        <v>4677</v>
      </c>
      <c r="G881" s="785">
        <f>IF(MOD(F881+$B881,5)=0,$B881,0)+$B881+F881</f>
        <v>20923</v>
      </c>
      <c r="H881" s="785">
        <f>IF(MOD(G881+$B881,5)=0,$B881,0)+$B881+G881</f>
        <v>37169</v>
      </c>
      <c r="I881" s="785">
        <f>IF(MOD(H881+$B881,5)=0,$B881,0)+$B881+H881</f>
        <v>69661</v>
      </c>
      <c r="J881" s="911">
        <v>467</v>
      </c>
      <c r="K881" s="785">
        <v>2092</v>
      </c>
      <c r="L881" s="785">
        <v>3716</v>
      </c>
      <c r="M881" s="785">
        <v>6966</v>
      </c>
      <c r="N881" s="23" t="str">
        <f>D881&amp;FIXED(MOD(F881,10),0)</f>
        <v>hh37</v>
      </c>
      <c r="O881" s="78" t="str">
        <f>MID(A$5,((FIND(N881,A$4,1)-1)+1),4)</f>
        <v>dbe7</v>
      </c>
      <c r="P881" s="76" t="s">
        <v>0</v>
      </c>
      <c r="Q881" s="219" t="s">
        <v>0</v>
      </c>
      <c r="R881" s="103" t="s">
        <v>0</v>
      </c>
      <c r="S881" s="103" t="s">
        <v>0</v>
      </c>
      <c r="T881" s="42" t="s">
        <v>1</v>
      </c>
    </row>
    <row r="882" spans="1:20" ht="12.75">
      <c r="A882" s="44">
        <v>8147</v>
      </c>
      <c r="B882" s="886">
        <v>16294</v>
      </c>
      <c r="C882" s="886">
        <v>66373609</v>
      </c>
      <c r="D882" s="950" t="s">
        <v>2501</v>
      </c>
      <c r="E882" s="115">
        <f>B882-MOD(E$1-A882*3,B882)</f>
        <v>9743</v>
      </c>
      <c r="F882" s="644">
        <f>IF(MOD(E882,5)=0,B882,0)+E882</f>
        <v>9743</v>
      </c>
      <c r="G882" s="785">
        <f>IF(MOD(F882+$B882,5)=0,$B882,0)+$B882+F882</f>
        <v>26037</v>
      </c>
      <c r="H882" s="785">
        <f>IF(MOD(G882+$B882,5)=0,$B882,0)+$B882+G882</f>
        <v>42331</v>
      </c>
      <c r="I882" s="785">
        <f>IF(MOD(H882+$B882,5)=0,$B882,0)+$B882+H882</f>
        <v>74919</v>
      </c>
      <c r="J882" s="911">
        <v>974</v>
      </c>
      <c r="K882" s="785">
        <v>2603</v>
      </c>
      <c r="L882" s="785">
        <v>4233</v>
      </c>
      <c r="M882" s="785">
        <v>7491</v>
      </c>
      <c r="N882" s="23" t="str">
        <f>D882&amp;FIXED(MOD(F882,10),0)</f>
        <v>hh73</v>
      </c>
      <c r="O882" s="78" t="str">
        <f>MID(A$5,((FIND(N882,A$4,1)-1)+1),4)</f>
        <v>bd7e</v>
      </c>
      <c r="P882" s="76" t="s">
        <v>0</v>
      </c>
      <c r="Q882" s="219" t="s">
        <v>0</v>
      </c>
      <c r="R882" s="103" t="s">
        <v>0</v>
      </c>
      <c r="S882" s="103" t="s">
        <v>0</v>
      </c>
      <c r="T882" s="42" t="s">
        <v>1</v>
      </c>
    </row>
    <row r="883" spans="1:20" ht="12.75">
      <c r="A883" s="44">
        <v>8161</v>
      </c>
      <c r="B883" s="886">
        <v>16322</v>
      </c>
      <c r="C883" s="886">
        <v>66601921</v>
      </c>
      <c r="D883" s="950" t="s">
        <v>2490</v>
      </c>
      <c r="E883" s="115">
        <f>B883-MOD(E$1-A883*3,B883)</f>
        <v>7839</v>
      </c>
      <c r="F883" s="644">
        <f>IF(MOD(E883,5)=0,B883,0)+E883</f>
        <v>7839</v>
      </c>
      <c r="G883" s="785">
        <f>IF(MOD(F883+$B883,5)=0,$B883,0)+$B883+F883</f>
        <v>24161</v>
      </c>
      <c r="H883" s="785">
        <f>IF(MOD(G883+$B883,5)=0,$B883,0)+$B883+G883</f>
        <v>40483</v>
      </c>
      <c r="I883" s="785">
        <f>IF(MOD(H883+$B883,5)=0,$B883,0)+$B883+H883</f>
        <v>73127</v>
      </c>
      <c r="J883" s="911">
        <v>783</v>
      </c>
      <c r="K883" s="785">
        <v>2416</v>
      </c>
      <c r="L883" s="785">
        <v>4048</v>
      </c>
      <c r="M883" s="785">
        <v>7312</v>
      </c>
      <c r="N883" s="23" t="str">
        <f>D883&amp;FIXED(MOD(F883,10),0)</f>
        <v>hh19</v>
      </c>
      <c r="O883" s="78" t="str">
        <f>MID(A$5,((FIND(N883,A$4,1)-1)+1),4)</f>
        <v>e7bd</v>
      </c>
      <c r="P883" s="76" t="s">
        <v>0</v>
      </c>
      <c r="Q883" s="219" t="s">
        <v>0</v>
      </c>
      <c r="R883" s="103" t="s">
        <v>0</v>
      </c>
      <c r="S883" s="103" t="s">
        <v>0</v>
      </c>
      <c r="T883" s="42" t="s">
        <v>1</v>
      </c>
    </row>
    <row r="884" spans="1:20" ht="12.75">
      <c r="A884" s="44">
        <v>8167</v>
      </c>
      <c r="B884" s="886">
        <v>16334</v>
      </c>
      <c r="C884" s="886">
        <v>66699889</v>
      </c>
      <c r="D884" s="950" t="s">
        <v>2501</v>
      </c>
      <c r="E884" s="115">
        <f>B884-MOD(E$1-A884*3,B884)</f>
        <v>4467</v>
      </c>
      <c r="F884" s="644">
        <f>IF(MOD(E884,5)=0,B884,0)+E884</f>
        <v>4467</v>
      </c>
      <c r="G884" s="785">
        <f>IF(MOD(F884+$B884,5)=0,$B884,0)+$B884+F884</f>
        <v>20801</v>
      </c>
      <c r="H884" s="785">
        <f>IF(MOD(G884+$B884,5)=0,$B884,0)+$B884+G884</f>
        <v>53469</v>
      </c>
      <c r="I884" s="785">
        <f>IF(MOD(H884+$B884,5)=0,$B884,0)+$B884+H884</f>
        <v>69803</v>
      </c>
      <c r="J884" s="911">
        <v>446</v>
      </c>
      <c r="K884" s="785">
        <v>2080</v>
      </c>
      <c r="L884" s="785">
        <v>5346</v>
      </c>
      <c r="M884" s="785">
        <v>6980</v>
      </c>
      <c r="N884" s="23" t="str">
        <f>D884&amp;FIXED(MOD(F884,10),0)</f>
        <v>hh77</v>
      </c>
      <c r="O884" s="78" t="str">
        <f>MID(A$5,((FIND(N884,A$4,1)-1)+1),4)</f>
        <v>d7eb</v>
      </c>
      <c r="P884" s="76" t="s">
        <v>0</v>
      </c>
      <c r="Q884" s="219" t="s">
        <v>0</v>
      </c>
      <c r="R884" s="103" t="s">
        <v>0</v>
      </c>
      <c r="S884" s="103" t="s">
        <v>0</v>
      </c>
      <c r="T884" s="42" t="s">
        <v>1</v>
      </c>
    </row>
    <row r="885" spans="1:20" ht="12.75">
      <c r="A885" s="44">
        <v>8171</v>
      </c>
      <c r="B885" s="886">
        <v>16342</v>
      </c>
      <c r="C885" s="886">
        <v>66765241</v>
      </c>
      <c r="D885" s="950" t="s">
        <v>2490</v>
      </c>
      <c r="E885" s="115">
        <f>B885-MOD(E$1-A885*3,B885)</f>
        <v>2423</v>
      </c>
      <c r="F885" s="644">
        <f>IF(MOD(E885,5)=0,B885,0)+E885</f>
        <v>2423</v>
      </c>
      <c r="G885" s="785">
        <f>IF(MOD(F885+$B885,5)=0,$B885,0)+$B885+F885</f>
        <v>35107</v>
      </c>
      <c r="H885" s="785">
        <f>IF(MOD(G885+$B885,5)=0,$B885,0)+$B885+G885</f>
        <v>51449</v>
      </c>
      <c r="I885" s="785">
        <f>IF(MOD(H885+$B885,5)=0,$B885,0)+$B885+H885</f>
        <v>67791</v>
      </c>
      <c r="J885" s="911">
        <v>242</v>
      </c>
      <c r="K885" s="785">
        <v>3510</v>
      </c>
      <c r="L885" s="785">
        <v>5144</v>
      </c>
      <c r="M885" s="785">
        <v>6779</v>
      </c>
      <c r="N885" s="23" t="str">
        <f>D885&amp;FIXED(MOD(F885,10),0)</f>
        <v>hh13</v>
      </c>
      <c r="O885" s="78" t="str">
        <f>MID(A$5,((FIND(N885,A$4,1)-1)+1),4)</f>
        <v>bde7</v>
      </c>
      <c r="P885" s="76" t="s">
        <v>0</v>
      </c>
      <c r="Q885" s="219" t="s">
        <v>0</v>
      </c>
      <c r="R885" s="103" t="s">
        <v>0</v>
      </c>
      <c r="S885" s="103" t="s">
        <v>0</v>
      </c>
      <c r="T885" s="42" t="s">
        <v>1</v>
      </c>
    </row>
    <row r="886" spans="1:20" ht="12.75">
      <c r="A886" s="44">
        <v>8179</v>
      </c>
      <c r="B886" s="886">
        <v>16358</v>
      </c>
      <c r="C886" s="886">
        <v>66896041</v>
      </c>
      <c r="D886" s="950" t="s">
        <v>2506</v>
      </c>
      <c r="E886" s="115">
        <f>B886-MOD(E$1-A886*3,B886)</f>
        <v>3997</v>
      </c>
      <c r="F886" s="644">
        <f>IF(MOD(E886,5)=0,B886,0)+E886</f>
        <v>3997</v>
      </c>
      <c r="G886" s="785">
        <f>IF(MOD(F886+$B886,5)=0,$B886,0)+$B886+F886</f>
        <v>36713</v>
      </c>
      <c r="H886" s="785">
        <f>IF(MOD(G886+$B886,5)=0,$B886,0)+$B886+G886</f>
        <v>53071</v>
      </c>
      <c r="I886" s="785">
        <f>IF(MOD(H886+$B886,5)=0,$B886,0)+$B886+H886</f>
        <v>69429</v>
      </c>
      <c r="J886" s="911">
        <v>399</v>
      </c>
      <c r="K886" s="785">
        <v>3671</v>
      </c>
      <c r="L886" s="785">
        <v>5307</v>
      </c>
      <c r="M886" s="785">
        <v>6942</v>
      </c>
      <c r="N886" s="23" t="str">
        <f>D886&amp;FIXED(MOD(F886,10),0)</f>
        <v>hh97</v>
      </c>
      <c r="O886" s="78" t="str">
        <f>MID(A$5,((FIND(N886,A$4,1)-1)+1),4)</f>
        <v>db7e</v>
      </c>
      <c r="P886" s="76" t="s">
        <v>0</v>
      </c>
      <c r="Q886" s="219" t="s">
        <v>0</v>
      </c>
      <c r="R886" s="103" t="s">
        <v>0</v>
      </c>
      <c r="S886" s="103" t="s">
        <v>0</v>
      </c>
      <c r="T886" s="42" t="s">
        <v>1</v>
      </c>
    </row>
    <row r="887" spans="1:20" ht="12.75">
      <c r="A887" s="44">
        <v>8191</v>
      </c>
      <c r="B887" s="886">
        <v>16382</v>
      </c>
      <c r="C887" s="886">
        <v>67092481</v>
      </c>
      <c r="D887" s="950" t="s">
        <v>2490</v>
      </c>
      <c r="E887" s="115">
        <f>B887-MOD(E$1-A887*3,B887)</f>
        <v>10491</v>
      </c>
      <c r="F887" s="644">
        <f>IF(MOD(E887,5)=0,B887,0)+E887</f>
        <v>10491</v>
      </c>
      <c r="G887" s="785">
        <f>IF(MOD(F887+$B887,5)=0,$B887,0)+$B887+F887</f>
        <v>26873</v>
      </c>
      <c r="H887" s="785">
        <f>IF(MOD(G887+$B887,5)=0,$B887,0)+$B887+G887</f>
        <v>59637</v>
      </c>
      <c r="I887" s="785">
        <f>IF(MOD(H887+$B887,5)=0,$B887,0)+$B887+H887</f>
        <v>76019</v>
      </c>
      <c r="J887" s="911">
        <v>1049</v>
      </c>
      <c r="K887" s="785">
        <v>2687</v>
      </c>
      <c r="L887" s="785">
        <v>5963</v>
      </c>
      <c r="M887" s="785">
        <v>7601</v>
      </c>
      <c r="N887" s="23" t="str">
        <f>D887&amp;FIXED(MOD(F887,10),0)</f>
        <v>hh11</v>
      </c>
      <c r="O887" s="78" t="str">
        <f>MID(A$5,((FIND(N887,A$4,1)-1)+1),4)</f>
        <v>7bde</v>
      </c>
      <c r="P887" s="76" t="s">
        <v>0</v>
      </c>
      <c r="Q887" s="219" t="s">
        <v>0</v>
      </c>
      <c r="R887" s="103" t="s">
        <v>0</v>
      </c>
      <c r="S887" s="103" t="s">
        <v>0</v>
      </c>
      <c r="T887" s="42" t="s">
        <v>1</v>
      </c>
    </row>
    <row r="888" spans="1:20" ht="12.75">
      <c r="A888" s="44">
        <v>8209</v>
      </c>
      <c r="B888" s="886">
        <v>16418</v>
      </c>
      <c r="C888" s="886">
        <v>67387681</v>
      </c>
      <c r="D888" s="950" t="s">
        <v>2506</v>
      </c>
      <c r="E888" s="115">
        <f>B888-MOD(E$1-A888*3,B888)</f>
        <v>13025</v>
      </c>
      <c r="F888" s="644">
        <f>IF(MOD(E888,5)=0,B888,0)+E888</f>
        <v>29443</v>
      </c>
      <c r="G888" s="785">
        <f>IF(MOD(F888+$B888,5)=0,$B888,0)+$B888+F888</f>
        <v>45861</v>
      </c>
      <c r="H888" s="785">
        <f>IF(MOD(G888+$B888,5)=0,$B888,0)+$B888+G888</f>
        <v>62279</v>
      </c>
      <c r="I888" s="785">
        <f>IF(MOD(H888+$B888,5)=0,$B888,0)+$B888+H888</f>
        <v>78697</v>
      </c>
      <c r="J888" s="911">
        <v>2944</v>
      </c>
      <c r="K888" s="785">
        <v>4586</v>
      </c>
      <c r="L888" s="785">
        <v>6227</v>
      </c>
      <c r="M888" s="785">
        <v>7869</v>
      </c>
      <c r="N888" s="23" t="str">
        <f>D888&amp;FIXED(MOD(F888,10),0)</f>
        <v>hh93</v>
      </c>
      <c r="O888" s="78" t="str">
        <f>MID(A$5,((FIND(N888,A$4,1)-1)+1),4)</f>
        <v>b7ed</v>
      </c>
      <c r="P888" s="76" t="s">
        <v>0</v>
      </c>
      <c r="Q888" s="219" t="s">
        <v>0</v>
      </c>
      <c r="R888" s="103" t="s">
        <v>0</v>
      </c>
      <c r="S888" s="103" t="s">
        <v>0</v>
      </c>
      <c r="T888" s="42" t="s">
        <v>1</v>
      </c>
    </row>
    <row r="889" spans="1:20" ht="12.75">
      <c r="A889" s="44">
        <v>8219</v>
      </c>
      <c r="B889" s="886">
        <v>16438</v>
      </c>
      <c r="C889" s="886">
        <v>67551961</v>
      </c>
      <c r="D889" s="950" t="s">
        <v>2506</v>
      </c>
      <c r="E889" s="115">
        <f>B889-MOD(E$1-A889*3,B889)</f>
        <v>5215</v>
      </c>
      <c r="F889" s="644">
        <f>IF(MOD(E889,5)=0,B889,0)+E889</f>
        <v>21653</v>
      </c>
      <c r="G889" s="785">
        <f>IF(MOD(F889+$B889,5)=0,$B889,0)+$B889+F889</f>
        <v>38091</v>
      </c>
      <c r="H889" s="785">
        <f>IF(MOD(G889+$B889,5)=0,$B889,0)+$B889+G889</f>
        <v>54529</v>
      </c>
      <c r="I889" s="785">
        <f>IF(MOD(H889+$B889,5)=0,$B889,0)+$B889+H889</f>
        <v>70967</v>
      </c>
      <c r="J889" s="911">
        <v>2165</v>
      </c>
      <c r="K889" s="785">
        <v>3809</v>
      </c>
      <c r="L889" s="785">
        <v>5452</v>
      </c>
      <c r="M889" s="785">
        <v>7096</v>
      </c>
      <c r="N889" s="23" t="str">
        <f>D889&amp;FIXED(MOD(F889,10),0)</f>
        <v>hh93</v>
      </c>
      <c r="O889" s="78" t="str">
        <f>MID(A$5,((FIND(N889,A$4,1)-1)+1),4)</f>
        <v>b7ed</v>
      </c>
      <c r="P889" s="76" t="s">
        <v>0</v>
      </c>
      <c r="Q889" s="219" t="s">
        <v>0</v>
      </c>
      <c r="R889" s="103" t="s">
        <v>0</v>
      </c>
      <c r="S889" s="103" t="s">
        <v>0</v>
      </c>
      <c r="T889" s="42" t="s">
        <v>1</v>
      </c>
    </row>
    <row r="890" spans="1:20" ht="12.75">
      <c r="A890" s="44">
        <v>8221</v>
      </c>
      <c r="B890" s="886">
        <v>16442</v>
      </c>
      <c r="C890" s="886">
        <v>67584841</v>
      </c>
      <c r="D890" s="950" t="s">
        <v>2490</v>
      </c>
      <c r="E890" s="115">
        <f>B890-MOD(E$1-A890*3,B890)</f>
        <v>4423</v>
      </c>
      <c r="F890" s="644">
        <f>IF(MOD(E890,5)=0,B890,0)+E890</f>
        <v>4423</v>
      </c>
      <c r="G890" s="785">
        <f>IF(MOD(F890+$B890,5)=0,$B890,0)+$B890+F890</f>
        <v>37307</v>
      </c>
      <c r="H890" s="785">
        <f>IF(MOD(G890+$B890,5)=0,$B890,0)+$B890+G890</f>
        <v>53749</v>
      </c>
      <c r="I890" s="785">
        <f>IF(MOD(H890+$B890,5)=0,$B890,0)+$B890+H890</f>
        <v>70191</v>
      </c>
      <c r="J890" s="911">
        <v>442</v>
      </c>
      <c r="K890" s="785">
        <v>3730</v>
      </c>
      <c r="L890" s="785">
        <v>5374</v>
      </c>
      <c r="M890" s="785">
        <v>7019</v>
      </c>
      <c r="N890" s="23" t="str">
        <f>D890&amp;FIXED(MOD(F890,10),0)</f>
        <v>hh13</v>
      </c>
      <c r="O890" s="78" t="str">
        <f>MID(A$5,((FIND(N890,A$4,1)-1)+1),4)</f>
        <v>bde7</v>
      </c>
      <c r="P890" s="76" t="s">
        <v>0</v>
      </c>
      <c r="Q890" s="219" t="s">
        <v>0</v>
      </c>
      <c r="R890" s="103" t="s">
        <v>0</v>
      </c>
      <c r="S890" s="103" t="s">
        <v>0</v>
      </c>
      <c r="T890" s="42" t="s">
        <v>1</v>
      </c>
    </row>
    <row r="891" spans="1:20" ht="12.75">
      <c r="A891" s="44">
        <v>8231</v>
      </c>
      <c r="B891" s="886">
        <v>16462</v>
      </c>
      <c r="C891" s="886">
        <v>67749361</v>
      </c>
      <c r="D891" s="950" t="s">
        <v>2490</v>
      </c>
      <c r="E891" s="115">
        <f>B891-MOD(E$1-A891*3,B891)</f>
        <v>7173</v>
      </c>
      <c r="F891" s="644">
        <f>IF(MOD(E891,5)=0,B891,0)+E891</f>
        <v>7173</v>
      </c>
      <c r="G891" s="785">
        <f>IF(MOD(F891+$B891,5)=0,$B891,0)+$B891+F891</f>
        <v>40097</v>
      </c>
      <c r="H891" s="785">
        <f>IF(MOD(G891+$B891,5)=0,$B891,0)+$B891+G891</f>
        <v>56559</v>
      </c>
      <c r="I891" s="785">
        <f>IF(MOD(H891+$B891,5)=0,$B891,0)+$B891+H891</f>
        <v>73021</v>
      </c>
      <c r="J891" s="911">
        <v>717</v>
      </c>
      <c r="K891" s="785">
        <v>4009</v>
      </c>
      <c r="L891" s="785">
        <v>5655</v>
      </c>
      <c r="M891" s="785">
        <v>7302</v>
      </c>
      <c r="N891" s="23" t="str">
        <f>D891&amp;FIXED(MOD(F891,10),0)</f>
        <v>hh13</v>
      </c>
      <c r="O891" s="78" t="str">
        <f>MID(A$5,((FIND(N891,A$4,1)-1)+1),4)</f>
        <v>bde7</v>
      </c>
      <c r="P891" s="76" t="s">
        <v>0</v>
      </c>
      <c r="Q891" s="219" t="s">
        <v>0</v>
      </c>
      <c r="R891" s="103" t="s">
        <v>0</v>
      </c>
      <c r="S891" s="103" t="s">
        <v>0</v>
      </c>
      <c r="T891" s="42" t="s">
        <v>1</v>
      </c>
    </row>
    <row r="892" spans="1:20" ht="12.75">
      <c r="A892" s="44">
        <v>8233</v>
      </c>
      <c r="B892" s="886">
        <v>16466</v>
      </c>
      <c r="C892" s="886">
        <v>67782289</v>
      </c>
      <c r="D892" s="950" t="s">
        <v>2496</v>
      </c>
      <c r="E892" s="115">
        <f>B892-MOD(E$1-A892*3,B892)</f>
        <v>9429</v>
      </c>
      <c r="F892" s="644">
        <f>IF(MOD(E892,5)=0,B892,0)+E892</f>
        <v>9429</v>
      </c>
      <c r="G892" s="785">
        <f>IF(MOD(F892+$B892,5)=0,$B892,0)+$B892+F892</f>
        <v>42361</v>
      </c>
      <c r="H892" s="785">
        <f>IF(MOD(G892+$B892,5)=0,$B892,0)+$B892+G892</f>
        <v>58827</v>
      </c>
      <c r="I892" s="785">
        <f>IF(MOD(H892+$B892,5)=0,$B892,0)+$B892+H892</f>
        <v>75293</v>
      </c>
      <c r="J892" s="911">
        <v>942</v>
      </c>
      <c r="K892" s="785">
        <v>4236</v>
      </c>
      <c r="L892" s="785">
        <v>5882</v>
      </c>
      <c r="M892" s="785">
        <v>7529</v>
      </c>
      <c r="N892" s="23" t="str">
        <f>D892&amp;FIXED(MOD(F892,10),0)</f>
        <v>hh39</v>
      </c>
      <c r="O892" s="78" t="str">
        <f>MID(A$5,((FIND(N892,A$4,1)-1)+1),4)</f>
        <v>e7db</v>
      </c>
      <c r="P892" s="76" t="s">
        <v>0</v>
      </c>
      <c r="Q892" s="219" t="s">
        <v>0</v>
      </c>
      <c r="R892" s="103" t="s">
        <v>0</v>
      </c>
      <c r="S892" s="103" t="s">
        <v>0</v>
      </c>
      <c r="T892" s="42" t="s">
        <v>1</v>
      </c>
    </row>
    <row r="893" spans="1:20" ht="12.75">
      <c r="A893" s="44">
        <v>8237</v>
      </c>
      <c r="B893" s="886">
        <v>16474</v>
      </c>
      <c r="C893" s="886">
        <v>67848169</v>
      </c>
      <c r="D893" s="950" t="s">
        <v>2501</v>
      </c>
      <c r="E893" s="115">
        <f>B893-MOD(E$1-A893*3,B893)</f>
        <v>16063</v>
      </c>
      <c r="F893" s="644">
        <f>IF(MOD(E893,5)=0,B893,0)+E893</f>
        <v>16063</v>
      </c>
      <c r="G893" s="785">
        <f>IF(MOD(F893+$B893,5)=0,$B893,0)+$B893+F893</f>
        <v>32537</v>
      </c>
      <c r="H893" s="785">
        <f>IF(MOD(G893+$B893,5)=0,$B893,0)+$B893+G893</f>
        <v>49011</v>
      </c>
      <c r="I893" s="785">
        <f>IF(MOD(H893+$B893,5)=0,$B893,0)+$B893+H893</f>
        <v>81959</v>
      </c>
      <c r="J893" s="911">
        <v>1606</v>
      </c>
      <c r="K893" s="785">
        <v>3253</v>
      </c>
      <c r="L893" s="785">
        <v>4901</v>
      </c>
      <c r="M893" s="785">
        <v>8195</v>
      </c>
      <c r="N893" s="23" t="str">
        <f>D893&amp;FIXED(MOD(F893,10),0)</f>
        <v>hh73</v>
      </c>
      <c r="O893" s="78" t="str">
        <f>MID(A$5,((FIND(N893,A$4,1)-1)+1),4)</f>
        <v>bd7e</v>
      </c>
      <c r="P893" s="76" t="s">
        <v>0</v>
      </c>
      <c r="Q893" s="219" t="s">
        <v>0</v>
      </c>
      <c r="R893" s="103" t="s">
        <v>0</v>
      </c>
      <c r="S893" s="103" t="s">
        <v>0</v>
      </c>
      <c r="T893" s="42" t="s">
        <v>1</v>
      </c>
    </row>
    <row r="894" spans="1:20" ht="12.75">
      <c r="A894" s="44">
        <v>8243</v>
      </c>
      <c r="B894" s="886">
        <v>16486</v>
      </c>
      <c r="C894" s="886">
        <v>67947049</v>
      </c>
      <c r="D894" s="950" t="s">
        <v>2496</v>
      </c>
      <c r="E894" s="115">
        <f>B894-MOD(E$1-A894*3,B894)</f>
        <v>15613</v>
      </c>
      <c r="F894" s="644">
        <f>IF(MOD(E894,5)=0,B894,0)+E894</f>
        <v>15613</v>
      </c>
      <c r="G894" s="785">
        <f>IF(MOD(F894+$B894,5)=0,$B894,0)+$B894+F894</f>
        <v>32099</v>
      </c>
      <c r="H894" s="785">
        <f>IF(MOD(G894+$B894,5)=0,$B894,0)+$B894+G894</f>
        <v>65071</v>
      </c>
      <c r="I894" s="785">
        <f>IF(MOD(H894+$B894,5)=0,$B894,0)+$B894+H894</f>
        <v>81557</v>
      </c>
      <c r="J894" s="911">
        <v>1561</v>
      </c>
      <c r="K894" s="785">
        <v>3209</v>
      </c>
      <c r="L894" s="785">
        <v>6507</v>
      </c>
      <c r="M894" s="785">
        <v>8155</v>
      </c>
      <c r="N894" s="23" t="str">
        <f>D894&amp;FIXED(MOD(F894,10),0)</f>
        <v>hh33</v>
      </c>
      <c r="O894" s="78" t="str">
        <f>MID(A$5,((FIND(N894,A$4,1)-1)+1),4)</f>
        <v>be7d</v>
      </c>
      <c r="P894" s="76" t="s">
        <v>0</v>
      </c>
      <c r="Q894" s="219" t="s">
        <v>0</v>
      </c>
      <c r="R894" s="103" t="s">
        <v>0</v>
      </c>
      <c r="S894" s="103" t="s">
        <v>0</v>
      </c>
      <c r="T894" s="42" t="s">
        <v>1</v>
      </c>
    </row>
    <row r="895" spans="1:20" ht="12.75">
      <c r="A895" s="44">
        <v>8263</v>
      </c>
      <c r="B895" s="886">
        <v>16526</v>
      </c>
      <c r="C895" s="886">
        <v>68277169</v>
      </c>
      <c r="D895" s="950" t="s">
        <v>2496</v>
      </c>
      <c r="E895" s="115">
        <f>B895-MOD(E$1-A895*3,B895)</f>
        <v>6455</v>
      </c>
      <c r="F895" s="644">
        <f>IF(MOD(E895,5)=0,B895,0)+E895</f>
        <v>22981</v>
      </c>
      <c r="G895" s="785">
        <f>IF(MOD(F895+$B895,5)=0,$B895,0)+$B895+F895</f>
        <v>39507</v>
      </c>
      <c r="H895" s="785">
        <f>IF(MOD(G895+$B895,5)=0,$B895,0)+$B895+G895</f>
        <v>56033</v>
      </c>
      <c r="I895" s="785">
        <f>IF(MOD(H895+$B895,5)=0,$B895,0)+$B895+H895</f>
        <v>72559</v>
      </c>
      <c r="J895" s="911">
        <v>2298</v>
      </c>
      <c r="K895" s="785">
        <v>3950</v>
      </c>
      <c r="L895" s="785">
        <v>5603</v>
      </c>
      <c r="M895" s="785">
        <v>7255</v>
      </c>
      <c r="N895" s="23" t="str">
        <f>D895&amp;FIXED(MOD(F895,10),0)</f>
        <v>hh31</v>
      </c>
      <c r="O895" s="78" t="str">
        <f>MID(A$5,((FIND(N895,A$4,1)-1)+1),4)</f>
        <v>7dbe</v>
      </c>
      <c r="P895" s="76" t="s">
        <v>0</v>
      </c>
      <c r="Q895" s="219" t="s">
        <v>0</v>
      </c>
      <c r="R895" s="103" t="s">
        <v>0</v>
      </c>
      <c r="S895" s="103" t="s">
        <v>0</v>
      </c>
      <c r="T895" s="42" t="s">
        <v>1</v>
      </c>
    </row>
    <row r="896" spans="1:20" ht="12.75">
      <c r="A896" s="44">
        <v>8269</v>
      </c>
      <c r="B896" s="886">
        <v>16538</v>
      </c>
      <c r="C896" s="886">
        <v>68376361</v>
      </c>
      <c r="D896" s="950" t="s">
        <v>2506</v>
      </c>
      <c r="E896" s="115">
        <f>B896-MOD(E$1-A896*3,B896)</f>
        <v>3421</v>
      </c>
      <c r="F896" s="644">
        <f>IF(MOD(E896,5)=0,B896,0)+E896</f>
        <v>3421</v>
      </c>
      <c r="G896" s="785">
        <f>IF(MOD(F896+$B896,5)=0,$B896,0)+$B896+F896</f>
        <v>19959</v>
      </c>
      <c r="H896" s="785">
        <f>IF(MOD(G896+$B896,5)=0,$B896,0)+$B896+G896</f>
        <v>36497</v>
      </c>
      <c r="I896" s="785">
        <f>IF(MOD(H896+$B896,5)=0,$B896,0)+$B896+H896</f>
        <v>69573</v>
      </c>
      <c r="J896" s="911">
        <v>342</v>
      </c>
      <c r="K896" s="785">
        <v>1995</v>
      </c>
      <c r="L896" s="785">
        <v>3649</v>
      </c>
      <c r="M896" s="785">
        <v>6957</v>
      </c>
      <c r="N896" s="23" t="str">
        <f>D896&amp;FIXED(MOD(F896,10),0)</f>
        <v>hh91</v>
      </c>
      <c r="O896" s="78" t="str">
        <f>MID(A$5,((FIND(N896,A$4,1)-1)+1),4)</f>
        <v>7edb</v>
      </c>
      <c r="P896" s="76" t="s">
        <v>0</v>
      </c>
      <c r="Q896" s="219" t="s">
        <v>0</v>
      </c>
      <c r="R896" s="103" t="s">
        <v>0</v>
      </c>
      <c r="S896" s="103" t="s">
        <v>0</v>
      </c>
      <c r="T896" s="42" t="s">
        <v>1</v>
      </c>
    </row>
    <row r="897" spans="1:20" ht="12.75">
      <c r="A897" s="44">
        <v>8273</v>
      </c>
      <c r="B897" s="886">
        <v>16546</v>
      </c>
      <c r="C897" s="886">
        <v>68442529</v>
      </c>
      <c r="D897" s="950" t="s">
        <v>2496</v>
      </c>
      <c r="E897" s="115">
        <f>B897-MOD(E$1-A897*3,B897)</f>
        <v>3873</v>
      </c>
      <c r="F897" s="644">
        <f>IF(MOD(E897,5)=0,B897,0)+E897</f>
        <v>3873</v>
      </c>
      <c r="G897" s="785">
        <f>IF(MOD(F897+$B897,5)=0,$B897,0)+$B897+F897</f>
        <v>20419</v>
      </c>
      <c r="H897" s="785">
        <f>IF(MOD(G897+$B897,5)=0,$B897,0)+$B897+G897</f>
        <v>53511</v>
      </c>
      <c r="I897" s="785">
        <f>IF(MOD(H897+$B897,5)=0,$B897,0)+$B897+H897</f>
        <v>70057</v>
      </c>
      <c r="J897" s="911">
        <v>387</v>
      </c>
      <c r="K897" s="785">
        <v>2041</v>
      </c>
      <c r="L897" s="785">
        <v>5351</v>
      </c>
      <c r="M897" s="785">
        <v>7005</v>
      </c>
      <c r="N897" s="23" t="str">
        <f>D897&amp;FIXED(MOD(F897,10),0)</f>
        <v>hh33</v>
      </c>
      <c r="O897" s="78" t="str">
        <f>MID(A$5,((FIND(N897,A$4,1)-1)+1),4)</f>
        <v>be7d</v>
      </c>
      <c r="P897" s="76" t="s">
        <v>0</v>
      </c>
      <c r="Q897" s="219" t="s">
        <v>0</v>
      </c>
      <c r="R897" s="103" t="s">
        <v>0</v>
      </c>
      <c r="S897" s="103" t="s">
        <v>0</v>
      </c>
      <c r="T897" s="42" t="s">
        <v>1</v>
      </c>
    </row>
    <row r="898" spans="1:20" ht="12.75">
      <c r="A898" s="44">
        <v>8287</v>
      </c>
      <c r="B898" s="886">
        <v>16574</v>
      </c>
      <c r="C898" s="886">
        <v>68674369</v>
      </c>
      <c r="D898" s="950" t="s">
        <v>2501</v>
      </c>
      <c r="E898" s="115">
        <f>B898-MOD(E$1-A898*3,B898)</f>
        <v>4293</v>
      </c>
      <c r="F898" s="644">
        <f>IF(MOD(E898,5)=0,B898,0)+E898</f>
        <v>4293</v>
      </c>
      <c r="G898" s="785">
        <f>IF(MOD(F898+$B898,5)=0,$B898,0)+$B898+F898</f>
        <v>20867</v>
      </c>
      <c r="H898" s="785">
        <f>IF(MOD(G898+$B898,5)=0,$B898,0)+$B898+G898</f>
        <v>37441</v>
      </c>
      <c r="I898" s="785">
        <f>IF(MOD(H898+$B898,5)=0,$B898,0)+$B898+H898</f>
        <v>70589</v>
      </c>
      <c r="J898" s="911">
        <v>429</v>
      </c>
      <c r="K898" s="785">
        <v>2086</v>
      </c>
      <c r="L898" s="785">
        <v>3744</v>
      </c>
      <c r="M898" s="785">
        <v>7058</v>
      </c>
      <c r="N898" s="23" t="str">
        <f>D898&amp;FIXED(MOD(F898,10),0)</f>
        <v>hh73</v>
      </c>
      <c r="O898" s="78" t="str">
        <f>MID(A$5,((FIND(N898,A$4,1)-1)+1),4)</f>
        <v>bd7e</v>
      </c>
      <c r="P898" s="76" t="s">
        <v>0</v>
      </c>
      <c r="Q898" s="219" t="s">
        <v>0</v>
      </c>
      <c r="R898" s="103" t="s">
        <v>0</v>
      </c>
      <c r="S898" s="103" t="s">
        <v>0</v>
      </c>
      <c r="T898" s="42" t="s">
        <v>1</v>
      </c>
    </row>
    <row r="899" spans="1:20" ht="12.75">
      <c r="A899" s="44">
        <v>8291</v>
      </c>
      <c r="B899" s="886">
        <v>16582</v>
      </c>
      <c r="C899" s="886">
        <v>68740681</v>
      </c>
      <c r="D899" s="950" t="s">
        <v>2490</v>
      </c>
      <c r="E899" s="115">
        <f>B899-MOD(E$1-A899*3,B899)</f>
        <v>5753</v>
      </c>
      <c r="F899" s="644">
        <f>IF(MOD(E899,5)=0,B899,0)+E899</f>
        <v>5753</v>
      </c>
      <c r="G899" s="785">
        <f>IF(MOD(F899+$B899,5)=0,$B899,0)+$B899+F899</f>
        <v>38917</v>
      </c>
      <c r="H899" s="785">
        <f>IF(MOD(G899+$B899,5)=0,$B899,0)+$B899+G899</f>
        <v>55499</v>
      </c>
      <c r="I899" s="785">
        <f>IF(MOD(H899+$B899,5)=0,$B899,0)+$B899+H899</f>
        <v>72081</v>
      </c>
      <c r="J899" s="911">
        <v>575</v>
      </c>
      <c r="K899" s="785">
        <v>3891</v>
      </c>
      <c r="L899" s="785">
        <v>5549</v>
      </c>
      <c r="M899" s="785">
        <v>7208</v>
      </c>
      <c r="N899" s="23" t="str">
        <f>D899&amp;FIXED(MOD(F899,10),0)</f>
        <v>hh13</v>
      </c>
      <c r="O899" s="78" t="str">
        <f>MID(A$5,((FIND(N899,A$4,1)-1)+1),4)</f>
        <v>bde7</v>
      </c>
      <c r="P899" s="76" t="s">
        <v>0</v>
      </c>
      <c r="Q899" s="219" t="s">
        <v>0</v>
      </c>
      <c r="R899" s="103" t="s">
        <v>0</v>
      </c>
      <c r="S899" s="103" t="s">
        <v>0</v>
      </c>
      <c r="T899" s="42" t="s">
        <v>1</v>
      </c>
    </row>
    <row r="900" spans="1:20" ht="12.75">
      <c r="A900" s="44">
        <v>8293</v>
      </c>
      <c r="B900" s="886">
        <v>16586</v>
      </c>
      <c r="C900" s="886">
        <v>68773849</v>
      </c>
      <c r="D900" s="950" t="s">
        <v>2496</v>
      </c>
      <c r="E900" s="115">
        <f>B900-MOD(E$1-A900*3,B900)</f>
        <v>1431</v>
      </c>
      <c r="F900" s="644">
        <f>IF(MOD(E900,5)=0,B900,0)+E900</f>
        <v>1431</v>
      </c>
      <c r="G900" s="785">
        <f>IF(MOD(F900+$B900,5)=0,$B900,0)+$B900+F900</f>
        <v>18017</v>
      </c>
      <c r="H900" s="785">
        <f>IF(MOD(G900+$B900,5)=0,$B900,0)+$B900+G900</f>
        <v>34603</v>
      </c>
      <c r="I900" s="785">
        <f>IF(MOD(H900+$B900,5)=0,$B900,0)+$B900+H900</f>
        <v>51189</v>
      </c>
      <c r="J900" s="911">
        <v>143</v>
      </c>
      <c r="K900" s="785">
        <v>1801</v>
      </c>
      <c r="L900" s="785">
        <v>3460</v>
      </c>
      <c r="M900" s="785">
        <v>5118</v>
      </c>
      <c r="N900" s="23" t="str">
        <f>D900&amp;FIXED(MOD(F900,10),0)</f>
        <v>hh31</v>
      </c>
      <c r="O900" s="78" t="str">
        <f>MID(A$5,((FIND(N900,A$4,1)-1)+1),4)</f>
        <v>7dbe</v>
      </c>
      <c r="P900" s="76" t="s">
        <v>0</v>
      </c>
      <c r="Q900" s="219" t="s">
        <v>0</v>
      </c>
      <c r="R900" s="103" t="s">
        <v>0</v>
      </c>
      <c r="S900" s="103" t="s">
        <v>0</v>
      </c>
      <c r="T900" s="42" t="s">
        <v>1</v>
      </c>
    </row>
    <row r="901" spans="1:20" ht="12.75">
      <c r="A901" s="44">
        <v>8297</v>
      </c>
      <c r="B901" s="886">
        <v>16594</v>
      </c>
      <c r="C901" s="886">
        <v>68840209</v>
      </c>
      <c r="D901" s="950" t="s">
        <v>2501</v>
      </c>
      <c r="E901" s="115">
        <f>B901-MOD(E$1-A901*3,B901)</f>
        <v>16111</v>
      </c>
      <c r="F901" s="644">
        <f>IF(MOD(E901,5)=0,B901,0)+E901</f>
        <v>16111</v>
      </c>
      <c r="G901" s="785">
        <f>IF(MOD(F901+$B901,5)=0,$B901,0)+$B901+F901</f>
        <v>49299</v>
      </c>
      <c r="H901" s="785">
        <f>IF(MOD(G901+$B901,5)=0,$B901,0)+$B901+G901</f>
        <v>65893</v>
      </c>
      <c r="I901" s="785">
        <f>IF(MOD(H901+$B901,5)=0,$B901,0)+$B901+H901</f>
        <v>82487</v>
      </c>
      <c r="J901" s="911">
        <v>1611</v>
      </c>
      <c r="K901" s="785">
        <v>4929</v>
      </c>
      <c r="L901" s="785">
        <v>6589</v>
      </c>
      <c r="M901" s="785">
        <v>8248</v>
      </c>
      <c r="N901" s="23" t="str">
        <f>D901&amp;FIXED(MOD(F901,10),0)</f>
        <v>hh71</v>
      </c>
      <c r="O901" s="78" t="str">
        <f>MID(A$5,((FIND(N901,A$4,1)-1)+1),4)</f>
        <v>7ebd</v>
      </c>
      <c r="P901" s="76" t="s">
        <v>0</v>
      </c>
      <c r="Q901" s="219" t="s">
        <v>0</v>
      </c>
      <c r="R901" s="103" t="s">
        <v>0</v>
      </c>
      <c r="S901" s="103" t="s">
        <v>0</v>
      </c>
      <c r="T901" s="42" t="s">
        <v>1</v>
      </c>
    </row>
    <row r="902" spans="1:20" ht="12.75">
      <c r="A902" s="44">
        <v>8311</v>
      </c>
      <c r="B902" s="886">
        <v>16622</v>
      </c>
      <c r="C902" s="886">
        <v>69072721</v>
      </c>
      <c r="D902" s="950" t="s">
        <v>2490</v>
      </c>
      <c r="E902" s="115">
        <f>B902-MOD(E$1-A902*3,B902)</f>
        <v>2455</v>
      </c>
      <c r="F902" s="644">
        <f>IF(MOD(E902,5)=0,B902,0)+E902</f>
        <v>19077</v>
      </c>
      <c r="G902" s="785">
        <f>IF(MOD(F902+$B902,5)=0,$B902,0)+$B902+F902</f>
        <v>35699</v>
      </c>
      <c r="H902" s="785">
        <f>IF(MOD(G902+$B902,5)=0,$B902,0)+$B902+G902</f>
        <v>52321</v>
      </c>
      <c r="I902" s="785">
        <f>IF(MOD(H902+$B902,5)=0,$B902,0)+$B902+H902</f>
        <v>68943</v>
      </c>
      <c r="J902" s="911">
        <v>1907</v>
      </c>
      <c r="K902" s="785">
        <v>3569</v>
      </c>
      <c r="L902" s="785">
        <v>5232</v>
      </c>
      <c r="M902" s="785">
        <v>6894</v>
      </c>
      <c r="N902" s="23" t="str">
        <f>D902&amp;FIXED(MOD(F902,10),0)</f>
        <v>hh17</v>
      </c>
      <c r="O902" s="78" t="str">
        <f>MID(A$5,((FIND(N902,A$4,1)-1)+1),4)</f>
        <v>de7b</v>
      </c>
      <c r="P902" s="76" t="s">
        <v>0</v>
      </c>
      <c r="Q902" s="219" t="s">
        <v>0</v>
      </c>
      <c r="R902" s="103" t="s">
        <v>0</v>
      </c>
      <c r="S902" s="103" t="s">
        <v>0</v>
      </c>
      <c r="T902" s="42" t="s">
        <v>1</v>
      </c>
    </row>
    <row r="903" spans="1:20" ht="12.75">
      <c r="A903" s="44">
        <v>8317</v>
      </c>
      <c r="B903" s="886">
        <v>16634</v>
      </c>
      <c r="C903" s="886">
        <v>69172489</v>
      </c>
      <c r="D903" s="950" t="s">
        <v>2501</v>
      </c>
      <c r="E903" s="115">
        <f>B903-MOD(E$1-A903*3,B903)</f>
        <v>4995</v>
      </c>
      <c r="F903" s="644">
        <f>IF(MOD(E903,5)=0,B903,0)+E903</f>
        <v>21629</v>
      </c>
      <c r="G903" s="785">
        <f>IF(MOD(F903+$B903,5)=0,$B903,0)+$B903+F903</f>
        <v>38263</v>
      </c>
      <c r="H903" s="785">
        <f>IF(MOD(G903+$B903,5)=0,$B903,0)+$B903+G903</f>
        <v>54897</v>
      </c>
      <c r="I903" s="785">
        <f>IF(MOD(H903+$B903,5)=0,$B903,0)+$B903+H903</f>
        <v>71531</v>
      </c>
      <c r="J903" s="911">
        <v>2162</v>
      </c>
      <c r="K903" s="785">
        <v>3826</v>
      </c>
      <c r="L903" s="785">
        <v>5489</v>
      </c>
      <c r="M903" s="785">
        <v>7153</v>
      </c>
      <c r="N903" s="23" t="str">
        <f>D903&amp;FIXED(MOD(F903,10),0)</f>
        <v>hh79</v>
      </c>
      <c r="O903" s="78" t="str">
        <f>MID(A$5,((FIND(N903,A$4,1)-1)+1),4)</f>
        <v>ebd7</v>
      </c>
      <c r="P903" s="76" t="s">
        <v>0</v>
      </c>
      <c r="Q903" s="219" t="s">
        <v>0</v>
      </c>
      <c r="R903" s="103" t="s">
        <v>0</v>
      </c>
      <c r="S903" s="103" t="s">
        <v>0</v>
      </c>
      <c r="T903" s="42" t="s">
        <v>1</v>
      </c>
    </row>
    <row r="904" spans="1:20" ht="12.75">
      <c r="A904" s="44">
        <v>8329</v>
      </c>
      <c r="B904" s="886">
        <v>16658</v>
      </c>
      <c r="C904" s="886">
        <v>69372241</v>
      </c>
      <c r="D904" s="950" t="s">
        <v>2506</v>
      </c>
      <c r="E904" s="115">
        <f>B904-MOD(E$1-A904*3,B904)</f>
        <v>4851</v>
      </c>
      <c r="F904" s="644">
        <f>IF(MOD(E904,5)=0,B904,0)+E904</f>
        <v>4851</v>
      </c>
      <c r="G904" s="785">
        <f>IF(MOD(F904+$B904,5)=0,$B904,0)+$B904+F904</f>
        <v>21509</v>
      </c>
      <c r="H904" s="785">
        <f>IF(MOD(G904+$B904,5)=0,$B904,0)+$B904+G904</f>
        <v>38167</v>
      </c>
      <c r="I904" s="785">
        <f>IF(MOD(H904+$B904,5)=0,$B904,0)+$B904+H904</f>
        <v>71483</v>
      </c>
      <c r="J904" s="911">
        <v>485</v>
      </c>
      <c r="K904" s="785">
        <v>2150</v>
      </c>
      <c r="L904" s="785">
        <v>3816</v>
      </c>
      <c r="M904" s="785">
        <v>7148</v>
      </c>
      <c r="N904" s="23" t="str">
        <f>D904&amp;FIXED(MOD(F904,10),0)</f>
        <v>hh91</v>
      </c>
      <c r="O904" s="78" t="str">
        <f>MID(A$5,((FIND(N904,A$4,1)-1)+1),4)</f>
        <v>7edb</v>
      </c>
      <c r="P904" s="76" t="s">
        <v>0</v>
      </c>
      <c r="Q904" s="219" t="s">
        <v>0</v>
      </c>
      <c r="R904" s="103" t="s">
        <v>0</v>
      </c>
      <c r="S904" s="103" t="s">
        <v>0</v>
      </c>
      <c r="T904" s="42" t="s">
        <v>1</v>
      </c>
    </row>
    <row r="905" spans="1:20" ht="12.75">
      <c r="A905" s="44">
        <v>8353</v>
      </c>
      <c r="B905" s="886">
        <v>16706</v>
      </c>
      <c r="C905" s="886">
        <v>69772609</v>
      </c>
      <c r="D905" s="950" t="s">
        <v>2496</v>
      </c>
      <c r="E905" s="115">
        <f>B905-MOD(E$1-A905*3,B905)</f>
        <v>4593</v>
      </c>
      <c r="F905" s="644">
        <f>IF(MOD(E905,5)=0,B905,0)+E905</f>
        <v>4593</v>
      </c>
      <c r="G905" s="785">
        <f>IF(MOD(F905+$B905,5)=0,$B905,0)+$B905+F905</f>
        <v>21299</v>
      </c>
      <c r="H905" s="785">
        <f>IF(MOD(G905+$B905,5)=0,$B905,0)+$B905+G905</f>
        <v>54711</v>
      </c>
      <c r="I905" s="785">
        <f>IF(MOD(H905+$B905,5)=0,$B905,0)+$B905+H905</f>
        <v>71417</v>
      </c>
      <c r="J905" s="911">
        <v>459</v>
      </c>
      <c r="K905" s="785">
        <v>2129</v>
      </c>
      <c r="L905" s="785">
        <v>5471</v>
      </c>
      <c r="M905" s="785">
        <v>7141</v>
      </c>
      <c r="N905" s="23" t="str">
        <f>D905&amp;FIXED(MOD(F905,10),0)</f>
        <v>hh33</v>
      </c>
      <c r="O905" s="78" t="str">
        <f>MID(A$5,((FIND(N905,A$4,1)-1)+1),4)</f>
        <v>be7d</v>
      </c>
      <c r="P905" s="76" t="s">
        <v>0</v>
      </c>
      <c r="Q905" s="219" t="s">
        <v>0</v>
      </c>
      <c r="R905" s="103" t="s">
        <v>0</v>
      </c>
      <c r="S905" s="103" t="s">
        <v>0</v>
      </c>
      <c r="T905" s="42" t="s">
        <v>1</v>
      </c>
    </row>
    <row r="906" spans="1:20" ht="12.75">
      <c r="A906" s="44">
        <v>8363</v>
      </c>
      <c r="B906" s="886">
        <v>16726</v>
      </c>
      <c r="C906" s="886">
        <v>69939769</v>
      </c>
      <c r="D906" s="950" t="s">
        <v>2496</v>
      </c>
      <c r="E906" s="115">
        <f>B906-MOD(E$1-A906*3,B906)</f>
        <v>1399</v>
      </c>
      <c r="F906" s="644">
        <f>IF(MOD(E906,5)=0,B906,0)+E906</f>
        <v>1399</v>
      </c>
      <c r="G906" s="785">
        <f>IF(MOD(F906+$B906,5)=0,$B906,0)+$B906+F906</f>
        <v>34851</v>
      </c>
      <c r="H906" s="785">
        <f>IF(MOD(G906+$B906,5)=0,$B906,0)+$B906+G906</f>
        <v>51577</v>
      </c>
      <c r="I906" s="785">
        <f>IF(MOD(H906+$B906,5)=0,$B906,0)+$B906+H906</f>
        <v>68303</v>
      </c>
      <c r="J906" s="911">
        <v>139</v>
      </c>
      <c r="K906" s="785">
        <v>3485</v>
      </c>
      <c r="L906" s="785">
        <v>5157</v>
      </c>
      <c r="M906" s="785">
        <v>6830</v>
      </c>
      <c r="N906" s="23" t="str">
        <f>D906&amp;FIXED(MOD(F906,10),0)</f>
        <v>hh39</v>
      </c>
      <c r="O906" s="78" t="str">
        <f>MID(A$5,((FIND(N906,A$4,1)-1)+1),4)</f>
        <v>e7db</v>
      </c>
      <c r="P906" s="76" t="s">
        <v>34</v>
      </c>
      <c r="Q906" s="219" t="s">
        <v>0</v>
      </c>
      <c r="R906" s="103" t="s">
        <v>0</v>
      </c>
      <c r="S906" s="103" t="s">
        <v>0</v>
      </c>
      <c r="T906" s="42" t="s">
        <v>1</v>
      </c>
    </row>
    <row r="907" spans="1:20" ht="12.75">
      <c r="A907" s="44">
        <v>8369</v>
      </c>
      <c r="B907" s="886">
        <v>16738</v>
      </c>
      <c r="C907" s="886">
        <v>70040161</v>
      </c>
      <c r="D907" s="950" t="s">
        <v>2506</v>
      </c>
      <c r="E907" s="115">
        <f>B907-MOD(E$1-A907*3,B907)</f>
        <v>3543</v>
      </c>
      <c r="F907" s="644">
        <f>IF(MOD(E907,5)=0,B907,0)+E907</f>
        <v>3543</v>
      </c>
      <c r="G907" s="785">
        <f>IF(MOD(F907+$B907,5)=0,$B907,0)+$B907+F907</f>
        <v>20281</v>
      </c>
      <c r="H907" s="785">
        <f>IF(MOD(G907+$B907,5)=0,$B907,0)+$B907+G907</f>
        <v>37019</v>
      </c>
      <c r="I907" s="785">
        <f>IF(MOD(H907+$B907,5)=0,$B907,0)+$B907+H907</f>
        <v>53757</v>
      </c>
      <c r="J907" s="911">
        <v>354</v>
      </c>
      <c r="K907" s="785">
        <v>2028</v>
      </c>
      <c r="L907" s="785">
        <v>3701</v>
      </c>
      <c r="M907" s="785">
        <v>5375</v>
      </c>
      <c r="N907" s="23" t="str">
        <f>D907&amp;FIXED(MOD(F907,10),0)</f>
        <v>hh93</v>
      </c>
      <c r="O907" s="78" t="str">
        <f>MID(A$5,((FIND(N907,A$4,1)-1)+1),4)</f>
        <v>b7ed</v>
      </c>
      <c r="P907" s="76" t="s">
        <v>34</v>
      </c>
      <c r="Q907" s="219" t="s">
        <v>0</v>
      </c>
      <c r="R907" s="103" t="s">
        <v>0</v>
      </c>
      <c r="S907" s="103" t="s">
        <v>0</v>
      </c>
      <c r="T907" s="42" t="s">
        <v>1</v>
      </c>
    </row>
    <row r="908" spans="1:20" ht="12.75">
      <c r="A908" s="44">
        <v>8377</v>
      </c>
      <c r="B908" s="886">
        <v>16754</v>
      </c>
      <c r="C908" s="886">
        <v>70174129</v>
      </c>
      <c r="D908" s="950" t="s">
        <v>2501</v>
      </c>
      <c r="E908" s="115">
        <f>B908-MOD(E$1-A908*3,B908)</f>
        <v>8879</v>
      </c>
      <c r="F908" s="644">
        <f>IF(MOD(E908,5)=0,B908,0)+E908</f>
        <v>8879</v>
      </c>
      <c r="G908" s="785">
        <f>IF(MOD(F908+$B908,5)=0,$B908,0)+$B908+F908</f>
        <v>25633</v>
      </c>
      <c r="H908" s="785">
        <f>IF(MOD(G908+$B908,5)=0,$B908,0)+$B908+G908</f>
        <v>42387</v>
      </c>
      <c r="I908" s="785">
        <f>IF(MOD(H908+$B908,5)=0,$B908,0)+$B908+H908</f>
        <v>59141</v>
      </c>
      <c r="J908" s="911">
        <v>887</v>
      </c>
      <c r="K908" s="785">
        <v>2563</v>
      </c>
      <c r="L908" s="785">
        <v>4238</v>
      </c>
      <c r="M908" s="785">
        <v>5914</v>
      </c>
      <c r="N908" s="23" t="str">
        <f>D908&amp;FIXED(MOD(F908,10),0)</f>
        <v>hh79</v>
      </c>
      <c r="O908" s="78" t="str">
        <f>MID(A$5,((FIND(N908,A$4,1)-1)+1),4)</f>
        <v>ebd7</v>
      </c>
      <c r="P908" s="76" t="s">
        <v>34</v>
      </c>
      <c r="Q908" s="219" t="s">
        <v>0</v>
      </c>
      <c r="R908" s="103" t="s">
        <v>0</v>
      </c>
      <c r="S908" s="103" t="s">
        <v>0</v>
      </c>
      <c r="T908" s="42" t="s">
        <v>1</v>
      </c>
    </row>
    <row r="909" spans="1:20" ht="12.75">
      <c r="A909" s="44">
        <v>8387</v>
      </c>
      <c r="B909" s="886">
        <v>16774</v>
      </c>
      <c r="C909" s="886">
        <v>70341769</v>
      </c>
      <c r="D909" s="950" t="s">
        <v>2501</v>
      </c>
      <c r="E909" s="115">
        <f>B909-MOD(E$1-A909*3,B909)</f>
        <v>4783</v>
      </c>
      <c r="F909" s="644">
        <f>IF(MOD(E909,5)=0,B909,0)+E909</f>
        <v>4783</v>
      </c>
      <c r="G909" s="785">
        <f>IF(MOD(F909+$B909,5)=0,$B909,0)+$B909+F909</f>
        <v>21557</v>
      </c>
      <c r="H909" s="785">
        <f>IF(MOD(G909+$B909,5)=0,$B909,0)+$B909+G909</f>
        <v>38331</v>
      </c>
      <c r="I909" s="785">
        <f>IF(MOD(H909+$B909,5)=0,$B909,0)+$B909+H909</f>
        <v>71879</v>
      </c>
      <c r="J909" s="911">
        <v>478</v>
      </c>
      <c r="K909" s="785">
        <v>2155</v>
      </c>
      <c r="L909" s="785">
        <v>3833</v>
      </c>
      <c r="M909" s="785">
        <v>7187</v>
      </c>
      <c r="N909" s="23" t="str">
        <f>D909&amp;FIXED(MOD(F909,10),0)</f>
        <v>hh73</v>
      </c>
      <c r="O909" s="78" t="str">
        <f>MID(A$5,((FIND(N909,A$4,1)-1)+1),4)</f>
        <v>bd7e</v>
      </c>
      <c r="P909" s="76" t="s">
        <v>0</v>
      </c>
      <c r="Q909" s="219" t="s">
        <v>0</v>
      </c>
      <c r="R909" s="103" t="s">
        <v>0</v>
      </c>
      <c r="S909" s="103" t="s">
        <v>0</v>
      </c>
      <c r="T909" s="42" t="s">
        <v>1</v>
      </c>
    </row>
    <row r="910" spans="1:20" ht="12.75">
      <c r="A910" s="44">
        <v>8389</v>
      </c>
      <c r="B910" s="886">
        <v>16778</v>
      </c>
      <c r="C910" s="886">
        <v>70375321</v>
      </c>
      <c r="D910" s="950" t="s">
        <v>2506</v>
      </c>
      <c r="E910" s="115">
        <f>B910-MOD(E$1-A910*3,B910)</f>
        <v>14199</v>
      </c>
      <c r="F910" s="644">
        <f>IF(MOD(E910,5)=0,B910,0)+E910</f>
        <v>14199</v>
      </c>
      <c r="G910" s="785">
        <f>IF(MOD(F910+$B910,5)=0,$B910,0)+$B910+F910</f>
        <v>30977</v>
      </c>
      <c r="H910" s="785">
        <f>IF(MOD(G910+$B910,5)=0,$B910,0)+$B910+G910</f>
        <v>64533</v>
      </c>
      <c r="I910" s="785">
        <f>IF(MOD(H910+$B910,5)=0,$B910,0)+$B910+H910</f>
        <v>81311</v>
      </c>
      <c r="J910" s="911">
        <v>1419</v>
      </c>
      <c r="K910" s="785">
        <v>3097</v>
      </c>
      <c r="L910" s="785">
        <v>6453</v>
      </c>
      <c r="M910" s="785">
        <v>8131</v>
      </c>
      <c r="N910" s="23" t="str">
        <f>D910&amp;FIXED(MOD(F910,10),0)</f>
        <v>hh99</v>
      </c>
      <c r="O910" s="78" t="str">
        <f>MID(A$5,((FIND(N910,A$4,1)-1)+1),4)</f>
        <v>edb7</v>
      </c>
      <c r="P910" s="76" t="s">
        <v>0</v>
      </c>
      <c r="Q910" s="219" t="s">
        <v>0</v>
      </c>
      <c r="R910" s="103" t="s">
        <v>0</v>
      </c>
      <c r="S910" s="103" t="s">
        <v>0</v>
      </c>
      <c r="T910" s="42" t="s">
        <v>1</v>
      </c>
    </row>
  </sheetData>
  <sheetProtection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86be2f-a1ce-4f26-8e31-534e8b18e15d}">
  <sheetPr>
    <tabColor indexed="41"/>
  </sheetPr>
  <dimension ref="A1:BL148"/>
  <sheetViews>
    <sheetView defaultGridColor="0" zoomScale="125" zoomScaleNormal="125" colorId="0" workbookViewId="0" topLeftCell="A1">
      <pane topLeftCell="A1" activePane="topLeft" state="split"/>
      <selection pane="topLeft" activeCell="A1" sqref="A1"/>
    </sheetView>
  </sheetViews>
  <sheetFormatPr defaultRowHeight="12.75"/>
  <cols>
    <col min="1" max="1" width="7.71428571428571"/>
    <col min="2" max="2" width="32.7142857142857"/>
    <col min="3" max="3" width="3"/>
    <col min="4" max="4" width="5"/>
    <col min="5" max="5" width="4.85714285714286"/>
    <col min="6" max="6" width="24.7142857142857"/>
    <col min="7" max="7" width="13.2857142857143"/>
    <col min="8" max="8" width="12.7142857142857"/>
    <col min="9" max="9" width="12.8571428571429"/>
    <col min="10" max="10" width="13.2857142857143"/>
    <col min="11" max="11" width="12.8571428571429"/>
    <col min="12" max="14" width="13.2857142857143"/>
    <col min="15" max="15" width="13.1428571428571"/>
    <col min="16" max="16" width="12.7142857142857"/>
    <col min="17" max="17" width="13.2857142857143"/>
    <col min="18" max="18" width="12.8571428571429"/>
    <col min="19" max="20" width="13.2857142857143"/>
    <col min="21" max="21" width="13.1428571428571"/>
    <col min="22" max="24" width="13.2857142857143"/>
    <col min="25" max="25" width="12.5714285714286"/>
    <col min="26" max="30" width="13.2857142857143"/>
    <col min="31" max="31" width="13.1428571428571"/>
    <col min="32" max="35" width="13.2857142857143"/>
    <col min="36" max="36" width="13.1428571428571"/>
    <col min="37" max="41" width="13.2857142857143"/>
    <col min="42" max="42" width="12.8571428571429"/>
    <col min="43" max="43" width="13.2857142857143"/>
    <col min="44" max="44" width="13.1428571428571"/>
    <col min="45" max="45" width="12.5714285714286"/>
    <col min="46" max="48" width="13.2857142857143"/>
    <col min="49" max="49" width="12.7142857142857"/>
    <col min="50" max="50" width="12.8571428571429"/>
    <col min="51" max="51" width="13.1428571428571"/>
    <col min="52" max="52" width="13.2857142857143"/>
    <col min="53" max="54" width="13.1428571428571"/>
    <col min="55" max="55" width="13.2857142857143"/>
    <col min="56" max="57" width="13.1428571428571"/>
    <col min="58" max="58" width="12.8571428571429"/>
    <col min="59" max="62" width="13.2857142857143"/>
    <col min="63" max="63" width="56.4285714285714"/>
  </cols>
  <sheetData>
    <row r="1" spans="1:9" ht="12.75">
      <c r="A1" t="s">
        <v>2062</v>
      </c>
      <c r="B1" s="859">
        <v>16800000</v>
      </c>
      <c r="F1" s="869">
        <f>A!E1</f>
        <v>598720323600</v>
      </c>
      <c r="G1" s="979">
        <v>59872032360</v>
      </c>
      <c r="I1" s="116" t="s">
        <v>36</v>
      </c>
    </row>
    <row r="2" spans="2:7" ht="12.75">
      <c r="B2" s="859">
        <v>16800000000</v>
      </c>
      <c r="F2" s="978">
        <f>F1+8400</f>
        <v>598720332000</v>
      </c>
      <c r="G2" s="974">
        <v>59872033200</v>
      </c>
    </row>
    <row r="3" spans="6:6" ht="12.75">
      <c r="F3" s="23" t="str">
        <f>A!P908</f>
        <v>8d5ac5ac12d4225a35ae1015a658d52f4a95a542810f5aa5ad52b4215804af10f4ac10d50f4205a758d1871ae18012e0ab5874ac0851ae18852f48b50742f10d5ac4a002b4a85a658f08a5ae18d52d48b50750718f5ac52552f4ab52350e18e50852512e4a358358f08f4ae48152e4ab1225aa08f1a65011270a15a75ae08e5aa5a950f4095a71a21835aa58512f0a25a75af0835a65a152a4205251ac08c12a42d42d42b5075af18e4a452152e0034a35ad18742612d52d4aa52350e18e0265a55274a81a61a61865ae40500e4a35a758c08e10658142f48b5a75aa08b58e5a54244ab1275a71060ae48c50640a1a75af08c52e1a552f4ab1a65ab18f5ae1ad42f4a958752f00948e08c50948b4015ab18d5ac5ac52e0ab5a55ae00a5ae4a412940a1a71a408f5a05ad1254a85074a908c5aa4ad4210a24a25af18d5a60a852f4ab1a312d1855ae4ad00d40b5a752f10f5aa5ac52b4225875af18f42c5a91250290a75ab00d5aa4ad52f42b5275af18f5ae48c12f4a94a752e08f5821ac4274a30a14ab18f42e52552f40a5a752f1874064a842e0aa5a45af08a58e5295224a94854071</v>
      </c>
    </row>
    <row r="4" spans="7:62" ht="12.75">
      <c r="G4" s="786">
        <v>0</v>
      </c>
      <c r="H4" s="788">
        <v>15</v>
      </c>
      <c r="I4" s="788">
        <v>30</v>
      </c>
      <c r="J4" s="788">
        <v>45</v>
      </c>
      <c r="K4" s="788">
        <v>60</v>
      </c>
      <c r="L4" s="788">
        <v>75</v>
      </c>
      <c r="M4" s="788">
        <v>90</v>
      </c>
      <c r="N4" s="788">
        <v>105</v>
      </c>
      <c r="O4" s="788">
        <v>120</v>
      </c>
      <c r="P4" s="788">
        <v>135</v>
      </c>
      <c r="Q4" s="788">
        <v>150</v>
      </c>
      <c r="R4" s="788">
        <v>165</v>
      </c>
      <c r="S4" s="788">
        <v>180</v>
      </c>
      <c r="T4" s="788">
        <v>195</v>
      </c>
      <c r="U4" s="788">
        <v>210</v>
      </c>
      <c r="V4" s="788">
        <v>225</v>
      </c>
      <c r="W4" s="788">
        <v>240</v>
      </c>
      <c r="X4" s="788">
        <v>255</v>
      </c>
      <c r="Y4" s="788">
        <v>270</v>
      </c>
      <c r="Z4" s="788">
        <v>285</v>
      </c>
      <c r="AA4" s="788">
        <v>300</v>
      </c>
      <c r="AB4" s="788">
        <v>315</v>
      </c>
      <c r="AC4" s="788">
        <v>330</v>
      </c>
      <c r="AD4" s="788">
        <v>345</v>
      </c>
      <c r="AE4" s="788">
        <v>360</v>
      </c>
      <c r="AF4" s="788">
        <v>375</v>
      </c>
      <c r="AG4" s="788">
        <v>390</v>
      </c>
      <c r="AH4" s="788">
        <v>405</v>
      </c>
      <c r="AI4" s="788">
        <v>420</v>
      </c>
      <c r="AJ4" s="788">
        <v>435</v>
      </c>
      <c r="AK4" s="788">
        <v>450</v>
      </c>
      <c r="AL4" s="788">
        <v>465</v>
      </c>
      <c r="AM4" s="788">
        <v>480</v>
      </c>
      <c r="AN4" s="788">
        <v>495</v>
      </c>
      <c r="AO4" s="788">
        <v>510</v>
      </c>
      <c r="AP4" s="788">
        <v>525</v>
      </c>
      <c r="AQ4" s="788">
        <v>540</v>
      </c>
      <c r="AR4" s="788">
        <v>555</v>
      </c>
      <c r="AS4" s="788">
        <v>570</v>
      </c>
      <c r="AT4" s="788">
        <v>585</v>
      </c>
      <c r="AU4" s="788">
        <v>600</v>
      </c>
      <c r="AV4" s="788">
        <v>615</v>
      </c>
      <c r="AW4" s="788">
        <v>630</v>
      </c>
      <c r="AX4" s="788">
        <v>645</v>
      </c>
      <c r="AY4" s="788">
        <v>660</v>
      </c>
      <c r="AZ4" s="788">
        <v>675</v>
      </c>
      <c r="BA4" s="788">
        <v>690</v>
      </c>
      <c r="BB4" s="788">
        <v>705</v>
      </c>
      <c r="BC4" s="788">
        <v>720</v>
      </c>
      <c r="BD4" s="788">
        <v>735</v>
      </c>
      <c r="BE4" s="788">
        <v>750</v>
      </c>
      <c r="BF4" s="788">
        <v>765</v>
      </c>
      <c r="BG4" s="788">
        <v>780</v>
      </c>
      <c r="BH4" s="788">
        <v>795</v>
      </c>
      <c r="BI4" s="788">
        <v>810</v>
      </c>
      <c r="BJ4" s="788">
        <v>825</v>
      </c>
    </row>
    <row r="5" spans="6:62" ht="12.75">
      <c r="F5" s="351" t="s">
        <v>2488</v>
      </c>
      <c r="G5" s="25" t="str">
        <f>MID($F5,(G4+1),15)</f>
        <v>fffffffffffffff</v>
      </c>
      <c r="H5" s="25" t="str">
        <f>MID($F5,(H4+1),15)</f>
        <v>fffffffffffffff</v>
      </c>
      <c r="I5" s="25" t="str">
        <f>MID($F5,(I4+1),15)</f>
        <v>fffffffffffffff</v>
      </c>
      <c r="J5" s="25" t="str">
        <f>MID($F5,(J4+1),15)</f>
        <v>fffffffffffffff</v>
      </c>
      <c r="K5" s="25" t="str">
        <f>MID($F5,(K4+1),15)</f>
        <v>fffffffffffffff</v>
      </c>
      <c r="L5" s="25" t="str">
        <f>MID($F5,(L4+1),15)</f>
        <v>fffffffffffffff</v>
      </c>
      <c r="M5" s="25" t="str">
        <f>MID($F5,(M4+1),15)</f>
        <v>fffffffffffffff</v>
      </c>
      <c r="N5" s="25" t="str">
        <f>MID($F5,(N4+1),15)</f>
        <v>fffffffffffffff</v>
      </c>
      <c r="O5" s="25" t="str">
        <f>MID($F5,(O4+1),15)</f>
        <v>fffffffffffffff</v>
      </c>
      <c r="P5" s="25" t="str">
        <f>MID($F5,(P4+1),15)</f>
        <v>fffffffffffffff</v>
      </c>
      <c r="Q5" s="25" t="str">
        <f>MID($F5,(Q4+1),15)</f>
        <v>fffffffffffffff</v>
      </c>
      <c r="R5" s="25" t="str">
        <f>MID($F5,(R4+1),15)</f>
        <v>fffffffffffffff</v>
      </c>
      <c r="S5" s="25" t="str">
        <f>MID($F5,(S4+1),15)</f>
        <v>fffffffffffffff</v>
      </c>
      <c r="T5" s="25" t="str">
        <f>MID($F5,(T4+1),15)</f>
        <v>fffffffffffffff</v>
      </c>
      <c r="U5" s="25" t="str">
        <f>MID($F5,(U4+1),15)</f>
        <v>fffffffffffffff</v>
      </c>
      <c r="V5" s="25" t="str">
        <f>MID($F5,(V4+1),15)</f>
        <v>fffffffffffffff</v>
      </c>
      <c r="W5" s="25" t="str">
        <f>MID($F5,(W4+1),15)</f>
        <v>fffffffffffffff</v>
      </c>
      <c r="X5" s="25" t="str">
        <f>MID($F5,(X4+1),15)</f>
        <v>fffffffffffffff</v>
      </c>
      <c r="Y5" s="25" t="str">
        <f>MID($F5,(Y4+1),15)</f>
        <v>fffffffffffffff</v>
      </c>
      <c r="Z5" s="25" t="str">
        <f>MID($F5,(Z4+1),15)</f>
        <v>fffffffffffffff</v>
      </c>
      <c r="AA5" s="25" t="str">
        <f>MID($F5,(AA4+1),15)</f>
        <v>fffffffffffffff</v>
      </c>
      <c r="AB5" s="25" t="str">
        <f>MID($F5,(AB4+1),15)</f>
        <v>fffffffffffffff</v>
      </c>
      <c r="AC5" s="25" t="str">
        <f>MID($F5,(AC4+1),15)</f>
        <v>fffffffffffffff</v>
      </c>
      <c r="AD5" s="25" t="str">
        <f>MID($F5,(AD4+1),15)</f>
        <v>fffffffffffffff</v>
      </c>
      <c r="AE5" s="25" t="str">
        <f>MID($F5,(AE4+1),15)</f>
        <v>fffffffffffffff</v>
      </c>
      <c r="AF5" s="25" t="str">
        <f>MID($F5,(AF4+1),15)</f>
        <v>fffffffffffffff</v>
      </c>
      <c r="AG5" s="25" t="str">
        <f>MID($F5,(AG4+1),15)</f>
        <v>fffffffffffffff</v>
      </c>
      <c r="AH5" s="25" t="str">
        <f>MID($F5,(AH4+1),15)</f>
        <v>fffffffffffffff</v>
      </c>
      <c r="AI5" s="25" t="str">
        <f>MID($F5,(AI4+1),15)</f>
        <v>fffffffffffffff</v>
      </c>
      <c r="AJ5" s="25" t="str">
        <f>MID($F5,(AJ4+1),15)</f>
        <v>fffffffffffffff</v>
      </c>
      <c r="AK5" s="25" t="str">
        <f>MID($F5,(AK4+1),15)</f>
        <v>fffffffffffffff</v>
      </c>
      <c r="AL5" s="25" t="str">
        <f>MID($F5,(AL4+1),15)</f>
        <v>fffffffffffffff</v>
      </c>
      <c r="AM5" s="25" t="str">
        <f>MID($F5,(AM4+1),15)</f>
        <v>fffffffffffffff</v>
      </c>
      <c r="AN5" s="25" t="str">
        <f>MID($F5,(AN4+1),15)</f>
        <v>fffffffffffffff</v>
      </c>
      <c r="AO5" s="25" t="str">
        <f>MID($F5,(AO4+1),15)</f>
        <v>fffffffffffffff</v>
      </c>
      <c r="AP5" s="25" t="str">
        <f>MID($F5,(AP4+1),15)</f>
        <v>fffffffffffffff</v>
      </c>
      <c r="AQ5" s="25" t="str">
        <f>MID($F5,(AQ4+1),15)</f>
        <v>fffffffffffffff</v>
      </c>
      <c r="AR5" s="25" t="str">
        <f>MID($F5,(AR4+1),15)</f>
        <v>fffffffffffffff</v>
      </c>
      <c r="AS5" s="25" t="str">
        <f>MID($F5,(AS4+1),15)</f>
        <v>fffffffffffffff</v>
      </c>
      <c r="AT5" s="25" t="str">
        <f>MID($F5,(AT4+1),15)</f>
        <v>fffffffffffffff</v>
      </c>
      <c r="AU5" s="25" t="str">
        <f>MID($F5,(AU4+1),15)</f>
        <v>fffffffffffffff</v>
      </c>
      <c r="AV5" s="25" t="str">
        <f>MID($F5,(AV4+1),15)</f>
        <v>fffffffffffffff</v>
      </c>
      <c r="AW5" s="25" t="str">
        <f>MID($F5,(AW4+1),15)</f>
        <v>fffffffffffffff</v>
      </c>
      <c r="AX5" s="25" t="str">
        <f>MID($F5,(AX4+1),15)</f>
        <v>fffffffffffffff</v>
      </c>
      <c r="AY5" s="25" t="str">
        <f>MID($F5,(AY4+1),15)</f>
        <v>fffffffffffffff</v>
      </c>
      <c r="AZ5" s="25" t="str">
        <f>MID($F5,(AZ4+1),15)</f>
        <v>fffffffffffffff</v>
      </c>
      <c r="BA5" s="25" t="str">
        <f>MID($F5,(BA4+1),15)</f>
        <v>fffffffffffffff</v>
      </c>
      <c r="BB5" s="25" t="str">
        <f>MID($F5,(BB4+1),15)</f>
        <v>fffffffffffffff</v>
      </c>
      <c r="BC5" s="25" t="str">
        <f>MID($F5,(BC4+1),15)</f>
        <v>fffffffffffffff</v>
      </c>
      <c r="BD5" s="25" t="str">
        <f>MID($F5,(BD4+1),15)</f>
        <v>fffffffffffffff</v>
      </c>
      <c r="BE5" s="25" t="str">
        <f>MID($F5,(BE4+1),15)</f>
        <v>fffffffffffffff</v>
      </c>
      <c r="BF5" s="25" t="str">
        <f>MID($F5,(BF4+1),15)</f>
        <v>fffffffffffffff</v>
      </c>
      <c r="BG5" s="25" t="str">
        <f>MID($F5,(BG4+1),15)</f>
        <v>fffffffffffffff</v>
      </c>
      <c r="BH5" s="25" t="str">
        <f>MID($F5,(BH4+1),15)</f>
        <v>fffffffffffffff</v>
      </c>
      <c r="BI5" s="25" t="str">
        <f>MID($F5,(BI4+1),15)</f>
        <v>fffffffffffffff</v>
      </c>
      <c r="BJ5" s="25" t="str">
        <f>MID($F5,(BJ4+1),15)</f>
        <v>fffffffffffffff</v>
      </c>
    </row>
    <row r="6" spans="1:62" ht="12.75">
      <c r="A6" s="710">
        <v>11</v>
      </c>
      <c r="B6" s="44" t="s">
        <v>2062</v>
      </c>
      <c r="C6" s="325">
        <f>MOD(G$1,A6)</f>
        <v>8</v>
      </c>
      <c r="D6" s="82">
        <f>A6-C6</f>
        <v>3</v>
      </c>
      <c r="E6" s="76">
        <f>MOD(G$2,A6)</f>
        <v>1</v>
      </c>
      <c r="F6" s="78" t="s">
        <v>2067</v>
      </c>
      <c r="G6" s="78" t="s">
        <v>0</v>
      </c>
      <c r="H6" s="78" t="s">
        <v>0</v>
      </c>
      <c r="I6" s="78" t="s">
        <v>0</v>
      </c>
      <c r="J6" s="78" t="s">
        <v>0</v>
      </c>
      <c r="K6" s="78" t="s">
        <v>0</v>
      </c>
      <c r="L6" s="78" t="s">
        <v>0</v>
      </c>
      <c r="M6" s="78" t="s">
        <v>0</v>
      </c>
      <c r="N6" s="78" t="s">
        <v>0</v>
      </c>
      <c r="O6" s="78" t="s">
        <v>0</v>
      </c>
      <c r="P6" s="78" t="s">
        <v>0</v>
      </c>
      <c r="Q6" s="78" t="s">
        <v>0</v>
      </c>
      <c r="R6" s="78" t="s">
        <v>0</v>
      </c>
      <c r="S6" s="78" t="s">
        <v>0</v>
      </c>
      <c r="T6" s="78" t="s">
        <v>0</v>
      </c>
      <c r="U6" s="78" t="s">
        <v>0</v>
      </c>
      <c r="V6" s="78" t="s">
        <v>0</v>
      </c>
      <c r="W6" s="78" t="s">
        <v>0</v>
      </c>
      <c r="X6" s="78" t="s">
        <v>0</v>
      </c>
      <c r="Y6" s="78" t="s">
        <v>0</v>
      </c>
      <c r="Z6" s="78" t="s">
        <v>0</v>
      </c>
      <c r="AA6" s="78" t="s">
        <v>0</v>
      </c>
      <c r="AB6" s="78" t="s">
        <v>0</v>
      </c>
      <c r="AC6" s="78" t="s">
        <v>0</v>
      </c>
      <c r="AD6" s="78" t="s">
        <v>0</v>
      </c>
      <c r="AE6" s="78" t="s">
        <v>0</v>
      </c>
      <c r="AF6" s="78" t="s">
        <v>0</v>
      </c>
      <c r="AG6" s="78" t="s">
        <v>0</v>
      </c>
      <c r="AH6" s="78" t="s">
        <v>0</v>
      </c>
      <c r="AI6" s="78" t="s">
        <v>0</v>
      </c>
      <c r="AJ6" s="78" t="s">
        <v>0</v>
      </c>
      <c r="AK6" s="78" t="s">
        <v>0</v>
      </c>
      <c r="AL6" s="78" t="s">
        <v>0</v>
      </c>
      <c r="AM6" s="78" t="s">
        <v>0</v>
      </c>
      <c r="AN6" s="78" t="s">
        <v>0</v>
      </c>
      <c r="AO6" s="78" t="s">
        <v>0</v>
      </c>
      <c r="AP6" s="78" t="s">
        <v>0</v>
      </c>
      <c r="AQ6" s="78" t="s">
        <v>0</v>
      </c>
      <c r="AR6" s="78" t="s">
        <v>0</v>
      </c>
      <c r="AS6" s="78" t="s">
        <v>0</v>
      </c>
      <c r="AT6" s="78" t="s">
        <v>0</v>
      </c>
      <c r="AU6" s="78" t="s">
        <v>0</v>
      </c>
      <c r="AV6" s="78" t="s">
        <v>0</v>
      </c>
      <c r="AW6" s="78" t="s">
        <v>0</v>
      </c>
      <c r="AX6" s="78" t="s">
        <v>0</v>
      </c>
      <c r="AY6" s="78" t="s">
        <v>0</v>
      </c>
      <c r="AZ6" s="78" t="s">
        <v>0</v>
      </c>
      <c r="BA6" s="78" t="s">
        <v>0</v>
      </c>
      <c r="BB6" s="78" t="s">
        <v>0</v>
      </c>
      <c r="BC6" s="78" t="s">
        <v>0</v>
      </c>
      <c r="BD6" s="78" t="s">
        <v>0</v>
      </c>
      <c r="BE6" s="78" t="s">
        <v>0</v>
      </c>
      <c r="BF6" s="78" t="s">
        <v>0</v>
      </c>
      <c r="BG6" s="78" t="s">
        <v>0</v>
      </c>
      <c r="BH6" s="78" t="s">
        <v>0</v>
      </c>
      <c r="BI6" s="78" t="s">
        <v>0</v>
      </c>
      <c r="BJ6" s="78" t="s">
        <v>0</v>
      </c>
    </row>
    <row r="7" spans="1:62" ht="12.75">
      <c r="A7" s="710">
        <v>13</v>
      </c>
      <c r="B7" s="44" t="s">
        <v>2064</v>
      </c>
      <c r="C7" s="325">
        <f>MOD(G$1,A7)</f>
        <v>10</v>
      </c>
      <c r="D7" s="82">
        <f>A7-C7</f>
        <v>3</v>
      </c>
      <c r="E7" s="76">
        <f>MOD(G$2,A7)</f>
        <v>5</v>
      </c>
      <c r="F7" s="78" t="s">
        <v>2065</v>
      </c>
      <c r="G7" s="78" t="s">
        <v>0</v>
      </c>
      <c r="H7" s="78" t="s">
        <v>0</v>
      </c>
      <c r="I7" s="78" t="s">
        <v>0</v>
      </c>
      <c r="J7" s="78" t="s">
        <v>0</v>
      </c>
      <c r="K7" s="78" t="s">
        <v>0</v>
      </c>
      <c r="L7" s="78" t="s">
        <v>0</v>
      </c>
      <c r="M7" s="78" t="s">
        <v>0</v>
      </c>
      <c r="N7" s="78" t="s">
        <v>0</v>
      </c>
      <c r="O7" s="78" t="s">
        <v>0</v>
      </c>
      <c r="P7" s="78" t="s">
        <v>0</v>
      </c>
      <c r="Q7" s="78" t="s">
        <v>0</v>
      </c>
      <c r="R7" s="78" t="s">
        <v>0</v>
      </c>
      <c r="S7" s="78" t="s">
        <v>0</v>
      </c>
      <c r="T7" s="78" t="s">
        <v>0</v>
      </c>
      <c r="U7" s="78" t="s">
        <v>0</v>
      </c>
      <c r="V7" s="78" t="s">
        <v>0</v>
      </c>
      <c r="W7" s="78" t="s">
        <v>0</v>
      </c>
      <c r="X7" s="78" t="s">
        <v>0</v>
      </c>
      <c r="Y7" s="78" t="s">
        <v>0</v>
      </c>
      <c r="Z7" s="78" t="s">
        <v>0</v>
      </c>
      <c r="AA7" s="78" t="s">
        <v>0</v>
      </c>
      <c r="AB7" s="78" t="s">
        <v>0</v>
      </c>
      <c r="AC7" s="78" t="s">
        <v>0</v>
      </c>
      <c r="AD7" s="78" t="s">
        <v>0</v>
      </c>
      <c r="AE7" s="78" t="s">
        <v>0</v>
      </c>
      <c r="AF7" s="78" t="s">
        <v>0</v>
      </c>
      <c r="AG7" s="78" t="s">
        <v>0</v>
      </c>
      <c r="AH7" s="78" t="s">
        <v>0</v>
      </c>
      <c r="AI7" s="78" t="s">
        <v>0</v>
      </c>
      <c r="AJ7" s="78" t="s">
        <v>0</v>
      </c>
      <c r="AK7" s="78" t="s">
        <v>0</v>
      </c>
      <c r="AL7" s="78" t="s">
        <v>0</v>
      </c>
      <c r="AM7" s="78" t="s">
        <v>0</v>
      </c>
      <c r="AN7" s="78" t="s">
        <v>0</v>
      </c>
      <c r="AO7" s="78" t="s">
        <v>0</v>
      </c>
      <c r="AP7" s="78" t="s">
        <v>0</v>
      </c>
      <c r="AQ7" s="78" t="s">
        <v>0</v>
      </c>
      <c r="AR7" s="78" t="s">
        <v>0</v>
      </c>
      <c r="AS7" s="78" t="s">
        <v>0</v>
      </c>
      <c r="AT7" s="78" t="s">
        <v>0</v>
      </c>
      <c r="AU7" s="78" t="s">
        <v>0</v>
      </c>
      <c r="AV7" s="78" t="s">
        <v>0</v>
      </c>
      <c r="AW7" s="78" t="s">
        <v>0</v>
      </c>
      <c r="AX7" s="78" t="s">
        <v>0</v>
      </c>
      <c r="AY7" s="78" t="s">
        <v>0</v>
      </c>
      <c r="AZ7" s="78" t="s">
        <v>0</v>
      </c>
      <c r="BA7" s="78" t="s">
        <v>0</v>
      </c>
      <c r="BB7" s="78" t="s">
        <v>0</v>
      </c>
      <c r="BC7" s="78" t="s">
        <v>0</v>
      </c>
      <c r="BD7" s="78" t="s">
        <v>0</v>
      </c>
      <c r="BE7" s="78" t="s">
        <v>0</v>
      </c>
      <c r="BF7" s="78" t="s">
        <v>0</v>
      </c>
      <c r="BG7" s="78" t="s">
        <v>0</v>
      </c>
      <c r="BH7" s="78" t="s">
        <v>0</v>
      </c>
      <c r="BI7" s="78" t="s">
        <v>0</v>
      </c>
      <c r="BJ7" s="78" t="s">
        <v>0</v>
      </c>
    </row>
    <row r="8" spans="1:62" ht="12.75">
      <c r="A8" s="710">
        <v>17</v>
      </c>
      <c r="B8" s="44" t="s">
        <v>2066</v>
      </c>
      <c r="C8" s="325">
        <f>MOD(G$1,A8)</f>
        <v>8</v>
      </c>
      <c r="D8" s="82">
        <f>A8-C8</f>
        <v>9</v>
      </c>
      <c r="E8" s="76">
        <f>MOD(G$2,A8)</f>
        <v>15</v>
      </c>
      <c r="F8" s="78" t="s">
        <v>2082</v>
      </c>
      <c r="G8" s="78" t="s">
        <v>0</v>
      </c>
      <c r="H8" s="78" t="s">
        <v>0</v>
      </c>
      <c r="I8" s="78" t="s">
        <v>0</v>
      </c>
      <c r="J8" s="78" t="s">
        <v>0</v>
      </c>
      <c r="K8" s="78" t="s">
        <v>0</v>
      </c>
      <c r="L8" s="78" t="s">
        <v>0</v>
      </c>
      <c r="M8" s="78" t="s">
        <v>0</v>
      </c>
      <c r="N8" s="78" t="s">
        <v>0</v>
      </c>
      <c r="O8" s="78" t="s">
        <v>0</v>
      </c>
      <c r="P8" s="78" t="s">
        <v>0</v>
      </c>
      <c r="Q8" s="78" t="s">
        <v>0</v>
      </c>
      <c r="R8" s="78" t="s">
        <v>0</v>
      </c>
      <c r="S8" s="78" t="s">
        <v>0</v>
      </c>
      <c r="T8" s="78" t="s">
        <v>0</v>
      </c>
      <c r="U8" s="78" t="s">
        <v>0</v>
      </c>
      <c r="V8" s="78" t="s">
        <v>0</v>
      </c>
      <c r="W8" s="78" t="s">
        <v>0</v>
      </c>
      <c r="X8" s="78" t="s">
        <v>0</v>
      </c>
      <c r="Y8" s="78" t="s">
        <v>0</v>
      </c>
      <c r="Z8" s="78" t="s">
        <v>0</v>
      </c>
      <c r="AA8" s="78" t="s">
        <v>0</v>
      </c>
      <c r="AB8" s="78" t="s">
        <v>0</v>
      </c>
      <c r="AC8" s="78" t="s">
        <v>0</v>
      </c>
      <c r="AD8" s="78" t="s">
        <v>0</v>
      </c>
      <c r="AE8" s="78" t="s">
        <v>0</v>
      </c>
      <c r="AF8" s="78" t="s">
        <v>0</v>
      </c>
      <c r="AG8" s="78" t="s">
        <v>0</v>
      </c>
      <c r="AH8" s="78" t="s">
        <v>0</v>
      </c>
      <c r="AI8" s="78" t="s">
        <v>0</v>
      </c>
      <c r="AJ8" s="78" t="s">
        <v>0</v>
      </c>
      <c r="AK8" s="78" t="s">
        <v>0</v>
      </c>
      <c r="AL8" s="78" t="s">
        <v>0</v>
      </c>
      <c r="AM8" s="78" t="s">
        <v>0</v>
      </c>
      <c r="AN8" s="78" t="s">
        <v>0</v>
      </c>
      <c r="AO8" s="78" t="s">
        <v>0</v>
      </c>
      <c r="AP8" s="78" t="s">
        <v>0</v>
      </c>
      <c r="AQ8" s="78" t="s">
        <v>0</v>
      </c>
      <c r="AR8" s="78" t="s">
        <v>0</v>
      </c>
      <c r="AS8" s="78" t="s">
        <v>0</v>
      </c>
      <c r="AT8" s="78" t="s">
        <v>0</v>
      </c>
      <c r="AU8" s="78" t="s">
        <v>0</v>
      </c>
      <c r="AV8" s="78" t="s">
        <v>0</v>
      </c>
      <c r="AW8" s="78" t="s">
        <v>0</v>
      </c>
      <c r="AX8" s="78" t="s">
        <v>0</v>
      </c>
      <c r="AY8" s="78" t="s">
        <v>0</v>
      </c>
      <c r="AZ8" s="78" t="s">
        <v>0</v>
      </c>
      <c r="BA8" s="78" t="s">
        <v>0</v>
      </c>
      <c r="BB8" s="78" t="s">
        <v>0</v>
      </c>
      <c r="BC8" s="78" t="s">
        <v>0</v>
      </c>
      <c r="BD8" s="78" t="s">
        <v>0</v>
      </c>
      <c r="BE8" s="78" t="s">
        <v>0</v>
      </c>
      <c r="BF8" s="78" t="s">
        <v>0</v>
      </c>
      <c r="BG8" s="78" t="s">
        <v>0</v>
      </c>
      <c r="BH8" s="78" t="s">
        <v>0</v>
      </c>
      <c r="BI8" s="78" t="s">
        <v>0</v>
      </c>
      <c r="BJ8" s="78" t="s">
        <v>0</v>
      </c>
    </row>
    <row r="9" spans="1:62" ht="12.75">
      <c r="A9" s="710">
        <v>19</v>
      </c>
      <c r="B9" s="44" t="s">
        <v>2068</v>
      </c>
      <c r="C9" s="325">
        <f>MOD(G$1,A9)</f>
        <v>17</v>
      </c>
      <c r="D9" s="82">
        <f>A9-C9</f>
        <v>2</v>
      </c>
      <c r="E9" s="76">
        <f>MOD(G$2,A9)</f>
        <v>2</v>
      </c>
      <c r="F9" s="78" t="s">
        <v>31</v>
      </c>
      <c r="G9" s="78" t="s">
        <v>0</v>
      </c>
      <c r="H9" s="78" t="s">
        <v>0</v>
      </c>
      <c r="I9" s="78" t="s">
        <v>0</v>
      </c>
      <c r="J9" s="78" t="s">
        <v>0</v>
      </c>
      <c r="K9" s="78" t="s">
        <v>0</v>
      </c>
      <c r="L9" s="78" t="s">
        <v>0</v>
      </c>
      <c r="M9" s="78" t="s">
        <v>0</v>
      </c>
      <c r="N9" s="78" t="s">
        <v>0</v>
      </c>
      <c r="O9" s="78" t="s">
        <v>0</v>
      </c>
      <c r="P9" s="78" t="s">
        <v>0</v>
      </c>
      <c r="Q9" s="78" t="s">
        <v>0</v>
      </c>
      <c r="R9" s="78" t="s">
        <v>0</v>
      </c>
      <c r="S9" s="78" t="s">
        <v>0</v>
      </c>
      <c r="T9" s="78" t="s">
        <v>0</v>
      </c>
      <c r="U9" s="78" t="s">
        <v>0</v>
      </c>
      <c r="V9" s="78" t="s">
        <v>0</v>
      </c>
      <c r="W9" s="78" t="s">
        <v>0</v>
      </c>
      <c r="X9" s="78" t="s">
        <v>0</v>
      </c>
      <c r="Y9" s="78" t="s">
        <v>0</v>
      </c>
      <c r="Z9" s="78" t="s">
        <v>0</v>
      </c>
      <c r="AA9" s="78" t="s">
        <v>0</v>
      </c>
      <c r="AB9" s="78" t="s">
        <v>0</v>
      </c>
      <c r="AC9" s="78" t="s">
        <v>0</v>
      </c>
      <c r="AD9" s="78" t="s">
        <v>0</v>
      </c>
      <c r="AE9" s="78" t="s">
        <v>0</v>
      </c>
      <c r="AF9" s="78" t="s">
        <v>0</v>
      </c>
      <c r="AG9" s="78" t="s">
        <v>0</v>
      </c>
      <c r="AH9" s="78" t="s">
        <v>0</v>
      </c>
      <c r="AI9" s="78" t="s">
        <v>0</v>
      </c>
      <c r="AJ9" s="78" t="s">
        <v>0</v>
      </c>
      <c r="AK9" s="78" t="s">
        <v>0</v>
      </c>
      <c r="AL9" s="78" t="s">
        <v>0</v>
      </c>
      <c r="AM9" s="78" t="s">
        <v>0</v>
      </c>
      <c r="AN9" s="78" t="s">
        <v>0</v>
      </c>
      <c r="AO9" s="78" t="s">
        <v>0</v>
      </c>
      <c r="AP9" s="78" t="s">
        <v>0</v>
      </c>
      <c r="AQ9" s="78" t="s">
        <v>0</v>
      </c>
      <c r="AR9" s="78" t="s">
        <v>0</v>
      </c>
      <c r="AS9" s="78" t="s">
        <v>0</v>
      </c>
      <c r="AT9" s="78" t="s">
        <v>0</v>
      </c>
      <c r="AU9" s="78" t="s">
        <v>0</v>
      </c>
      <c r="AV9" s="78" t="s">
        <v>0</v>
      </c>
      <c r="AW9" s="78" t="s">
        <v>0</v>
      </c>
      <c r="AX9" s="78" t="s">
        <v>0</v>
      </c>
      <c r="AY9" s="78" t="s">
        <v>0</v>
      </c>
      <c r="AZ9" s="78" t="s">
        <v>0</v>
      </c>
      <c r="BA9" s="78" t="s">
        <v>0</v>
      </c>
      <c r="BB9" s="78" t="s">
        <v>0</v>
      </c>
      <c r="BC9" s="78" t="s">
        <v>0</v>
      </c>
      <c r="BD9" s="78" t="s">
        <v>0</v>
      </c>
      <c r="BE9" s="78" t="s">
        <v>0</v>
      </c>
      <c r="BF9" s="78" t="s">
        <v>0</v>
      </c>
      <c r="BG9" s="78" t="s">
        <v>0</v>
      </c>
      <c r="BH9" s="78" t="s">
        <v>0</v>
      </c>
      <c r="BI9" s="78" t="s">
        <v>0</v>
      </c>
      <c r="BJ9" s="78" t="s">
        <v>0</v>
      </c>
    </row>
    <row r="10" spans="1:62" ht="12.75">
      <c r="A10" s="710">
        <v>23</v>
      </c>
      <c r="B10" s="44" t="s">
        <v>2069</v>
      </c>
      <c r="C10" s="325">
        <f>MOD(G$1,A10)</f>
        <v>17</v>
      </c>
      <c r="D10" s="82">
        <f>A10-C10</f>
        <v>6</v>
      </c>
      <c r="E10" s="76">
        <f>MOD(G$2,A10)</f>
        <v>6</v>
      </c>
      <c r="F10" s="78" t="s">
        <v>2076</v>
      </c>
      <c r="G10" s="78" t="s">
        <v>0</v>
      </c>
      <c r="H10" s="78" t="s">
        <v>0</v>
      </c>
      <c r="I10" s="78" t="s">
        <v>0</v>
      </c>
      <c r="J10" s="78" t="s">
        <v>0</v>
      </c>
      <c r="K10" s="78" t="s">
        <v>0</v>
      </c>
      <c r="L10" s="78" t="s">
        <v>0</v>
      </c>
      <c r="M10" s="78" t="s">
        <v>0</v>
      </c>
      <c r="N10" s="78" t="s">
        <v>0</v>
      </c>
      <c r="O10" s="78" t="s">
        <v>0</v>
      </c>
      <c r="P10" s="78" t="s">
        <v>0</v>
      </c>
      <c r="Q10" s="78" t="s">
        <v>0</v>
      </c>
      <c r="R10" s="78" t="s">
        <v>0</v>
      </c>
      <c r="S10" s="78" t="s">
        <v>0</v>
      </c>
      <c r="T10" s="78" t="s">
        <v>0</v>
      </c>
      <c r="U10" s="78" t="s">
        <v>0</v>
      </c>
      <c r="V10" s="78" t="s">
        <v>0</v>
      </c>
      <c r="W10" s="78" t="s">
        <v>0</v>
      </c>
      <c r="X10" s="78" t="s">
        <v>0</v>
      </c>
      <c r="Y10" s="78" t="s">
        <v>0</v>
      </c>
      <c r="Z10" s="78" t="s">
        <v>0</v>
      </c>
      <c r="AA10" s="78" t="s">
        <v>0</v>
      </c>
      <c r="AB10" s="78" t="s">
        <v>0</v>
      </c>
      <c r="AC10" s="78" t="s">
        <v>0</v>
      </c>
      <c r="AD10" s="78" t="s">
        <v>0</v>
      </c>
      <c r="AE10" s="78" t="s">
        <v>0</v>
      </c>
      <c r="AF10" s="78" t="s">
        <v>0</v>
      </c>
      <c r="AG10" s="78" t="s">
        <v>0</v>
      </c>
      <c r="AH10" s="78" t="s">
        <v>0</v>
      </c>
      <c r="AI10" s="78" t="s">
        <v>0</v>
      </c>
      <c r="AJ10" s="78" t="s">
        <v>0</v>
      </c>
      <c r="AK10" s="78" t="s">
        <v>0</v>
      </c>
      <c r="AL10" s="78" t="s">
        <v>0</v>
      </c>
      <c r="AM10" s="78" t="s">
        <v>0</v>
      </c>
      <c r="AN10" s="78" t="s">
        <v>0</v>
      </c>
      <c r="AO10" s="78" t="s">
        <v>0</v>
      </c>
      <c r="AP10" s="78" t="s">
        <v>0</v>
      </c>
      <c r="AQ10" s="78" t="s">
        <v>0</v>
      </c>
      <c r="AR10" s="78" t="s">
        <v>0</v>
      </c>
      <c r="AS10" s="78" t="s">
        <v>0</v>
      </c>
      <c r="AT10" s="78" t="s">
        <v>0</v>
      </c>
      <c r="AU10" s="78" t="s">
        <v>0</v>
      </c>
      <c r="AV10" s="78" t="s">
        <v>0</v>
      </c>
      <c r="AW10" s="78" t="s">
        <v>0</v>
      </c>
      <c r="AX10" s="78" t="s">
        <v>0</v>
      </c>
      <c r="AY10" s="78" t="s">
        <v>0</v>
      </c>
      <c r="AZ10" s="78" t="s">
        <v>0</v>
      </c>
      <c r="BA10" s="78" t="s">
        <v>0</v>
      </c>
      <c r="BB10" s="78" t="s">
        <v>0</v>
      </c>
      <c r="BC10" s="78" t="s">
        <v>0</v>
      </c>
      <c r="BD10" s="78" t="s">
        <v>0</v>
      </c>
      <c r="BE10" s="78" t="s">
        <v>0</v>
      </c>
      <c r="BF10" s="78" t="s">
        <v>0</v>
      </c>
      <c r="BG10" s="78" t="s">
        <v>0</v>
      </c>
      <c r="BH10" s="78" t="s">
        <v>0</v>
      </c>
      <c r="BI10" s="78" t="s">
        <v>0</v>
      </c>
      <c r="BJ10" s="78" t="s">
        <v>0</v>
      </c>
    </row>
    <row r="11" spans="1:62" ht="12.75">
      <c r="A11" s="710">
        <v>29</v>
      </c>
      <c r="B11" s="44" t="s">
        <v>2071</v>
      </c>
      <c r="C11" s="325">
        <f>MOD(G$1,A11)</f>
        <v>0</v>
      </c>
      <c r="D11" s="82">
        <f>A11-C11</f>
        <v>29</v>
      </c>
      <c r="E11" s="76">
        <f>MOD(G$2,A11)</f>
        <v>28</v>
      </c>
      <c r="F11" s="78" t="s">
        <v>2072</v>
      </c>
      <c r="G11" s="78" t="s">
        <v>0</v>
      </c>
      <c r="H11" s="78" t="s">
        <v>0</v>
      </c>
      <c r="I11" s="78" t="s">
        <v>0</v>
      </c>
      <c r="J11" s="78" t="s">
        <v>0</v>
      </c>
      <c r="K11" s="78" t="s">
        <v>0</v>
      </c>
      <c r="L11" s="78" t="s">
        <v>0</v>
      </c>
      <c r="M11" s="78" t="s">
        <v>0</v>
      </c>
      <c r="N11" s="78" t="s">
        <v>0</v>
      </c>
      <c r="O11" s="78" t="s">
        <v>0</v>
      </c>
      <c r="P11" s="78" t="s">
        <v>0</v>
      </c>
      <c r="Q11" s="78" t="s">
        <v>0</v>
      </c>
      <c r="R11" s="78" t="s">
        <v>0</v>
      </c>
      <c r="S11" s="78" t="s">
        <v>0</v>
      </c>
      <c r="T11" s="78" t="s">
        <v>0</v>
      </c>
      <c r="U11" s="78" t="s">
        <v>0</v>
      </c>
      <c r="V11" s="78" t="s">
        <v>0</v>
      </c>
      <c r="W11" s="78" t="s">
        <v>0</v>
      </c>
      <c r="X11" s="78" t="s">
        <v>0</v>
      </c>
      <c r="Y11" s="78" t="s">
        <v>0</v>
      </c>
      <c r="Z11" s="78" t="s">
        <v>0</v>
      </c>
      <c r="AA11" s="78" t="s">
        <v>0</v>
      </c>
      <c r="AB11" s="78" t="s">
        <v>0</v>
      </c>
      <c r="AC11" s="78" t="s">
        <v>0</v>
      </c>
      <c r="AD11" s="78" t="s">
        <v>0</v>
      </c>
      <c r="AE11" s="78" t="s">
        <v>0</v>
      </c>
      <c r="AF11" s="78" t="s">
        <v>0</v>
      </c>
      <c r="AG11" s="78" t="s">
        <v>0</v>
      </c>
      <c r="AH11" s="78" t="s">
        <v>0</v>
      </c>
      <c r="AI11" s="78" t="s">
        <v>0</v>
      </c>
      <c r="AJ11" s="78" t="s">
        <v>0</v>
      </c>
      <c r="AK11" s="78" t="s">
        <v>0</v>
      </c>
      <c r="AL11" s="78" t="s">
        <v>0</v>
      </c>
      <c r="AM11" s="78" t="s">
        <v>0</v>
      </c>
      <c r="AN11" s="78" t="s">
        <v>0</v>
      </c>
      <c r="AO11" s="78" t="s">
        <v>0</v>
      </c>
      <c r="AP11" s="78" t="s">
        <v>0</v>
      </c>
      <c r="AQ11" s="78" t="s">
        <v>0</v>
      </c>
      <c r="AR11" s="78" t="s">
        <v>0</v>
      </c>
      <c r="AS11" s="78" t="s">
        <v>0</v>
      </c>
      <c r="AT11" s="78" t="s">
        <v>0</v>
      </c>
      <c r="AU11" s="78" t="s">
        <v>0</v>
      </c>
      <c r="AV11" s="78" t="s">
        <v>0</v>
      </c>
      <c r="AW11" s="78" t="s">
        <v>0</v>
      </c>
      <c r="AX11" s="78" t="s">
        <v>0</v>
      </c>
      <c r="AY11" s="78" t="s">
        <v>0</v>
      </c>
      <c r="AZ11" s="78" t="s">
        <v>0</v>
      </c>
      <c r="BA11" s="78" t="s">
        <v>0</v>
      </c>
      <c r="BB11" s="78" t="s">
        <v>0</v>
      </c>
      <c r="BC11" s="78" t="s">
        <v>0</v>
      </c>
      <c r="BD11" s="78" t="s">
        <v>0</v>
      </c>
      <c r="BE11" s="78" t="s">
        <v>0</v>
      </c>
      <c r="BF11" s="78" t="s">
        <v>0</v>
      </c>
      <c r="BG11" s="78" t="s">
        <v>0</v>
      </c>
      <c r="BH11" s="78" t="s">
        <v>0</v>
      </c>
      <c r="BI11" s="78" t="s">
        <v>0</v>
      </c>
      <c r="BJ11" s="78" t="s">
        <v>0</v>
      </c>
    </row>
    <row r="12" spans="1:62" ht="12.75">
      <c r="A12" s="710">
        <v>31</v>
      </c>
      <c r="B12" s="44" t="s">
        <v>2074</v>
      </c>
      <c r="C12" s="325">
        <f>MOD(G$1,A12)</f>
        <v>18</v>
      </c>
      <c r="D12" s="82">
        <f>A12-C12</f>
        <v>13</v>
      </c>
      <c r="E12" s="76">
        <f>MOD(G$2,A12)</f>
        <v>21</v>
      </c>
      <c r="F12" s="78" t="s">
        <v>2077</v>
      </c>
      <c r="G12" s="78" t="s">
        <v>0</v>
      </c>
      <c r="H12" s="78" t="s">
        <v>0</v>
      </c>
      <c r="I12" s="78" t="s">
        <v>0</v>
      </c>
      <c r="J12" s="78" t="s">
        <v>0</v>
      </c>
      <c r="K12" s="78" t="s">
        <v>0</v>
      </c>
      <c r="L12" s="78" t="s">
        <v>0</v>
      </c>
      <c r="M12" s="78" t="s">
        <v>0</v>
      </c>
      <c r="N12" s="78" t="s">
        <v>0</v>
      </c>
      <c r="O12" s="78" t="s">
        <v>0</v>
      </c>
      <c r="P12" s="78" t="s">
        <v>0</v>
      </c>
      <c r="Q12" s="78" t="s">
        <v>0</v>
      </c>
      <c r="R12" s="78" t="s">
        <v>0</v>
      </c>
      <c r="S12" s="78" t="s">
        <v>0</v>
      </c>
      <c r="T12" s="78" t="s">
        <v>0</v>
      </c>
      <c r="U12" s="78" t="s">
        <v>0</v>
      </c>
      <c r="V12" s="78" t="s">
        <v>0</v>
      </c>
      <c r="W12" s="78" t="s">
        <v>0</v>
      </c>
      <c r="X12" s="78" t="s">
        <v>0</v>
      </c>
      <c r="Y12" s="78" t="s">
        <v>0</v>
      </c>
      <c r="Z12" s="78" t="s">
        <v>0</v>
      </c>
      <c r="AA12" s="78" t="s">
        <v>0</v>
      </c>
      <c r="AB12" s="78" t="s">
        <v>0</v>
      </c>
      <c r="AC12" s="78" t="s">
        <v>0</v>
      </c>
      <c r="AD12" s="78" t="s">
        <v>0</v>
      </c>
      <c r="AE12" s="78" t="s">
        <v>0</v>
      </c>
      <c r="AF12" s="78" t="s">
        <v>0</v>
      </c>
      <c r="AG12" s="78" t="s">
        <v>0</v>
      </c>
      <c r="AH12" s="78" t="s">
        <v>0</v>
      </c>
      <c r="AI12" s="78" t="s">
        <v>0</v>
      </c>
      <c r="AJ12" s="78" t="s">
        <v>0</v>
      </c>
      <c r="AK12" s="78" t="s">
        <v>0</v>
      </c>
      <c r="AL12" s="78" t="s">
        <v>0</v>
      </c>
      <c r="AM12" s="78" t="s">
        <v>0</v>
      </c>
      <c r="AN12" s="78" t="s">
        <v>0</v>
      </c>
      <c r="AO12" s="78" t="s">
        <v>0</v>
      </c>
      <c r="AP12" s="78" t="s">
        <v>0</v>
      </c>
      <c r="AQ12" s="78" t="s">
        <v>0</v>
      </c>
      <c r="AR12" s="78" t="s">
        <v>0</v>
      </c>
      <c r="AS12" s="78" t="s">
        <v>0</v>
      </c>
      <c r="AT12" s="78" t="s">
        <v>0</v>
      </c>
      <c r="AU12" s="78" t="s">
        <v>0</v>
      </c>
      <c r="AV12" s="78" t="s">
        <v>0</v>
      </c>
      <c r="AW12" s="78" t="s">
        <v>0</v>
      </c>
      <c r="AX12" s="78" t="s">
        <v>0</v>
      </c>
      <c r="AY12" s="78" t="s">
        <v>0</v>
      </c>
      <c r="AZ12" s="78" t="s">
        <v>0</v>
      </c>
      <c r="BA12" s="78" t="s">
        <v>0</v>
      </c>
      <c r="BB12" s="78" t="s">
        <v>0</v>
      </c>
      <c r="BC12" s="78" t="s">
        <v>0</v>
      </c>
      <c r="BD12" s="78" t="s">
        <v>0</v>
      </c>
      <c r="BE12" s="78" t="s">
        <v>0</v>
      </c>
      <c r="BF12" s="78" t="s">
        <v>0</v>
      </c>
      <c r="BG12" s="78" t="s">
        <v>0</v>
      </c>
      <c r="BH12" s="78" t="s">
        <v>0</v>
      </c>
      <c r="BI12" s="78" t="s">
        <v>0</v>
      </c>
      <c r="BJ12" s="78" t="s">
        <v>0</v>
      </c>
    </row>
    <row r="13" spans="1:62" ht="12.75">
      <c r="A13" s="710">
        <v>37</v>
      </c>
      <c r="B13" s="44" t="s">
        <v>2078</v>
      </c>
      <c r="C13" s="325">
        <f>MOD(G$1,A13)</f>
        <v>28</v>
      </c>
      <c r="D13" s="82">
        <f>A13-C13</f>
        <v>9</v>
      </c>
      <c r="E13" s="76">
        <f>MOD(G$2,A13)</f>
        <v>17</v>
      </c>
      <c r="F13" s="78" t="s">
        <v>2091</v>
      </c>
      <c r="G13" s="78" t="s">
        <v>0</v>
      </c>
      <c r="H13" s="78" t="s">
        <v>0</v>
      </c>
      <c r="I13" s="78" t="s">
        <v>0</v>
      </c>
      <c r="J13" s="78" t="s">
        <v>0</v>
      </c>
      <c r="K13" s="78" t="s">
        <v>0</v>
      </c>
      <c r="L13" s="78" t="s">
        <v>0</v>
      </c>
      <c r="M13" s="78" t="s">
        <v>0</v>
      </c>
      <c r="N13" s="78" t="s">
        <v>0</v>
      </c>
      <c r="O13" s="78" t="s">
        <v>0</v>
      </c>
      <c r="P13" s="78" t="s">
        <v>0</v>
      </c>
      <c r="Q13" s="78" t="s">
        <v>0</v>
      </c>
      <c r="R13" s="78" t="s">
        <v>0</v>
      </c>
      <c r="S13" s="78" t="s">
        <v>0</v>
      </c>
      <c r="T13" s="78" t="s">
        <v>0</v>
      </c>
      <c r="U13" s="78" t="s">
        <v>0</v>
      </c>
      <c r="V13" s="78" t="s">
        <v>0</v>
      </c>
      <c r="W13" s="78" t="s">
        <v>0</v>
      </c>
      <c r="X13" s="78" t="s">
        <v>0</v>
      </c>
      <c r="Y13" s="78" t="s">
        <v>0</v>
      </c>
      <c r="Z13" s="78" t="s">
        <v>0</v>
      </c>
      <c r="AA13" s="78" t="s">
        <v>0</v>
      </c>
      <c r="AB13" s="78" t="s">
        <v>0</v>
      </c>
      <c r="AC13" s="78" t="s">
        <v>0</v>
      </c>
      <c r="AD13" s="78" t="s">
        <v>0</v>
      </c>
      <c r="AE13" s="78" t="s">
        <v>0</v>
      </c>
      <c r="AF13" s="78" t="s">
        <v>0</v>
      </c>
      <c r="AG13" s="78" t="s">
        <v>0</v>
      </c>
      <c r="AH13" s="78" t="s">
        <v>0</v>
      </c>
      <c r="AI13" s="78" t="s">
        <v>0</v>
      </c>
      <c r="AJ13" s="78" t="s">
        <v>0</v>
      </c>
      <c r="AK13" s="78" t="s">
        <v>0</v>
      </c>
      <c r="AL13" s="78" t="s">
        <v>0</v>
      </c>
      <c r="AM13" s="78" t="s">
        <v>0</v>
      </c>
      <c r="AN13" s="78" t="s">
        <v>0</v>
      </c>
      <c r="AO13" s="78" t="s">
        <v>0</v>
      </c>
      <c r="AP13" s="78" t="s">
        <v>0</v>
      </c>
      <c r="AQ13" s="78" t="s">
        <v>0</v>
      </c>
      <c r="AR13" s="78" t="s">
        <v>0</v>
      </c>
      <c r="AS13" s="78" t="s">
        <v>0</v>
      </c>
      <c r="AT13" s="78" t="s">
        <v>0</v>
      </c>
      <c r="AU13" s="78" t="s">
        <v>0</v>
      </c>
      <c r="AV13" s="78" t="s">
        <v>0</v>
      </c>
      <c r="AW13" s="78" t="s">
        <v>0</v>
      </c>
      <c r="AX13" s="78" t="s">
        <v>0</v>
      </c>
      <c r="AY13" s="78" t="s">
        <v>0</v>
      </c>
      <c r="AZ13" s="78" t="s">
        <v>0</v>
      </c>
      <c r="BA13" s="78" t="s">
        <v>0</v>
      </c>
      <c r="BB13" s="78" t="s">
        <v>0</v>
      </c>
      <c r="BC13" s="78" t="s">
        <v>0</v>
      </c>
      <c r="BD13" s="78" t="s">
        <v>0</v>
      </c>
      <c r="BE13" s="78" t="s">
        <v>0</v>
      </c>
      <c r="BF13" s="78" t="s">
        <v>0</v>
      </c>
      <c r="BG13" s="78" t="s">
        <v>0</v>
      </c>
      <c r="BH13" s="78" t="s">
        <v>0</v>
      </c>
      <c r="BI13" s="78" t="s">
        <v>0</v>
      </c>
      <c r="BJ13" s="78" t="s">
        <v>0</v>
      </c>
    </row>
    <row r="14" spans="1:62" ht="12.75">
      <c r="A14" s="710">
        <v>41</v>
      </c>
      <c r="B14" s="44" t="s">
        <v>2085</v>
      </c>
      <c r="C14" s="325">
        <f>MOD(G$1,A14)</f>
        <v>8</v>
      </c>
      <c r="D14" s="82">
        <f>A14-C14</f>
        <v>33</v>
      </c>
      <c r="E14" s="76">
        <f>MOD(G$2,A14)</f>
        <v>28</v>
      </c>
      <c r="F14" s="78" t="s">
        <v>2087</v>
      </c>
      <c r="G14" s="78" t="s">
        <v>0</v>
      </c>
      <c r="H14" s="78" t="s">
        <v>0</v>
      </c>
      <c r="I14" s="78" t="s">
        <v>0</v>
      </c>
      <c r="J14" s="78" t="s">
        <v>0</v>
      </c>
      <c r="K14" s="78" t="s">
        <v>0</v>
      </c>
      <c r="L14" s="78" t="s">
        <v>0</v>
      </c>
      <c r="M14" s="78" t="s">
        <v>0</v>
      </c>
      <c r="N14" s="78" t="s">
        <v>0</v>
      </c>
      <c r="O14" s="78" t="s">
        <v>0</v>
      </c>
      <c r="P14" s="78" t="s">
        <v>0</v>
      </c>
      <c r="Q14" s="78" t="s">
        <v>0</v>
      </c>
      <c r="R14" s="78" t="s">
        <v>0</v>
      </c>
      <c r="S14" s="78" t="s">
        <v>0</v>
      </c>
      <c r="T14" s="78" t="s">
        <v>0</v>
      </c>
      <c r="U14" s="78" t="s">
        <v>0</v>
      </c>
      <c r="V14" s="78" t="s">
        <v>0</v>
      </c>
      <c r="W14" s="78" t="s">
        <v>0</v>
      </c>
      <c r="X14" s="78" t="s">
        <v>0</v>
      </c>
      <c r="Y14" s="78" t="s">
        <v>0</v>
      </c>
      <c r="Z14" s="78" t="s">
        <v>0</v>
      </c>
      <c r="AA14" s="78" t="s">
        <v>0</v>
      </c>
      <c r="AB14" s="78" t="s">
        <v>0</v>
      </c>
      <c r="AC14" s="78" t="s">
        <v>0</v>
      </c>
      <c r="AD14" s="78" t="s">
        <v>0</v>
      </c>
      <c r="AE14" s="78" t="s">
        <v>0</v>
      </c>
      <c r="AF14" s="78" t="s">
        <v>0</v>
      </c>
      <c r="AG14" s="78" t="s">
        <v>0</v>
      </c>
      <c r="AH14" s="78" t="s">
        <v>0</v>
      </c>
      <c r="AI14" s="78" t="s">
        <v>0</v>
      </c>
      <c r="AJ14" s="78" t="s">
        <v>0</v>
      </c>
      <c r="AK14" s="78" t="s">
        <v>0</v>
      </c>
      <c r="AL14" s="78" t="s">
        <v>0</v>
      </c>
      <c r="AM14" s="78" t="s">
        <v>0</v>
      </c>
      <c r="AN14" s="78" t="s">
        <v>0</v>
      </c>
      <c r="AO14" s="78" t="s">
        <v>0</v>
      </c>
      <c r="AP14" s="78" t="s">
        <v>0</v>
      </c>
      <c r="AQ14" s="78" t="s">
        <v>0</v>
      </c>
      <c r="AR14" s="78" t="s">
        <v>0</v>
      </c>
      <c r="AS14" s="78" t="s">
        <v>0</v>
      </c>
      <c r="AT14" s="78" t="s">
        <v>0</v>
      </c>
      <c r="AU14" s="78" t="s">
        <v>0</v>
      </c>
      <c r="AV14" s="78" t="s">
        <v>0</v>
      </c>
      <c r="AW14" s="78" t="s">
        <v>0</v>
      </c>
      <c r="AX14" s="78" t="s">
        <v>0</v>
      </c>
      <c r="AY14" s="78" t="s">
        <v>0</v>
      </c>
      <c r="AZ14" s="78" t="s">
        <v>0</v>
      </c>
      <c r="BA14" s="78" t="s">
        <v>0</v>
      </c>
      <c r="BB14" s="78" t="s">
        <v>0</v>
      </c>
      <c r="BC14" s="78" t="s">
        <v>0</v>
      </c>
      <c r="BD14" s="78" t="s">
        <v>0</v>
      </c>
      <c r="BE14" s="78" t="s">
        <v>0</v>
      </c>
      <c r="BF14" s="78" t="s">
        <v>0</v>
      </c>
      <c r="BG14" s="78" t="s">
        <v>0</v>
      </c>
      <c r="BH14" s="78" t="s">
        <v>0</v>
      </c>
      <c r="BI14" s="78" t="s">
        <v>0</v>
      </c>
      <c r="BJ14" s="78" t="s">
        <v>0</v>
      </c>
    </row>
    <row r="15" spans="1:62" ht="12.75">
      <c r="A15" s="710">
        <v>43</v>
      </c>
      <c r="B15" s="44" t="s">
        <v>2086</v>
      </c>
      <c r="C15" s="325">
        <f>MOD(G$1,A15)</f>
        <v>25</v>
      </c>
      <c r="D15" s="82">
        <f>A15-C15</f>
        <v>18</v>
      </c>
      <c r="E15" s="76">
        <f>MOD(G$2,A15)</f>
        <v>5</v>
      </c>
      <c r="F15" s="78" t="s">
        <v>2090</v>
      </c>
      <c r="G15" s="78" t="s">
        <v>0</v>
      </c>
      <c r="H15" s="78" t="s">
        <v>0</v>
      </c>
      <c r="I15" s="78" t="s">
        <v>0</v>
      </c>
      <c r="J15" s="78" t="s">
        <v>0</v>
      </c>
      <c r="K15" s="78" t="s">
        <v>0</v>
      </c>
      <c r="L15" s="78" t="s">
        <v>0</v>
      </c>
      <c r="M15" s="78" t="s">
        <v>0</v>
      </c>
      <c r="N15" s="78" t="s">
        <v>0</v>
      </c>
      <c r="O15" s="78" t="s">
        <v>0</v>
      </c>
      <c r="P15" s="78" t="s">
        <v>0</v>
      </c>
      <c r="Q15" s="78" t="s">
        <v>0</v>
      </c>
      <c r="R15" s="78" t="s">
        <v>0</v>
      </c>
      <c r="S15" s="78" t="s">
        <v>0</v>
      </c>
      <c r="T15" s="78" t="s">
        <v>0</v>
      </c>
      <c r="U15" s="78" t="s">
        <v>0</v>
      </c>
      <c r="V15" s="78" t="s">
        <v>0</v>
      </c>
      <c r="W15" s="78" t="s">
        <v>0</v>
      </c>
      <c r="X15" s="78" t="s">
        <v>0</v>
      </c>
      <c r="Y15" s="78" t="s">
        <v>0</v>
      </c>
      <c r="Z15" s="78" t="s">
        <v>0</v>
      </c>
      <c r="AA15" s="78" t="s">
        <v>0</v>
      </c>
      <c r="AB15" s="78" t="s">
        <v>0</v>
      </c>
      <c r="AC15" s="78" t="s">
        <v>0</v>
      </c>
      <c r="AD15" s="78" t="s">
        <v>0</v>
      </c>
      <c r="AE15" s="78" t="s">
        <v>0</v>
      </c>
      <c r="AF15" s="78" t="s">
        <v>0</v>
      </c>
      <c r="AG15" s="78" t="s">
        <v>0</v>
      </c>
      <c r="AH15" s="78" t="s">
        <v>0</v>
      </c>
      <c r="AI15" s="78" t="s">
        <v>0</v>
      </c>
      <c r="AJ15" s="78" t="s">
        <v>0</v>
      </c>
      <c r="AK15" s="78" t="s">
        <v>0</v>
      </c>
      <c r="AL15" s="78" t="s">
        <v>0</v>
      </c>
      <c r="AM15" s="78" t="s">
        <v>0</v>
      </c>
      <c r="AN15" s="78" t="s">
        <v>0</v>
      </c>
      <c r="AO15" s="78" t="s">
        <v>0</v>
      </c>
      <c r="AP15" s="78" t="s">
        <v>0</v>
      </c>
      <c r="AQ15" s="78" t="s">
        <v>0</v>
      </c>
      <c r="AR15" s="78" t="s">
        <v>0</v>
      </c>
      <c r="AS15" s="78" t="s">
        <v>0</v>
      </c>
      <c r="AT15" s="78" t="s">
        <v>0</v>
      </c>
      <c r="AU15" s="78" t="s">
        <v>0</v>
      </c>
      <c r="AV15" s="78" t="s">
        <v>0</v>
      </c>
      <c r="AW15" s="78" t="s">
        <v>0</v>
      </c>
      <c r="AX15" s="78" t="s">
        <v>0</v>
      </c>
      <c r="AY15" s="78" t="s">
        <v>0</v>
      </c>
      <c r="AZ15" s="78" t="s">
        <v>0</v>
      </c>
      <c r="BA15" s="78" t="s">
        <v>0</v>
      </c>
      <c r="BB15" s="78" t="s">
        <v>0</v>
      </c>
      <c r="BC15" s="78" t="s">
        <v>0</v>
      </c>
      <c r="BD15" s="78" t="s">
        <v>0</v>
      </c>
      <c r="BE15" s="78" t="s">
        <v>0</v>
      </c>
      <c r="BF15" s="78" t="s">
        <v>0</v>
      </c>
      <c r="BG15" s="78" t="s">
        <v>0</v>
      </c>
      <c r="BH15" s="78" t="s">
        <v>0</v>
      </c>
      <c r="BI15" s="78" t="s">
        <v>0</v>
      </c>
      <c r="BJ15" s="78" t="s">
        <v>0</v>
      </c>
    </row>
    <row r="16" spans="1:62" ht="12.75">
      <c r="A16" s="710">
        <v>47</v>
      </c>
      <c r="B16" s="44" t="s">
        <v>2088</v>
      </c>
      <c r="C16" s="325">
        <f>MOD(G$1,A16)</f>
        <v>44</v>
      </c>
      <c r="D16" s="82">
        <f>A16-C16</f>
        <v>3</v>
      </c>
      <c r="E16" s="76">
        <f>MOD(G$2,A16)</f>
        <v>38</v>
      </c>
      <c r="F16" s="78" t="s">
        <v>2104</v>
      </c>
      <c r="G16" s="78" t="s">
        <v>0</v>
      </c>
      <c r="H16" s="78" t="s">
        <v>0</v>
      </c>
      <c r="I16" s="78" t="s">
        <v>0</v>
      </c>
      <c r="J16" s="78" t="s">
        <v>0</v>
      </c>
      <c r="K16" s="78" t="s">
        <v>0</v>
      </c>
      <c r="L16" s="78" t="s">
        <v>0</v>
      </c>
      <c r="M16" s="78" t="s">
        <v>0</v>
      </c>
      <c r="N16" s="78" t="s">
        <v>0</v>
      </c>
      <c r="O16" s="78" t="s">
        <v>0</v>
      </c>
      <c r="P16" s="78" t="s">
        <v>0</v>
      </c>
      <c r="Q16" s="78" t="s">
        <v>0</v>
      </c>
      <c r="R16" s="78" t="s">
        <v>0</v>
      </c>
      <c r="S16" s="78" t="s">
        <v>0</v>
      </c>
      <c r="T16" s="78" t="s">
        <v>0</v>
      </c>
      <c r="U16" s="78" t="s">
        <v>0</v>
      </c>
      <c r="V16" s="78" t="s">
        <v>0</v>
      </c>
      <c r="W16" s="78" t="s">
        <v>0</v>
      </c>
      <c r="X16" s="78" t="s">
        <v>0</v>
      </c>
      <c r="Y16" s="78" t="s">
        <v>0</v>
      </c>
      <c r="Z16" s="78" t="s">
        <v>0</v>
      </c>
      <c r="AA16" s="78" t="s">
        <v>0</v>
      </c>
      <c r="AB16" s="78" t="s">
        <v>0</v>
      </c>
      <c r="AC16" s="78" t="s">
        <v>0</v>
      </c>
      <c r="AD16" s="78" t="s">
        <v>0</v>
      </c>
      <c r="AE16" s="78" t="s">
        <v>0</v>
      </c>
      <c r="AF16" s="78" t="s">
        <v>0</v>
      </c>
      <c r="AG16" s="78" t="s">
        <v>0</v>
      </c>
      <c r="AH16" s="78" t="s">
        <v>0</v>
      </c>
      <c r="AI16" s="78" t="s">
        <v>0</v>
      </c>
      <c r="AJ16" s="78" t="s">
        <v>0</v>
      </c>
      <c r="AK16" s="78" t="s">
        <v>0</v>
      </c>
      <c r="AL16" s="78" t="s">
        <v>0</v>
      </c>
      <c r="AM16" s="78" t="s">
        <v>0</v>
      </c>
      <c r="AN16" s="78" t="s">
        <v>0</v>
      </c>
      <c r="AO16" s="78" t="s">
        <v>0</v>
      </c>
      <c r="AP16" s="78" t="s">
        <v>0</v>
      </c>
      <c r="AQ16" s="78" t="s">
        <v>0</v>
      </c>
      <c r="AR16" s="78" t="s">
        <v>0</v>
      </c>
      <c r="AS16" s="78" t="s">
        <v>0</v>
      </c>
      <c r="AT16" s="78" t="s">
        <v>0</v>
      </c>
      <c r="AU16" s="78" t="s">
        <v>0</v>
      </c>
      <c r="AV16" s="78" t="s">
        <v>0</v>
      </c>
      <c r="AW16" s="78" t="s">
        <v>0</v>
      </c>
      <c r="AX16" s="78" t="s">
        <v>0</v>
      </c>
      <c r="AY16" s="78" t="s">
        <v>0</v>
      </c>
      <c r="AZ16" s="78" t="s">
        <v>0</v>
      </c>
      <c r="BA16" s="78" t="s">
        <v>0</v>
      </c>
      <c r="BB16" s="78" t="s">
        <v>0</v>
      </c>
      <c r="BC16" s="78" t="s">
        <v>0</v>
      </c>
      <c r="BD16" s="78" t="s">
        <v>0</v>
      </c>
      <c r="BE16" s="78" t="s">
        <v>0</v>
      </c>
      <c r="BF16" s="78" t="s">
        <v>0</v>
      </c>
      <c r="BG16" s="78" t="s">
        <v>0</v>
      </c>
      <c r="BH16" s="78" t="s">
        <v>0</v>
      </c>
      <c r="BI16" s="78" t="s">
        <v>0</v>
      </c>
      <c r="BJ16" s="78" t="s">
        <v>0</v>
      </c>
    </row>
    <row r="17" spans="1:62" ht="12.75">
      <c r="A17" s="710">
        <v>53</v>
      </c>
      <c r="B17" s="44" t="s">
        <v>2092</v>
      </c>
      <c r="C17" s="325">
        <f>MOD(G$1,A17)</f>
        <v>49</v>
      </c>
      <c r="D17" s="82">
        <f>A17-C17</f>
        <v>4</v>
      </c>
      <c r="E17" s="76">
        <f>MOD(G$2,A17)</f>
        <v>41</v>
      </c>
      <c r="F17" s="78" t="s">
        <v>2110</v>
      </c>
      <c r="G17" s="78" t="s">
        <v>0</v>
      </c>
      <c r="H17" s="78" t="s">
        <v>0</v>
      </c>
      <c r="I17" s="78" t="s">
        <v>0</v>
      </c>
      <c r="J17" s="78" t="s">
        <v>0</v>
      </c>
      <c r="K17" s="78" t="s">
        <v>0</v>
      </c>
      <c r="L17" s="78" t="s">
        <v>0</v>
      </c>
      <c r="M17" s="78" t="s">
        <v>0</v>
      </c>
      <c r="N17" s="78" t="s">
        <v>0</v>
      </c>
      <c r="O17" s="78" t="s">
        <v>0</v>
      </c>
      <c r="P17" s="78" t="s">
        <v>0</v>
      </c>
      <c r="Q17" s="78" t="s">
        <v>0</v>
      </c>
      <c r="R17" s="78" t="s">
        <v>0</v>
      </c>
      <c r="S17" s="78" t="s">
        <v>0</v>
      </c>
      <c r="T17" s="78" t="s">
        <v>0</v>
      </c>
      <c r="U17" s="78" t="s">
        <v>0</v>
      </c>
      <c r="V17" s="78" t="s">
        <v>0</v>
      </c>
      <c r="W17" s="78" t="s">
        <v>0</v>
      </c>
      <c r="X17" s="78" t="s">
        <v>0</v>
      </c>
      <c r="Y17" s="78" t="s">
        <v>0</v>
      </c>
      <c r="Z17" s="78" t="s">
        <v>0</v>
      </c>
      <c r="AA17" s="78" t="s">
        <v>0</v>
      </c>
      <c r="AB17" s="78" t="s">
        <v>0</v>
      </c>
      <c r="AC17" s="78" t="s">
        <v>0</v>
      </c>
      <c r="AD17" s="78" t="s">
        <v>0</v>
      </c>
      <c r="AE17" s="78" t="s">
        <v>0</v>
      </c>
      <c r="AF17" s="78" t="s">
        <v>0</v>
      </c>
      <c r="AG17" s="78" t="s">
        <v>0</v>
      </c>
      <c r="AH17" s="78" t="s">
        <v>0</v>
      </c>
      <c r="AI17" s="78" t="s">
        <v>0</v>
      </c>
      <c r="AJ17" s="78" t="s">
        <v>0</v>
      </c>
      <c r="AK17" s="78" t="s">
        <v>0</v>
      </c>
      <c r="AL17" s="78" t="s">
        <v>0</v>
      </c>
      <c r="AM17" s="78" t="s">
        <v>0</v>
      </c>
      <c r="AN17" s="78" t="s">
        <v>0</v>
      </c>
      <c r="AO17" s="78" t="s">
        <v>0</v>
      </c>
      <c r="AP17" s="78" t="s">
        <v>0</v>
      </c>
      <c r="AQ17" s="78" t="s">
        <v>0</v>
      </c>
      <c r="AR17" s="78" t="s">
        <v>0</v>
      </c>
      <c r="AS17" s="78" t="s">
        <v>0</v>
      </c>
      <c r="AT17" s="78" t="s">
        <v>0</v>
      </c>
      <c r="AU17" s="78" t="s">
        <v>0</v>
      </c>
      <c r="AV17" s="78" t="s">
        <v>0</v>
      </c>
      <c r="AW17" s="78" t="s">
        <v>0</v>
      </c>
      <c r="AX17" s="78" t="s">
        <v>0</v>
      </c>
      <c r="AY17" s="78" t="s">
        <v>0</v>
      </c>
      <c r="AZ17" s="78" t="s">
        <v>0</v>
      </c>
      <c r="BA17" s="78" t="s">
        <v>0</v>
      </c>
      <c r="BB17" s="78" t="s">
        <v>0</v>
      </c>
      <c r="BC17" s="78" t="s">
        <v>0</v>
      </c>
      <c r="BD17" s="78" t="s">
        <v>0</v>
      </c>
      <c r="BE17" s="78" t="s">
        <v>0</v>
      </c>
      <c r="BF17" s="78" t="s">
        <v>0</v>
      </c>
      <c r="BG17" s="78" t="s">
        <v>0</v>
      </c>
      <c r="BH17" s="78" t="s">
        <v>0</v>
      </c>
      <c r="BI17" s="78" t="s">
        <v>0</v>
      </c>
      <c r="BJ17" s="78" t="s">
        <v>0</v>
      </c>
    </row>
    <row r="18" spans="1:62" ht="12.75">
      <c r="A18" s="710">
        <v>59</v>
      </c>
      <c r="B18" s="44" t="s">
        <v>2095</v>
      </c>
      <c r="C18" s="325">
        <f>MOD(G$1,A18)</f>
        <v>29</v>
      </c>
      <c r="D18" s="82">
        <f>A18-C18</f>
        <v>30</v>
      </c>
      <c r="E18" s="76">
        <f>MOD(G$2,A18)</f>
        <v>43</v>
      </c>
      <c r="F18" s="78" t="s">
        <v>2124</v>
      </c>
      <c r="G18" s="78" t="s">
        <v>0</v>
      </c>
      <c r="H18" s="78" t="s">
        <v>0</v>
      </c>
      <c r="I18" s="78" t="s">
        <v>0</v>
      </c>
      <c r="J18" s="78" t="s">
        <v>0</v>
      </c>
      <c r="K18" s="78" t="s">
        <v>0</v>
      </c>
      <c r="L18" s="78" t="s">
        <v>0</v>
      </c>
      <c r="M18" s="78" t="s">
        <v>0</v>
      </c>
      <c r="N18" s="78" t="s">
        <v>0</v>
      </c>
      <c r="O18" s="78" t="s">
        <v>0</v>
      </c>
      <c r="P18" s="78" t="s">
        <v>0</v>
      </c>
      <c r="Q18" s="78" t="s">
        <v>0</v>
      </c>
      <c r="R18" s="78" t="s">
        <v>0</v>
      </c>
      <c r="S18" s="78" t="s">
        <v>0</v>
      </c>
      <c r="T18" s="78" t="s">
        <v>0</v>
      </c>
      <c r="U18" s="78" t="s">
        <v>0</v>
      </c>
      <c r="V18" s="78" t="s">
        <v>0</v>
      </c>
      <c r="W18" s="78" t="s">
        <v>0</v>
      </c>
      <c r="X18" s="78" t="s">
        <v>0</v>
      </c>
      <c r="Y18" s="78" t="s">
        <v>0</v>
      </c>
      <c r="Z18" s="78" t="s">
        <v>0</v>
      </c>
      <c r="AA18" s="78" t="s">
        <v>0</v>
      </c>
      <c r="AB18" s="78" t="s">
        <v>0</v>
      </c>
      <c r="AC18" s="78" t="s">
        <v>0</v>
      </c>
      <c r="AD18" s="78" t="s">
        <v>0</v>
      </c>
      <c r="AE18" s="78" t="s">
        <v>0</v>
      </c>
      <c r="AF18" s="78" t="s">
        <v>0</v>
      </c>
      <c r="AG18" s="78" t="s">
        <v>0</v>
      </c>
      <c r="AH18" s="78" t="s">
        <v>0</v>
      </c>
      <c r="AI18" s="78" t="s">
        <v>0</v>
      </c>
      <c r="AJ18" s="78" t="s">
        <v>0</v>
      </c>
      <c r="AK18" s="78" t="s">
        <v>0</v>
      </c>
      <c r="AL18" s="78" t="s">
        <v>0</v>
      </c>
      <c r="AM18" s="78" t="s">
        <v>0</v>
      </c>
      <c r="AN18" s="78" t="s">
        <v>0</v>
      </c>
      <c r="AO18" s="78" t="s">
        <v>0</v>
      </c>
      <c r="AP18" s="78" t="s">
        <v>0</v>
      </c>
      <c r="AQ18" s="78" t="s">
        <v>0</v>
      </c>
      <c r="AR18" s="78" t="s">
        <v>0</v>
      </c>
      <c r="AS18" s="78" t="s">
        <v>0</v>
      </c>
      <c r="AT18" s="78" t="s">
        <v>0</v>
      </c>
      <c r="AU18" s="78" t="s">
        <v>0</v>
      </c>
      <c r="AV18" s="78" t="s">
        <v>0</v>
      </c>
      <c r="AW18" s="78" t="s">
        <v>0</v>
      </c>
      <c r="AX18" s="78" t="s">
        <v>0</v>
      </c>
      <c r="AY18" s="78" t="s">
        <v>0</v>
      </c>
      <c r="AZ18" s="78" t="s">
        <v>0</v>
      </c>
      <c r="BA18" s="78" t="s">
        <v>0</v>
      </c>
      <c r="BB18" s="78" t="s">
        <v>0</v>
      </c>
      <c r="BC18" s="78" t="s">
        <v>0</v>
      </c>
      <c r="BD18" s="78" t="s">
        <v>0</v>
      </c>
      <c r="BE18" s="78" t="s">
        <v>0</v>
      </c>
      <c r="BF18" s="78" t="s">
        <v>0</v>
      </c>
      <c r="BG18" s="78" t="s">
        <v>0</v>
      </c>
      <c r="BH18" s="78" t="s">
        <v>0</v>
      </c>
      <c r="BI18" s="78" t="s">
        <v>0</v>
      </c>
      <c r="BJ18" s="78" t="s">
        <v>0</v>
      </c>
    </row>
    <row r="19" spans="1:62" ht="12.75">
      <c r="A19" s="710">
        <v>61</v>
      </c>
      <c r="B19" s="44" t="s">
        <v>2097</v>
      </c>
      <c r="C19" s="325">
        <f>MOD(G$1,A19)</f>
        <v>13</v>
      </c>
      <c r="D19" s="82">
        <f>A19-C19</f>
        <v>48</v>
      </c>
      <c r="E19" s="76">
        <f>MOD(G$2,A19)</f>
        <v>60</v>
      </c>
      <c r="F19" s="78" t="s">
        <v>2093</v>
      </c>
      <c r="G19" s="78" t="s">
        <v>0</v>
      </c>
      <c r="H19" s="78" t="s">
        <v>0</v>
      </c>
      <c r="I19" s="78" t="s">
        <v>0</v>
      </c>
      <c r="J19" s="78" t="s">
        <v>0</v>
      </c>
      <c r="K19" s="78" t="s">
        <v>0</v>
      </c>
      <c r="L19" s="78" t="s">
        <v>0</v>
      </c>
      <c r="M19" s="78" t="s">
        <v>0</v>
      </c>
      <c r="N19" s="78" t="s">
        <v>0</v>
      </c>
      <c r="O19" s="78" t="s">
        <v>0</v>
      </c>
      <c r="P19" s="78" t="s">
        <v>0</v>
      </c>
      <c r="Q19" s="78" t="s">
        <v>0</v>
      </c>
      <c r="R19" s="78" t="s">
        <v>0</v>
      </c>
      <c r="S19" s="78" t="s">
        <v>0</v>
      </c>
      <c r="T19" s="78" t="s">
        <v>0</v>
      </c>
      <c r="U19" s="78" t="s">
        <v>0</v>
      </c>
      <c r="V19" s="78" t="s">
        <v>0</v>
      </c>
      <c r="W19" s="78" t="s">
        <v>0</v>
      </c>
      <c r="X19" s="78" t="s">
        <v>0</v>
      </c>
      <c r="Y19" s="78" t="s">
        <v>0</v>
      </c>
      <c r="Z19" s="78" t="s">
        <v>0</v>
      </c>
      <c r="AA19" s="78" t="s">
        <v>0</v>
      </c>
      <c r="AB19" s="78" t="s">
        <v>0</v>
      </c>
      <c r="AC19" s="78" t="s">
        <v>0</v>
      </c>
      <c r="AD19" s="78" t="s">
        <v>0</v>
      </c>
      <c r="AE19" s="78" t="s">
        <v>0</v>
      </c>
      <c r="AF19" s="78" t="s">
        <v>0</v>
      </c>
      <c r="AG19" s="78" t="s">
        <v>0</v>
      </c>
      <c r="AH19" s="78" t="s">
        <v>0</v>
      </c>
      <c r="AI19" s="78" t="s">
        <v>0</v>
      </c>
      <c r="AJ19" s="78" t="s">
        <v>0</v>
      </c>
      <c r="AK19" s="78" t="s">
        <v>0</v>
      </c>
      <c r="AL19" s="78" t="s">
        <v>0</v>
      </c>
      <c r="AM19" s="78" t="s">
        <v>0</v>
      </c>
      <c r="AN19" s="78" t="s">
        <v>0</v>
      </c>
      <c r="AO19" s="78" t="s">
        <v>0</v>
      </c>
      <c r="AP19" s="78" t="s">
        <v>0</v>
      </c>
      <c r="AQ19" s="78" t="s">
        <v>0</v>
      </c>
      <c r="AR19" s="78" t="s">
        <v>0</v>
      </c>
      <c r="AS19" s="78" t="s">
        <v>0</v>
      </c>
      <c r="AT19" s="78" t="s">
        <v>0</v>
      </c>
      <c r="AU19" s="78" t="s">
        <v>0</v>
      </c>
      <c r="AV19" s="78" t="s">
        <v>0</v>
      </c>
      <c r="AW19" s="78" t="s">
        <v>0</v>
      </c>
      <c r="AX19" s="78" t="s">
        <v>0</v>
      </c>
      <c r="AY19" s="78" t="s">
        <v>0</v>
      </c>
      <c r="AZ19" s="78" t="s">
        <v>0</v>
      </c>
      <c r="BA19" s="78" t="s">
        <v>0</v>
      </c>
      <c r="BB19" s="78" t="s">
        <v>0</v>
      </c>
      <c r="BC19" s="78" t="s">
        <v>0</v>
      </c>
      <c r="BD19" s="78" t="s">
        <v>0</v>
      </c>
      <c r="BE19" s="78" t="s">
        <v>0</v>
      </c>
      <c r="BF19" s="78" t="s">
        <v>0</v>
      </c>
      <c r="BG19" s="78" t="s">
        <v>0</v>
      </c>
      <c r="BH19" s="78" t="s">
        <v>0</v>
      </c>
      <c r="BI19" s="78" t="s">
        <v>0</v>
      </c>
      <c r="BJ19" s="78" t="s">
        <v>0</v>
      </c>
    </row>
    <row r="20" spans="1:62" ht="12.75">
      <c r="A20" s="710">
        <v>67</v>
      </c>
      <c r="B20" s="44" t="s">
        <v>2098</v>
      </c>
      <c r="C20" s="325">
        <f>MOD(G$1,A20)</f>
        <v>19</v>
      </c>
      <c r="D20" s="82">
        <f>A20-C20</f>
        <v>48</v>
      </c>
      <c r="E20" s="76">
        <f>MOD(G$2,A20)</f>
        <v>55</v>
      </c>
      <c r="F20" s="78" t="s">
        <v>2063</v>
      </c>
      <c r="G20" s="78" t="s">
        <v>0</v>
      </c>
      <c r="H20" s="78" t="s">
        <v>0</v>
      </c>
      <c r="I20" s="78" t="s">
        <v>0</v>
      </c>
      <c r="J20" s="78" t="s">
        <v>0</v>
      </c>
      <c r="K20" s="78" t="s">
        <v>0</v>
      </c>
      <c r="L20" s="78" t="s">
        <v>0</v>
      </c>
      <c r="M20" s="78" t="s">
        <v>0</v>
      </c>
      <c r="N20" s="78" t="s">
        <v>0</v>
      </c>
      <c r="O20" s="78" t="s">
        <v>0</v>
      </c>
      <c r="P20" s="78" t="s">
        <v>0</v>
      </c>
      <c r="Q20" s="78" t="s">
        <v>0</v>
      </c>
      <c r="R20" s="78" t="s">
        <v>0</v>
      </c>
      <c r="S20" s="78" t="s">
        <v>0</v>
      </c>
      <c r="T20" s="78" t="s">
        <v>0</v>
      </c>
      <c r="U20" s="78" t="s">
        <v>0</v>
      </c>
      <c r="V20" s="78" t="s">
        <v>0</v>
      </c>
      <c r="W20" s="78" t="s">
        <v>0</v>
      </c>
      <c r="X20" s="78" t="s">
        <v>0</v>
      </c>
      <c r="Y20" s="78" t="s">
        <v>0</v>
      </c>
      <c r="Z20" s="78" t="s">
        <v>0</v>
      </c>
      <c r="AA20" s="78" t="s">
        <v>0</v>
      </c>
      <c r="AB20" s="78" t="s">
        <v>0</v>
      </c>
      <c r="AC20" s="78" t="s">
        <v>0</v>
      </c>
      <c r="AD20" s="78" t="s">
        <v>0</v>
      </c>
      <c r="AE20" s="78" t="s">
        <v>0</v>
      </c>
      <c r="AF20" s="78" t="s">
        <v>0</v>
      </c>
      <c r="AG20" s="78" t="s">
        <v>0</v>
      </c>
      <c r="AH20" s="78" t="s">
        <v>0</v>
      </c>
      <c r="AI20" s="78" t="s">
        <v>0</v>
      </c>
      <c r="AJ20" s="78" t="s">
        <v>0</v>
      </c>
      <c r="AK20" s="78" t="s">
        <v>0</v>
      </c>
      <c r="AL20" s="78" t="s">
        <v>0</v>
      </c>
      <c r="AM20" s="78" t="s">
        <v>0</v>
      </c>
      <c r="AN20" s="78" t="s">
        <v>0</v>
      </c>
      <c r="AO20" s="78" t="s">
        <v>0</v>
      </c>
      <c r="AP20" s="78" t="s">
        <v>0</v>
      </c>
      <c r="AQ20" s="78" t="s">
        <v>0</v>
      </c>
      <c r="AR20" s="78" t="s">
        <v>0</v>
      </c>
      <c r="AS20" s="78" t="s">
        <v>0</v>
      </c>
      <c r="AT20" s="78" t="s">
        <v>0</v>
      </c>
      <c r="AU20" s="78" t="s">
        <v>0</v>
      </c>
      <c r="AV20" s="78" t="s">
        <v>0</v>
      </c>
      <c r="AW20" s="78" t="s">
        <v>0</v>
      </c>
      <c r="AX20" s="78" t="s">
        <v>0</v>
      </c>
      <c r="AY20" s="78" t="s">
        <v>0</v>
      </c>
      <c r="AZ20" s="78" t="s">
        <v>0</v>
      </c>
      <c r="BA20" s="78" t="s">
        <v>0</v>
      </c>
      <c r="BB20" s="78" t="s">
        <v>0</v>
      </c>
      <c r="BC20" s="78" t="s">
        <v>0</v>
      </c>
      <c r="BD20" s="78" t="s">
        <v>0</v>
      </c>
      <c r="BE20" s="78" t="s">
        <v>0</v>
      </c>
      <c r="BF20" s="78" t="s">
        <v>0</v>
      </c>
      <c r="BG20" s="78" t="s">
        <v>0</v>
      </c>
      <c r="BH20" s="78" t="s">
        <v>0</v>
      </c>
      <c r="BI20" s="78" t="s">
        <v>0</v>
      </c>
      <c r="BJ20" s="78" t="s">
        <v>0</v>
      </c>
    </row>
    <row r="21" spans="1:62" ht="12.75">
      <c r="A21" s="710">
        <v>71</v>
      </c>
      <c r="B21" s="44" t="s">
        <v>2102</v>
      </c>
      <c r="C21" s="325">
        <f>MOD(G$1,A21)</f>
        <v>29</v>
      </c>
      <c r="D21" s="82">
        <f>A21-C21</f>
        <v>42</v>
      </c>
      <c r="E21" s="76">
        <f>MOD(G$2,A21)</f>
        <v>17</v>
      </c>
      <c r="F21" s="78" t="s">
        <v>2166</v>
      </c>
      <c r="G21" s="78" t="s">
        <v>0</v>
      </c>
      <c r="H21" s="78" t="s">
        <v>0</v>
      </c>
      <c r="I21" s="78" t="s">
        <v>0</v>
      </c>
      <c r="J21" s="78" t="s">
        <v>0</v>
      </c>
      <c r="K21" s="78" t="s">
        <v>0</v>
      </c>
      <c r="L21" s="78" t="s">
        <v>0</v>
      </c>
      <c r="M21" s="78" t="s">
        <v>0</v>
      </c>
      <c r="N21" s="78" t="s">
        <v>0</v>
      </c>
      <c r="O21" s="78" t="s">
        <v>0</v>
      </c>
      <c r="P21" s="78" t="s">
        <v>0</v>
      </c>
      <c r="Q21" s="78" t="s">
        <v>0</v>
      </c>
      <c r="R21" s="78" t="s">
        <v>0</v>
      </c>
      <c r="S21" s="78" t="s">
        <v>0</v>
      </c>
      <c r="T21" s="78" t="s">
        <v>0</v>
      </c>
      <c r="U21" s="78" t="s">
        <v>0</v>
      </c>
      <c r="V21" s="78" t="s">
        <v>0</v>
      </c>
      <c r="W21" s="78" t="s">
        <v>0</v>
      </c>
      <c r="X21" s="78" t="s">
        <v>0</v>
      </c>
      <c r="Y21" s="78" t="s">
        <v>0</v>
      </c>
      <c r="Z21" s="78" t="s">
        <v>0</v>
      </c>
      <c r="AA21" s="78" t="s">
        <v>0</v>
      </c>
      <c r="AB21" s="78" t="s">
        <v>0</v>
      </c>
      <c r="AC21" s="78" t="s">
        <v>0</v>
      </c>
      <c r="AD21" s="78" t="s">
        <v>0</v>
      </c>
      <c r="AE21" s="78" t="s">
        <v>0</v>
      </c>
      <c r="AF21" s="78" t="s">
        <v>0</v>
      </c>
      <c r="AG21" s="78" t="s">
        <v>0</v>
      </c>
      <c r="AH21" s="78" t="s">
        <v>0</v>
      </c>
      <c r="AI21" s="78" t="s">
        <v>0</v>
      </c>
      <c r="AJ21" s="78" t="s">
        <v>0</v>
      </c>
      <c r="AK21" s="78" t="s">
        <v>0</v>
      </c>
      <c r="AL21" s="78" t="s">
        <v>0</v>
      </c>
      <c r="AM21" s="78" t="s">
        <v>0</v>
      </c>
      <c r="AN21" s="78" t="s">
        <v>0</v>
      </c>
      <c r="AO21" s="78" t="s">
        <v>0</v>
      </c>
      <c r="AP21" s="78" t="s">
        <v>0</v>
      </c>
      <c r="AQ21" s="78" t="s">
        <v>0</v>
      </c>
      <c r="AR21" s="78" t="s">
        <v>0</v>
      </c>
      <c r="AS21" s="78" t="s">
        <v>0</v>
      </c>
      <c r="AT21" s="78" t="s">
        <v>0</v>
      </c>
      <c r="AU21" s="78" t="s">
        <v>0</v>
      </c>
      <c r="AV21" s="78" t="s">
        <v>0</v>
      </c>
      <c r="AW21" s="78" t="s">
        <v>0</v>
      </c>
      <c r="AX21" s="78" t="s">
        <v>0</v>
      </c>
      <c r="AY21" s="78" t="s">
        <v>0</v>
      </c>
      <c r="AZ21" s="78" t="s">
        <v>0</v>
      </c>
      <c r="BA21" s="78" t="s">
        <v>0</v>
      </c>
      <c r="BB21" s="78" t="s">
        <v>0</v>
      </c>
      <c r="BC21" s="78" t="s">
        <v>0</v>
      </c>
      <c r="BD21" s="78" t="s">
        <v>0</v>
      </c>
      <c r="BE21" s="78" t="s">
        <v>0</v>
      </c>
      <c r="BF21" s="78" t="s">
        <v>0</v>
      </c>
      <c r="BG21" s="78" t="s">
        <v>0</v>
      </c>
      <c r="BH21" s="78" t="s">
        <v>0</v>
      </c>
      <c r="BI21" s="78" t="s">
        <v>0</v>
      </c>
      <c r="BJ21" s="78" t="s">
        <v>0</v>
      </c>
    </row>
    <row r="22" spans="1:62" ht="12.75">
      <c r="A22" s="710">
        <v>73</v>
      </c>
      <c r="B22" s="44" t="s">
        <v>2103</v>
      </c>
      <c r="C22" s="325">
        <f>MOD(G$1,A22)</f>
        <v>62</v>
      </c>
      <c r="D22" s="82">
        <f>A22-C22</f>
        <v>11</v>
      </c>
      <c r="E22" s="76">
        <f>MOD(G$2,A22)</f>
        <v>26</v>
      </c>
      <c r="F22" s="78" t="s">
        <v>2079</v>
      </c>
      <c r="G22" s="78" t="s">
        <v>0</v>
      </c>
      <c r="H22" s="78" t="s">
        <v>0</v>
      </c>
      <c r="I22" s="78" t="s">
        <v>0</v>
      </c>
      <c r="J22" s="78" t="s">
        <v>0</v>
      </c>
      <c r="K22" s="78" t="s">
        <v>0</v>
      </c>
      <c r="L22" s="78" t="s">
        <v>0</v>
      </c>
      <c r="M22" s="78" t="s">
        <v>0</v>
      </c>
      <c r="N22" s="78" t="s">
        <v>0</v>
      </c>
      <c r="O22" s="78" t="s">
        <v>0</v>
      </c>
      <c r="P22" s="78" t="s">
        <v>0</v>
      </c>
      <c r="Q22" s="78" t="s">
        <v>0</v>
      </c>
      <c r="R22" s="78" t="s">
        <v>0</v>
      </c>
      <c r="S22" s="78" t="s">
        <v>0</v>
      </c>
      <c r="T22" s="78" t="s">
        <v>0</v>
      </c>
      <c r="U22" s="78" t="s">
        <v>0</v>
      </c>
      <c r="V22" s="78" t="s">
        <v>0</v>
      </c>
      <c r="W22" s="78" t="s">
        <v>0</v>
      </c>
      <c r="X22" s="78" t="s">
        <v>0</v>
      </c>
      <c r="Y22" s="78" t="s">
        <v>0</v>
      </c>
      <c r="Z22" s="78" t="s">
        <v>0</v>
      </c>
      <c r="AA22" s="78" t="s">
        <v>0</v>
      </c>
      <c r="AB22" s="78" t="s">
        <v>0</v>
      </c>
      <c r="AC22" s="78" t="s">
        <v>0</v>
      </c>
      <c r="AD22" s="78" t="s">
        <v>0</v>
      </c>
      <c r="AE22" s="78" t="s">
        <v>0</v>
      </c>
      <c r="AF22" s="78" t="s">
        <v>0</v>
      </c>
      <c r="AG22" s="78" t="s">
        <v>0</v>
      </c>
      <c r="AH22" s="78" t="s">
        <v>0</v>
      </c>
      <c r="AI22" s="78" t="s">
        <v>0</v>
      </c>
      <c r="AJ22" s="78" t="s">
        <v>0</v>
      </c>
      <c r="AK22" s="78" t="s">
        <v>0</v>
      </c>
      <c r="AL22" s="78" t="s">
        <v>0</v>
      </c>
      <c r="AM22" s="78" t="s">
        <v>0</v>
      </c>
      <c r="AN22" s="78" t="s">
        <v>0</v>
      </c>
      <c r="AO22" s="78" t="s">
        <v>0</v>
      </c>
      <c r="AP22" s="78" t="s">
        <v>0</v>
      </c>
      <c r="AQ22" s="78" t="s">
        <v>0</v>
      </c>
      <c r="AR22" s="78" t="s">
        <v>0</v>
      </c>
      <c r="AS22" s="78" t="s">
        <v>0</v>
      </c>
      <c r="AT22" s="78" t="s">
        <v>0</v>
      </c>
      <c r="AU22" s="78" t="s">
        <v>0</v>
      </c>
      <c r="AV22" s="78" t="s">
        <v>0</v>
      </c>
      <c r="AW22" s="78" t="s">
        <v>0</v>
      </c>
      <c r="AX22" s="78" t="s">
        <v>0</v>
      </c>
      <c r="AY22" s="78" t="s">
        <v>0</v>
      </c>
      <c r="AZ22" s="78" t="s">
        <v>0</v>
      </c>
      <c r="BA22" s="78" t="s">
        <v>0</v>
      </c>
      <c r="BB22" s="78" t="s">
        <v>0</v>
      </c>
      <c r="BC22" s="78" t="s">
        <v>0</v>
      </c>
      <c r="BD22" s="78" t="s">
        <v>0</v>
      </c>
      <c r="BE22" s="78" t="s">
        <v>0</v>
      </c>
      <c r="BF22" s="78" t="s">
        <v>0</v>
      </c>
      <c r="BG22" s="78" t="s">
        <v>0</v>
      </c>
      <c r="BH22" s="78" t="s">
        <v>0</v>
      </c>
      <c r="BI22" s="78" t="s">
        <v>0</v>
      </c>
      <c r="BJ22" s="78" t="s">
        <v>0</v>
      </c>
    </row>
    <row r="23" spans="1:62" ht="12.75">
      <c r="A23" s="710">
        <v>79</v>
      </c>
      <c r="B23" s="44" t="s">
        <v>2105</v>
      </c>
      <c r="C23" s="325">
        <f>MOD(G$1,A23)</f>
        <v>27</v>
      </c>
      <c r="D23" s="82">
        <f>A23-C23</f>
        <v>52</v>
      </c>
      <c r="E23" s="76">
        <f>MOD(G$2,A23)</f>
        <v>77</v>
      </c>
      <c r="F23" s="78" t="s">
        <v>2202</v>
      </c>
      <c r="G23" s="78" t="s">
        <v>0</v>
      </c>
      <c r="H23" s="78" t="s">
        <v>0</v>
      </c>
      <c r="I23" s="78" t="s">
        <v>0</v>
      </c>
      <c r="J23" s="78" t="s">
        <v>0</v>
      </c>
      <c r="K23" s="78" t="s">
        <v>0</v>
      </c>
      <c r="L23" s="78" t="s">
        <v>0</v>
      </c>
      <c r="M23" s="78" t="s">
        <v>0</v>
      </c>
      <c r="N23" s="78" t="s">
        <v>0</v>
      </c>
      <c r="O23" s="78" t="s">
        <v>0</v>
      </c>
      <c r="P23" s="78" t="s">
        <v>0</v>
      </c>
      <c r="Q23" s="78" t="s">
        <v>0</v>
      </c>
      <c r="R23" s="78" t="s">
        <v>0</v>
      </c>
      <c r="S23" s="78" t="s">
        <v>0</v>
      </c>
      <c r="T23" s="78" t="s">
        <v>0</v>
      </c>
      <c r="U23" s="78" t="s">
        <v>0</v>
      </c>
      <c r="V23" s="78" t="s">
        <v>0</v>
      </c>
      <c r="W23" s="78" t="s">
        <v>0</v>
      </c>
      <c r="X23" s="78" t="s">
        <v>0</v>
      </c>
      <c r="Y23" s="78" t="s">
        <v>0</v>
      </c>
      <c r="Z23" s="78" t="s">
        <v>0</v>
      </c>
      <c r="AA23" s="78" t="s">
        <v>0</v>
      </c>
      <c r="AB23" s="78" t="s">
        <v>0</v>
      </c>
      <c r="AC23" s="78" t="s">
        <v>0</v>
      </c>
      <c r="AD23" s="78" t="s">
        <v>0</v>
      </c>
      <c r="AE23" s="78" t="s">
        <v>0</v>
      </c>
      <c r="AF23" s="78" t="s">
        <v>0</v>
      </c>
      <c r="AG23" s="78" t="s">
        <v>0</v>
      </c>
      <c r="AH23" s="78" t="s">
        <v>0</v>
      </c>
      <c r="AI23" s="78" t="s">
        <v>0</v>
      </c>
      <c r="AJ23" s="78" t="s">
        <v>0</v>
      </c>
      <c r="AK23" s="78" t="s">
        <v>0</v>
      </c>
      <c r="AL23" s="78" t="s">
        <v>0</v>
      </c>
      <c r="AM23" s="78" t="s">
        <v>0</v>
      </c>
      <c r="AN23" s="78" t="s">
        <v>0</v>
      </c>
      <c r="AO23" s="78" t="s">
        <v>0</v>
      </c>
      <c r="AP23" s="78" t="s">
        <v>0</v>
      </c>
      <c r="AQ23" s="78" t="s">
        <v>0</v>
      </c>
      <c r="AR23" s="78" t="s">
        <v>0</v>
      </c>
      <c r="AS23" s="78" t="s">
        <v>0</v>
      </c>
      <c r="AT23" s="78" t="s">
        <v>0</v>
      </c>
      <c r="AU23" s="78" t="s">
        <v>0</v>
      </c>
      <c r="AV23" s="78" t="s">
        <v>0</v>
      </c>
      <c r="AW23" s="78" t="s">
        <v>0</v>
      </c>
      <c r="AX23" s="78" t="s">
        <v>0</v>
      </c>
      <c r="AY23" s="78" t="s">
        <v>0</v>
      </c>
      <c r="AZ23" s="78" t="s">
        <v>0</v>
      </c>
      <c r="BA23" s="78" t="s">
        <v>0</v>
      </c>
      <c r="BB23" s="78" t="s">
        <v>0</v>
      </c>
      <c r="BC23" s="78" t="s">
        <v>0</v>
      </c>
      <c r="BD23" s="78" t="s">
        <v>0</v>
      </c>
      <c r="BE23" s="78" t="s">
        <v>0</v>
      </c>
      <c r="BF23" s="78" t="s">
        <v>0</v>
      </c>
      <c r="BG23" s="78" t="s">
        <v>0</v>
      </c>
      <c r="BH23" s="78" t="s">
        <v>0</v>
      </c>
      <c r="BI23" s="78" t="s">
        <v>0</v>
      </c>
      <c r="BJ23" s="78" t="s">
        <v>0</v>
      </c>
    </row>
    <row r="24" spans="1:62" ht="12.75">
      <c r="A24" s="710">
        <v>83</v>
      </c>
      <c r="B24" s="44" t="s">
        <v>2106</v>
      </c>
      <c r="C24" s="325">
        <f>MOD(G$1,A24)</f>
        <v>39</v>
      </c>
      <c r="D24" s="82">
        <f>A24-C24</f>
        <v>44</v>
      </c>
      <c r="E24" s="76">
        <f>MOD(G$2,A24)</f>
        <v>49</v>
      </c>
      <c r="F24" s="78" t="s">
        <v>2158</v>
      </c>
      <c r="G24" s="78" t="s">
        <v>0</v>
      </c>
      <c r="H24" s="78" t="s">
        <v>0</v>
      </c>
      <c r="I24" s="78" t="s">
        <v>0</v>
      </c>
      <c r="J24" s="78" t="s">
        <v>0</v>
      </c>
      <c r="K24" s="78" t="s">
        <v>0</v>
      </c>
      <c r="L24" s="78" t="s">
        <v>0</v>
      </c>
      <c r="M24" s="78" t="s">
        <v>0</v>
      </c>
      <c r="N24" s="78" t="s">
        <v>0</v>
      </c>
      <c r="O24" s="78" t="s">
        <v>0</v>
      </c>
      <c r="P24" s="78" t="s">
        <v>0</v>
      </c>
      <c r="Q24" s="78" t="s">
        <v>0</v>
      </c>
      <c r="R24" s="78" t="s">
        <v>0</v>
      </c>
      <c r="S24" s="78" t="s">
        <v>0</v>
      </c>
      <c r="T24" s="78" t="s">
        <v>0</v>
      </c>
      <c r="U24" s="78" t="s">
        <v>0</v>
      </c>
      <c r="V24" s="78" t="s">
        <v>0</v>
      </c>
      <c r="W24" s="78" t="s">
        <v>0</v>
      </c>
      <c r="X24" s="78" t="s">
        <v>0</v>
      </c>
      <c r="Y24" s="78" t="s">
        <v>0</v>
      </c>
      <c r="Z24" s="78" t="s">
        <v>0</v>
      </c>
      <c r="AA24" s="78" t="s">
        <v>0</v>
      </c>
      <c r="AB24" s="78" t="s">
        <v>0</v>
      </c>
      <c r="AC24" s="78" t="s">
        <v>0</v>
      </c>
      <c r="AD24" s="78" t="s">
        <v>0</v>
      </c>
      <c r="AE24" s="78" t="s">
        <v>0</v>
      </c>
      <c r="AF24" s="78" t="s">
        <v>0</v>
      </c>
      <c r="AG24" s="78" t="s">
        <v>0</v>
      </c>
      <c r="AH24" s="78" t="s">
        <v>0</v>
      </c>
      <c r="AI24" s="78" t="s">
        <v>0</v>
      </c>
      <c r="AJ24" s="78" t="s">
        <v>0</v>
      </c>
      <c r="AK24" s="78" t="s">
        <v>0</v>
      </c>
      <c r="AL24" s="78" t="s">
        <v>0</v>
      </c>
      <c r="AM24" s="78" t="s">
        <v>0</v>
      </c>
      <c r="AN24" s="78" t="s">
        <v>0</v>
      </c>
      <c r="AO24" s="78" t="s">
        <v>0</v>
      </c>
      <c r="AP24" s="78" t="s">
        <v>0</v>
      </c>
      <c r="AQ24" s="78" t="s">
        <v>0</v>
      </c>
      <c r="AR24" s="78" t="s">
        <v>0</v>
      </c>
      <c r="AS24" s="78" t="s">
        <v>0</v>
      </c>
      <c r="AT24" s="78" t="s">
        <v>0</v>
      </c>
      <c r="AU24" s="78" t="s">
        <v>0</v>
      </c>
      <c r="AV24" s="78" t="s">
        <v>0</v>
      </c>
      <c r="AW24" s="78" t="s">
        <v>0</v>
      </c>
      <c r="AX24" s="78" t="s">
        <v>0</v>
      </c>
      <c r="AY24" s="78" t="s">
        <v>0</v>
      </c>
      <c r="AZ24" s="78" t="s">
        <v>0</v>
      </c>
      <c r="BA24" s="78" t="s">
        <v>0</v>
      </c>
      <c r="BB24" s="78" t="s">
        <v>0</v>
      </c>
      <c r="BC24" s="78" t="s">
        <v>0</v>
      </c>
      <c r="BD24" s="78" t="s">
        <v>0</v>
      </c>
      <c r="BE24" s="78" t="s">
        <v>0</v>
      </c>
      <c r="BF24" s="78" t="s">
        <v>0</v>
      </c>
      <c r="BG24" s="78" t="s">
        <v>0</v>
      </c>
      <c r="BH24" s="78" t="s">
        <v>0</v>
      </c>
      <c r="BI24" s="78" t="s">
        <v>0</v>
      </c>
      <c r="BJ24" s="78" t="s">
        <v>0</v>
      </c>
    </row>
    <row r="25" spans="1:62" ht="12.75">
      <c r="A25" s="710">
        <v>89</v>
      </c>
      <c r="B25" s="44" t="s">
        <v>2109</v>
      </c>
      <c r="C25" s="325">
        <f>MOD(G$1,A25)</f>
        <v>64</v>
      </c>
      <c r="D25" s="82">
        <f>A25-C25</f>
        <v>25</v>
      </c>
      <c r="E25" s="76">
        <f>MOD(G$2,A25)</f>
        <v>14</v>
      </c>
      <c r="F25" s="78" t="s">
        <v>2144</v>
      </c>
      <c r="G25" s="78" t="s">
        <v>0</v>
      </c>
      <c r="H25" s="78" t="s">
        <v>0</v>
      </c>
      <c r="I25" s="78" t="s">
        <v>0</v>
      </c>
      <c r="J25" s="78" t="s">
        <v>0</v>
      </c>
      <c r="K25" s="78" t="s">
        <v>0</v>
      </c>
      <c r="L25" s="78" t="s">
        <v>0</v>
      </c>
      <c r="M25" s="78" t="s">
        <v>0</v>
      </c>
      <c r="N25" s="78" t="s">
        <v>0</v>
      </c>
      <c r="O25" s="78" t="s">
        <v>0</v>
      </c>
      <c r="P25" s="78" t="s">
        <v>0</v>
      </c>
      <c r="Q25" s="78" t="s">
        <v>0</v>
      </c>
      <c r="R25" s="78" t="s">
        <v>0</v>
      </c>
      <c r="S25" s="78" t="s">
        <v>0</v>
      </c>
      <c r="T25" s="78" t="s">
        <v>0</v>
      </c>
      <c r="U25" s="78" t="s">
        <v>0</v>
      </c>
      <c r="V25" s="78" t="s">
        <v>0</v>
      </c>
      <c r="W25" s="78" t="s">
        <v>0</v>
      </c>
      <c r="X25" s="78" t="s">
        <v>0</v>
      </c>
      <c r="Y25" s="78" t="s">
        <v>0</v>
      </c>
      <c r="Z25" s="78" t="s">
        <v>0</v>
      </c>
      <c r="AA25" s="78" t="s">
        <v>0</v>
      </c>
      <c r="AB25" s="78" t="s">
        <v>0</v>
      </c>
      <c r="AC25" s="78" t="s">
        <v>0</v>
      </c>
      <c r="AD25" s="78" t="s">
        <v>0</v>
      </c>
      <c r="AE25" s="78" t="s">
        <v>0</v>
      </c>
      <c r="AF25" s="78" t="s">
        <v>0</v>
      </c>
      <c r="AG25" s="78" t="s">
        <v>0</v>
      </c>
      <c r="AH25" s="78" t="s">
        <v>0</v>
      </c>
      <c r="AI25" s="78" t="s">
        <v>0</v>
      </c>
      <c r="AJ25" s="78" t="s">
        <v>0</v>
      </c>
      <c r="AK25" s="78" t="s">
        <v>0</v>
      </c>
      <c r="AL25" s="78" t="s">
        <v>0</v>
      </c>
      <c r="AM25" s="78" t="s">
        <v>0</v>
      </c>
      <c r="AN25" s="78" t="s">
        <v>0</v>
      </c>
      <c r="AO25" s="78" t="s">
        <v>0</v>
      </c>
      <c r="AP25" s="78" t="s">
        <v>0</v>
      </c>
      <c r="AQ25" s="78" t="s">
        <v>0</v>
      </c>
      <c r="AR25" s="78" t="s">
        <v>0</v>
      </c>
      <c r="AS25" s="78" t="s">
        <v>0</v>
      </c>
      <c r="AT25" s="78" t="s">
        <v>0</v>
      </c>
      <c r="AU25" s="78" t="s">
        <v>0</v>
      </c>
      <c r="AV25" s="78" t="s">
        <v>0</v>
      </c>
      <c r="AW25" s="78" t="s">
        <v>0</v>
      </c>
      <c r="AX25" s="78" t="s">
        <v>0</v>
      </c>
      <c r="AY25" s="78" t="s">
        <v>0</v>
      </c>
      <c r="AZ25" s="78" t="s">
        <v>0</v>
      </c>
      <c r="BA25" s="78" t="s">
        <v>0</v>
      </c>
      <c r="BB25" s="78" t="s">
        <v>0</v>
      </c>
      <c r="BC25" s="78" t="s">
        <v>0</v>
      </c>
      <c r="BD25" s="78" t="s">
        <v>0</v>
      </c>
      <c r="BE25" s="78" t="s">
        <v>0</v>
      </c>
      <c r="BF25" s="78" t="s">
        <v>0</v>
      </c>
      <c r="BG25" s="78" t="s">
        <v>0</v>
      </c>
      <c r="BH25" s="78" t="s">
        <v>0</v>
      </c>
      <c r="BI25" s="78" t="s">
        <v>0</v>
      </c>
      <c r="BJ25" s="78" t="s">
        <v>0</v>
      </c>
    </row>
    <row r="26" spans="1:62" ht="12.75">
      <c r="A26" s="710">
        <v>97</v>
      </c>
      <c r="B26" s="44" t="s">
        <v>2112</v>
      </c>
      <c r="C26" s="325">
        <f>MOD(G$1,A26)</f>
        <v>1</v>
      </c>
      <c r="D26" s="82">
        <f>A26-C26</f>
        <v>96</v>
      </c>
      <c r="E26" s="76">
        <f>MOD(G$2,A26)</f>
        <v>65</v>
      </c>
      <c r="F26" s="78" t="s">
        <v>2108</v>
      </c>
      <c r="G26" s="78" t="s">
        <v>0</v>
      </c>
      <c r="H26" s="78" t="s">
        <v>0</v>
      </c>
      <c r="I26" s="78" t="s">
        <v>0</v>
      </c>
      <c r="J26" s="78" t="s">
        <v>0</v>
      </c>
      <c r="K26" s="78" t="s">
        <v>0</v>
      </c>
      <c r="L26" s="78" t="s">
        <v>0</v>
      </c>
      <c r="M26" s="78" t="s">
        <v>0</v>
      </c>
      <c r="N26" s="78" t="s">
        <v>0</v>
      </c>
      <c r="O26" s="78" t="s">
        <v>0</v>
      </c>
      <c r="P26" s="78" t="s">
        <v>0</v>
      </c>
      <c r="Q26" s="78" t="s">
        <v>0</v>
      </c>
      <c r="R26" s="78" t="s">
        <v>0</v>
      </c>
      <c r="S26" s="78" t="s">
        <v>0</v>
      </c>
      <c r="T26" s="78" t="s">
        <v>0</v>
      </c>
      <c r="U26" s="78" t="s">
        <v>0</v>
      </c>
      <c r="V26" s="78" t="s">
        <v>0</v>
      </c>
      <c r="W26" s="78" t="s">
        <v>0</v>
      </c>
      <c r="X26" s="78" t="s">
        <v>0</v>
      </c>
      <c r="Y26" s="78" t="s">
        <v>0</v>
      </c>
      <c r="Z26" s="78" t="s">
        <v>0</v>
      </c>
      <c r="AA26" s="78" t="s">
        <v>0</v>
      </c>
      <c r="AB26" s="78" t="s">
        <v>0</v>
      </c>
      <c r="AC26" s="78" t="s">
        <v>0</v>
      </c>
      <c r="AD26" s="78" t="s">
        <v>0</v>
      </c>
      <c r="AE26" s="78" t="s">
        <v>0</v>
      </c>
      <c r="AF26" s="78" t="s">
        <v>0</v>
      </c>
      <c r="AG26" s="78" t="s">
        <v>0</v>
      </c>
      <c r="AH26" s="78" t="s">
        <v>0</v>
      </c>
      <c r="AI26" s="78" t="s">
        <v>0</v>
      </c>
      <c r="AJ26" s="78" t="s">
        <v>0</v>
      </c>
      <c r="AK26" s="78" t="s">
        <v>0</v>
      </c>
      <c r="AL26" s="78" t="s">
        <v>0</v>
      </c>
      <c r="AM26" s="78" t="s">
        <v>0</v>
      </c>
      <c r="AN26" s="78" t="s">
        <v>0</v>
      </c>
      <c r="AO26" s="78" t="s">
        <v>0</v>
      </c>
      <c r="AP26" s="78" t="s">
        <v>0</v>
      </c>
      <c r="AQ26" s="78" t="s">
        <v>0</v>
      </c>
      <c r="AR26" s="78" t="s">
        <v>0</v>
      </c>
      <c r="AS26" s="78" t="s">
        <v>0</v>
      </c>
      <c r="AT26" s="78" t="s">
        <v>0</v>
      </c>
      <c r="AU26" s="78" t="s">
        <v>0</v>
      </c>
      <c r="AV26" s="78" t="s">
        <v>0</v>
      </c>
      <c r="AW26" s="78" t="s">
        <v>0</v>
      </c>
      <c r="AX26" s="78" t="s">
        <v>0</v>
      </c>
      <c r="AY26" s="78" t="s">
        <v>0</v>
      </c>
      <c r="AZ26" s="78" t="s">
        <v>0</v>
      </c>
      <c r="BA26" s="78" t="s">
        <v>0</v>
      </c>
      <c r="BB26" s="78" t="s">
        <v>0</v>
      </c>
      <c r="BC26" s="78" t="s">
        <v>0</v>
      </c>
      <c r="BD26" s="78" t="s">
        <v>0</v>
      </c>
      <c r="BE26" s="78" t="s">
        <v>0</v>
      </c>
      <c r="BF26" s="78" t="s">
        <v>0</v>
      </c>
      <c r="BG26" s="78" t="s">
        <v>0</v>
      </c>
      <c r="BH26" s="78" t="s">
        <v>0</v>
      </c>
      <c r="BI26" s="78" t="s">
        <v>0</v>
      </c>
      <c r="BJ26" s="78" t="s">
        <v>0</v>
      </c>
    </row>
    <row r="27" spans="1:62" ht="12.75">
      <c r="A27" s="710">
        <v>101</v>
      </c>
      <c r="B27" s="44" t="s">
        <v>2115</v>
      </c>
      <c r="C27" s="325">
        <f>MOD(G$1,A27)</f>
        <v>61</v>
      </c>
      <c r="D27" s="82">
        <f>A27-C27</f>
        <v>40</v>
      </c>
      <c r="E27" s="76">
        <f>MOD(G$2,A27)</f>
        <v>93</v>
      </c>
      <c r="F27" s="78" t="s">
        <v>2113</v>
      </c>
      <c r="G27" s="78" t="s">
        <v>0</v>
      </c>
      <c r="H27" s="78" t="s">
        <v>0</v>
      </c>
      <c r="I27" s="78" t="s">
        <v>0</v>
      </c>
      <c r="J27" s="78" t="s">
        <v>0</v>
      </c>
      <c r="K27" s="78" t="s">
        <v>0</v>
      </c>
      <c r="L27" s="78" t="s">
        <v>0</v>
      </c>
      <c r="M27" s="78" t="s">
        <v>0</v>
      </c>
      <c r="N27" s="78" t="s">
        <v>0</v>
      </c>
      <c r="O27" s="78" t="s">
        <v>0</v>
      </c>
      <c r="P27" s="78" t="s">
        <v>0</v>
      </c>
      <c r="Q27" s="78" t="s">
        <v>0</v>
      </c>
      <c r="R27" s="78" t="s">
        <v>0</v>
      </c>
      <c r="S27" s="78" t="s">
        <v>0</v>
      </c>
      <c r="T27" s="78" t="s">
        <v>0</v>
      </c>
      <c r="U27" s="78" t="s">
        <v>0</v>
      </c>
      <c r="V27" s="78" t="s">
        <v>0</v>
      </c>
      <c r="W27" s="78" t="s">
        <v>0</v>
      </c>
      <c r="X27" s="78" t="s">
        <v>0</v>
      </c>
      <c r="Y27" s="78" t="s">
        <v>0</v>
      </c>
      <c r="Z27" s="78" t="s">
        <v>0</v>
      </c>
      <c r="AA27" s="78" t="s">
        <v>0</v>
      </c>
      <c r="AB27" s="78" t="s">
        <v>0</v>
      </c>
      <c r="AC27" s="78" t="s">
        <v>0</v>
      </c>
      <c r="AD27" s="78" t="s">
        <v>0</v>
      </c>
      <c r="AE27" s="78" t="s">
        <v>0</v>
      </c>
      <c r="AF27" s="78" t="s">
        <v>0</v>
      </c>
      <c r="AG27" s="78" t="s">
        <v>0</v>
      </c>
      <c r="AH27" s="78" t="s">
        <v>0</v>
      </c>
      <c r="AI27" s="78" t="s">
        <v>0</v>
      </c>
      <c r="AJ27" s="78" t="s">
        <v>0</v>
      </c>
      <c r="AK27" s="78" t="s">
        <v>0</v>
      </c>
      <c r="AL27" s="78" t="s">
        <v>0</v>
      </c>
      <c r="AM27" s="78" t="s">
        <v>0</v>
      </c>
      <c r="AN27" s="78" t="s">
        <v>0</v>
      </c>
      <c r="AO27" s="78" t="s">
        <v>0</v>
      </c>
      <c r="AP27" s="78" t="s">
        <v>0</v>
      </c>
      <c r="AQ27" s="78" t="s">
        <v>0</v>
      </c>
      <c r="AR27" s="78" t="s">
        <v>0</v>
      </c>
      <c r="AS27" s="78" t="s">
        <v>0</v>
      </c>
      <c r="AT27" s="78" t="s">
        <v>0</v>
      </c>
      <c r="AU27" s="78" t="s">
        <v>0</v>
      </c>
      <c r="AV27" s="78" t="s">
        <v>0</v>
      </c>
      <c r="AW27" s="78" t="s">
        <v>0</v>
      </c>
      <c r="AX27" s="78" t="s">
        <v>0</v>
      </c>
      <c r="AY27" s="78" t="s">
        <v>0</v>
      </c>
      <c r="AZ27" s="78" t="s">
        <v>0</v>
      </c>
      <c r="BA27" s="78" t="s">
        <v>0</v>
      </c>
      <c r="BB27" s="78" t="s">
        <v>0</v>
      </c>
      <c r="BC27" s="78" t="s">
        <v>0</v>
      </c>
      <c r="BD27" s="78" t="s">
        <v>0</v>
      </c>
      <c r="BE27" s="78" t="s">
        <v>0</v>
      </c>
      <c r="BF27" s="78" t="s">
        <v>0</v>
      </c>
      <c r="BG27" s="78" t="s">
        <v>0</v>
      </c>
      <c r="BH27" s="78" t="s">
        <v>0</v>
      </c>
      <c r="BI27" s="78" t="s">
        <v>0</v>
      </c>
      <c r="BJ27" s="78" t="s">
        <v>0</v>
      </c>
    </row>
    <row r="28" spans="1:62" ht="12.75">
      <c r="A28" s="710">
        <v>103</v>
      </c>
      <c r="B28" s="44" t="s">
        <v>2116</v>
      </c>
      <c r="C28" s="325">
        <f>MOD(G$1,A28)</f>
        <v>59</v>
      </c>
      <c r="D28" s="82">
        <f>A28-C28</f>
        <v>44</v>
      </c>
      <c r="E28" s="76">
        <f>MOD(G$2,A28)</f>
        <v>75</v>
      </c>
      <c r="F28" s="78" t="s">
        <v>2130</v>
      </c>
      <c r="G28" s="78" t="s">
        <v>0</v>
      </c>
      <c r="H28" s="78" t="s">
        <v>0</v>
      </c>
      <c r="I28" s="78" t="s">
        <v>0</v>
      </c>
      <c r="J28" s="78" t="s">
        <v>0</v>
      </c>
      <c r="K28" s="78" t="s">
        <v>0</v>
      </c>
      <c r="L28" s="78" t="s">
        <v>0</v>
      </c>
      <c r="M28" s="78" t="s">
        <v>0</v>
      </c>
      <c r="N28" s="78" t="s">
        <v>0</v>
      </c>
      <c r="O28" s="78" t="s">
        <v>0</v>
      </c>
      <c r="P28" s="78" t="s">
        <v>0</v>
      </c>
      <c r="Q28" s="78" t="s">
        <v>0</v>
      </c>
      <c r="R28" s="78" t="s">
        <v>0</v>
      </c>
      <c r="S28" s="78" t="s">
        <v>0</v>
      </c>
      <c r="T28" s="78" t="s">
        <v>0</v>
      </c>
      <c r="U28" s="78" t="s">
        <v>0</v>
      </c>
      <c r="V28" s="78" t="s">
        <v>0</v>
      </c>
      <c r="W28" s="78" t="s">
        <v>0</v>
      </c>
      <c r="X28" s="78" t="s">
        <v>0</v>
      </c>
      <c r="Y28" s="78" t="s">
        <v>0</v>
      </c>
      <c r="Z28" s="78" t="s">
        <v>0</v>
      </c>
      <c r="AA28" s="78" t="s">
        <v>0</v>
      </c>
      <c r="AB28" s="78" t="s">
        <v>0</v>
      </c>
      <c r="AC28" s="78" t="s">
        <v>0</v>
      </c>
      <c r="AD28" s="78" t="s">
        <v>0</v>
      </c>
      <c r="AE28" s="78" t="s">
        <v>0</v>
      </c>
      <c r="AF28" s="78" t="s">
        <v>0</v>
      </c>
      <c r="AG28" s="78" t="s">
        <v>0</v>
      </c>
      <c r="AH28" s="78" t="s">
        <v>0</v>
      </c>
      <c r="AI28" s="78" t="s">
        <v>0</v>
      </c>
      <c r="AJ28" s="78" t="s">
        <v>0</v>
      </c>
      <c r="AK28" s="78" t="s">
        <v>0</v>
      </c>
      <c r="AL28" s="78" t="s">
        <v>0</v>
      </c>
      <c r="AM28" s="78" t="s">
        <v>0</v>
      </c>
      <c r="AN28" s="78" t="s">
        <v>0</v>
      </c>
      <c r="AO28" s="78" t="s">
        <v>0</v>
      </c>
      <c r="AP28" s="78" t="s">
        <v>0</v>
      </c>
      <c r="AQ28" s="78" t="s">
        <v>0</v>
      </c>
      <c r="AR28" s="78" t="s">
        <v>0</v>
      </c>
      <c r="AS28" s="78" t="s">
        <v>0</v>
      </c>
      <c r="AT28" s="78" t="s">
        <v>0</v>
      </c>
      <c r="AU28" s="78" t="s">
        <v>0</v>
      </c>
      <c r="AV28" s="78" t="s">
        <v>0</v>
      </c>
      <c r="AW28" s="78" t="s">
        <v>0</v>
      </c>
      <c r="AX28" s="78" t="s">
        <v>0</v>
      </c>
      <c r="AY28" s="78" t="s">
        <v>0</v>
      </c>
      <c r="AZ28" s="78" t="s">
        <v>0</v>
      </c>
      <c r="BA28" s="78" t="s">
        <v>0</v>
      </c>
      <c r="BB28" s="78" t="s">
        <v>0</v>
      </c>
      <c r="BC28" s="78" t="s">
        <v>0</v>
      </c>
      <c r="BD28" s="78" t="s">
        <v>0</v>
      </c>
      <c r="BE28" s="78" t="s">
        <v>0</v>
      </c>
      <c r="BF28" s="78" t="s">
        <v>0</v>
      </c>
      <c r="BG28" s="78" t="s">
        <v>0</v>
      </c>
      <c r="BH28" s="78" t="s">
        <v>0</v>
      </c>
      <c r="BI28" s="78" t="s">
        <v>0</v>
      </c>
      <c r="BJ28" s="78" t="s">
        <v>0</v>
      </c>
    </row>
    <row r="29" spans="1:62" ht="12.75">
      <c r="A29" s="710">
        <v>107</v>
      </c>
      <c r="B29" s="44" t="s">
        <v>2117</v>
      </c>
      <c r="C29" s="325">
        <f>MOD(G$1,A29)</f>
        <v>32</v>
      </c>
      <c r="D29" s="82">
        <f>A29-C29</f>
        <v>75</v>
      </c>
      <c r="E29" s="76">
        <f>MOD(G$2,A29)</f>
        <v>16</v>
      </c>
      <c r="F29" s="78" t="s">
        <v>32</v>
      </c>
      <c r="G29" s="78" t="s">
        <v>0</v>
      </c>
      <c r="H29" s="78" t="s">
        <v>0</v>
      </c>
      <c r="I29" s="78" t="s">
        <v>0</v>
      </c>
      <c r="J29" s="78" t="s">
        <v>0</v>
      </c>
      <c r="K29" s="78" t="s">
        <v>0</v>
      </c>
      <c r="L29" s="78" t="s">
        <v>0</v>
      </c>
      <c r="M29" s="78" t="s">
        <v>0</v>
      </c>
      <c r="N29" s="78" t="s">
        <v>0</v>
      </c>
      <c r="O29" s="78" t="s">
        <v>0</v>
      </c>
      <c r="P29" s="78" t="s">
        <v>0</v>
      </c>
      <c r="Q29" s="78" t="s">
        <v>0</v>
      </c>
      <c r="R29" s="78" t="s">
        <v>0</v>
      </c>
      <c r="S29" s="78" t="s">
        <v>0</v>
      </c>
      <c r="T29" s="78" t="s">
        <v>0</v>
      </c>
      <c r="U29" s="78" t="s">
        <v>0</v>
      </c>
      <c r="V29" s="78" t="s">
        <v>0</v>
      </c>
      <c r="W29" s="78" t="s">
        <v>0</v>
      </c>
      <c r="X29" s="78" t="s">
        <v>0</v>
      </c>
      <c r="Y29" s="78" t="s">
        <v>0</v>
      </c>
      <c r="Z29" s="78" t="s">
        <v>0</v>
      </c>
      <c r="AA29" s="78" t="s">
        <v>0</v>
      </c>
      <c r="AB29" s="78" t="s">
        <v>0</v>
      </c>
      <c r="AC29" s="78" t="s">
        <v>0</v>
      </c>
      <c r="AD29" s="78" t="s">
        <v>0</v>
      </c>
      <c r="AE29" s="78" t="s">
        <v>0</v>
      </c>
      <c r="AF29" s="78" t="s">
        <v>0</v>
      </c>
      <c r="AG29" s="78" t="s">
        <v>0</v>
      </c>
      <c r="AH29" s="78" t="s">
        <v>0</v>
      </c>
      <c r="AI29" s="78" t="s">
        <v>0</v>
      </c>
      <c r="AJ29" s="78" t="s">
        <v>0</v>
      </c>
      <c r="AK29" s="78" t="s">
        <v>0</v>
      </c>
      <c r="AL29" s="78" t="s">
        <v>0</v>
      </c>
      <c r="AM29" s="78" t="s">
        <v>0</v>
      </c>
      <c r="AN29" s="78" t="s">
        <v>0</v>
      </c>
      <c r="AO29" s="78" t="s">
        <v>0</v>
      </c>
      <c r="AP29" s="78" t="s">
        <v>0</v>
      </c>
      <c r="AQ29" s="78" t="s">
        <v>0</v>
      </c>
      <c r="AR29" s="78" t="s">
        <v>0</v>
      </c>
      <c r="AS29" s="78" t="s">
        <v>0</v>
      </c>
      <c r="AT29" s="78" t="s">
        <v>0</v>
      </c>
      <c r="AU29" s="78" t="s">
        <v>0</v>
      </c>
      <c r="AV29" s="78" t="s">
        <v>0</v>
      </c>
      <c r="AW29" s="78" t="s">
        <v>0</v>
      </c>
      <c r="AX29" s="78" t="s">
        <v>0</v>
      </c>
      <c r="AY29" s="78" t="s">
        <v>0</v>
      </c>
      <c r="AZ29" s="78" t="s">
        <v>0</v>
      </c>
      <c r="BA29" s="78" t="s">
        <v>0</v>
      </c>
      <c r="BB29" s="78" t="s">
        <v>0</v>
      </c>
      <c r="BC29" s="78" t="s">
        <v>0</v>
      </c>
      <c r="BD29" s="78" t="s">
        <v>0</v>
      </c>
      <c r="BE29" s="78" t="s">
        <v>0</v>
      </c>
      <c r="BF29" s="78" t="s">
        <v>0</v>
      </c>
      <c r="BG29" s="78" t="s">
        <v>0</v>
      </c>
      <c r="BH29" s="78" t="s">
        <v>0</v>
      </c>
      <c r="BI29" s="78" t="s">
        <v>0</v>
      </c>
      <c r="BJ29" s="78" t="s">
        <v>0</v>
      </c>
    </row>
    <row r="30" spans="1:62" ht="12.75">
      <c r="A30" s="710">
        <v>109</v>
      </c>
      <c r="B30" s="44" t="s">
        <v>2118</v>
      </c>
      <c r="C30" s="325">
        <f>MOD(G$1,A30)</f>
        <v>60</v>
      </c>
      <c r="D30" s="82">
        <f>A30-C30</f>
        <v>49</v>
      </c>
      <c r="E30" s="76">
        <f>MOD(G$2,A30)</f>
        <v>28</v>
      </c>
      <c r="F30" s="78" t="s">
        <v>2145</v>
      </c>
      <c r="G30" s="78" t="s">
        <v>0</v>
      </c>
      <c r="H30" s="78" t="s">
        <v>0</v>
      </c>
      <c r="I30" s="78" t="s">
        <v>0</v>
      </c>
      <c r="J30" s="78" t="s">
        <v>0</v>
      </c>
      <c r="K30" s="78" t="s">
        <v>0</v>
      </c>
      <c r="L30" s="78" t="s">
        <v>0</v>
      </c>
      <c r="M30" s="78" t="s">
        <v>0</v>
      </c>
      <c r="N30" s="78" t="s">
        <v>0</v>
      </c>
      <c r="O30" s="78" t="s">
        <v>0</v>
      </c>
      <c r="P30" s="78" t="s">
        <v>0</v>
      </c>
      <c r="Q30" s="78" t="s">
        <v>0</v>
      </c>
      <c r="R30" s="78" t="s">
        <v>0</v>
      </c>
      <c r="S30" s="78" t="s">
        <v>0</v>
      </c>
      <c r="T30" s="78" t="s">
        <v>0</v>
      </c>
      <c r="U30" s="78" t="s">
        <v>0</v>
      </c>
      <c r="V30" s="78" t="s">
        <v>0</v>
      </c>
      <c r="W30" s="78" t="s">
        <v>0</v>
      </c>
      <c r="X30" s="78" t="s">
        <v>0</v>
      </c>
      <c r="Y30" s="78" t="s">
        <v>0</v>
      </c>
      <c r="Z30" s="78" t="s">
        <v>0</v>
      </c>
      <c r="AA30" s="78" t="s">
        <v>0</v>
      </c>
      <c r="AB30" s="78" t="s">
        <v>0</v>
      </c>
      <c r="AC30" s="78" t="s">
        <v>0</v>
      </c>
      <c r="AD30" s="78" t="s">
        <v>0</v>
      </c>
      <c r="AE30" s="78" t="s">
        <v>0</v>
      </c>
      <c r="AF30" s="78" t="s">
        <v>0</v>
      </c>
      <c r="AG30" s="78" t="s">
        <v>0</v>
      </c>
      <c r="AH30" s="78" t="s">
        <v>0</v>
      </c>
      <c r="AI30" s="78" t="s">
        <v>0</v>
      </c>
      <c r="AJ30" s="78" t="s">
        <v>0</v>
      </c>
      <c r="AK30" s="78" t="s">
        <v>0</v>
      </c>
      <c r="AL30" s="78" t="s">
        <v>0</v>
      </c>
      <c r="AM30" s="78" t="s">
        <v>0</v>
      </c>
      <c r="AN30" s="78" t="s">
        <v>0</v>
      </c>
      <c r="AO30" s="78" t="s">
        <v>0</v>
      </c>
      <c r="AP30" s="78" t="s">
        <v>0</v>
      </c>
      <c r="AQ30" s="78" t="s">
        <v>0</v>
      </c>
      <c r="AR30" s="78" t="s">
        <v>0</v>
      </c>
      <c r="AS30" s="78" t="s">
        <v>0</v>
      </c>
      <c r="AT30" s="78" t="s">
        <v>0</v>
      </c>
      <c r="AU30" s="78" t="s">
        <v>0</v>
      </c>
      <c r="AV30" s="78" t="s">
        <v>0</v>
      </c>
      <c r="AW30" s="78" t="s">
        <v>0</v>
      </c>
      <c r="AX30" s="78" t="s">
        <v>0</v>
      </c>
      <c r="AY30" s="78" t="s">
        <v>0</v>
      </c>
      <c r="AZ30" s="78" t="s">
        <v>0</v>
      </c>
      <c r="BA30" s="78" t="s">
        <v>0</v>
      </c>
      <c r="BB30" s="78" t="s">
        <v>0</v>
      </c>
      <c r="BC30" s="78" t="s">
        <v>0</v>
      </c>
      <c r="BD30" s="78" t="s">
        <v>0</v>
      </c>
      <c r="BE30" s="78" t="s">
        <v>0</v>
      </c>
      <c r="BF30" s="78" t="s">
        <v>0</v>
      </c>
      <c r="BG30" s="78" t="s">
        <v>0</v>
      </c>
      <c r="BH30" s="78" t="s">
        <v>0</v>
      </c>
      <c r="BI30" s="78" t="s">
        <v>0</v>
      </c>
      <c r="BJ30" s="78" t="s">
        <v>0</v>
      </c>
    </row>
    <row r="31" spans="1:62" ht="12.75">
      <c r="A31" s="710">
        <v>113</v>
      </c>
      <c r="B31" s="44" t="s">
        <v>2120</v>
      </c>
      <c r="C31" s="325">
        <f>MOD(G$1,A31)</f>
        <v>38</v>
      </c>
      <c r="D31" s="82">
        <f>A31-C31</f>
        <v>75</v>
      </c>
      <c r="E31" s="76">
        <f>MOD(G$2,A31)</f>
        <v>87</v>
      </c>
      <c r="F31" s="78" t="s">
        <v>2247</v>
      </c>
      <c r="G31" s="78" t="s">
        <v>0</v>
      </c>
      <c r="H31" s="78" t="s">
        <v>0</v>
      </c>
      <c r="I31" s="78" t="s">
        <v>0</v>
      </c>
      <c r="J31" s="78" t="s">
        <v>0</v>
      </c>
      <c r="K31" s="78" t="s">
        <v>0</v>
      </c>
      <c r="L31" s="78" t="s">
        <v>0</v>
      </c>
      <c r="M31" s="78" t="s">
        <v>0</v>
      </c>
      <c r="N31" s="78" t="s">
        <v>0</v>
      </c>
      <c r="O31" s="78" t="s">
        <v>0</v>
      </c>
      <c r="P31" s="78" t="s">
        <v>0</v>
      </c>
      <c r="Q31" s="78" t="s">
        <v>0</v>
      </c>
      <c r="R31" s="78" t="s">
        <v>0</v>
      </c>
      <c r="S31" s="78" t="s">
        <v>0</v>
      </c>
      <c r="T31" s="78" t="s">
        <v>0</v>
      </c>
      <c r="U31" s="78" t="s">
        <v>0</v>
      </c>
      <c r="V31" s="78" t="s">
        <v>0</v>
      </c>
      <c r="W31" s="78" t="s">
        <v>0</v>
      </c>
      <c r="X31" s="78" t="s">
        <v>0</v>
      </c>
      <c r="Y31" s="78" t="s">
        <v>0</v>
      </c>
      <c r="Z31" s="78" t="s">
        <v>0</v>
      </c>
      <c r="AA31" s="78" t="s">
        <v>0</v>
      </c>
      <c r="AB31" s="78" t="s">
        <v>0</v>
      </c>
      <c r="AC31" s="78" t="s">
        <v>0</v>
      </c>
      <c r="AD31" s="78" t="s">
        <v>0</v>
      </c>
      <c r="AE31" s="78" t="s">
        <v>0</v>
      </c>
      <c r="AF31" s="78" t="s">
        <v>0</v>
      </c>
      <c r="AG31" s="78" t="s">
        <v>0</v>
      </c>
      <c r="AH31" s="78" t="s">
        <v>0</v>
      </c>
      <c r="AI31" s="78" t="s">
        <v>0</v>
      </c>
      <c r="AJ31" s="78" t="s">
        <v>0</v>
      </c>
      <c r="AK31" s="78" t="s">
        <v>0</v>
      </c>
      <c r="AL31" s="78" t="s">
        <v>0</v>
      </c>
      <c r="AM31" s="78" t="s">
        <v>0</v>
      </c>
      <c r="AN31" s="78" t="s">
        <v>0</v>
      </c>
      <c r="AO31" s="78" t="s">
        <v>0</v>
      </c>
      <c r="AP31" s="78" t="s">
        <v>0</v>
      </c>
      <c r="AQ31" s="78" t="s">
        <v>0</v>
      </c>
      <c r="AR31" s="78" t="s">
        <v>0</v>
      </c>
      <c r="AS31" s="78" t="s">
        <v>0</v>
      </c>
      <c r="AT31" s="78" t="s">
        <v>0</v>
      </c>
      <c r="AU31" s="78" t="s">
        <v>0</v>
      </c>
      <c r="AV31" s="78" t="s">
        <v>0</v>
      </c>
      <c r="AW31" s="78" t="s">
        <v>0</v>
      </c>
      <c r="AX31" s="78" t="s">
        <v>0</v>
      </c>
      <c r="AY31" s="78" t="s">
        <v>0</v>
      </c>
      <c r="AZ31" s="78" t="s">
        <v>0</v>
      </c>
      <c r="BA31" s="78" t="s">
        <v>0</v>
      </c>
      <c r="BB31" s="78" t="s">
        <v>0</v>
      </c>
      <c r="BC31" s="78" t="s">
        <v>0</v>
      </c>
      <c r="BD31" s="78" t="s">
        <v>0</v>
      </c>
      <c r="BE31" s="78" t="s">
        <v>0</v>
      </c>
      <c r="BF31" s="78" t="s">
        <v>0</v>
      </c>
      <c r="BG31" s="78" t="s">
        <v>0</v>
      </c>
      <c r="BH31" s="78" t="s">
        <v>0</v>
      </c>
      <c r="BI31" s="78" t="s">
        <v>0</v>
      </c>
      <c r="BJ31" s="78" t="s">
        <v>0</v>
      </c>
    </row>
    <row r="32" spans="1:62" ht="12.75">
      <c r="A32" s="710">
        <v>127</v>
      </c>
      <c r="B32" s="44" t="s">
        <v>2128</v>
      </c>
      <c r="C32" s="325">
        <f>MOD(G$1,A32)</f>
        <v>85</v>
      </c>
      <c r="D32" s="82">
        <f>A32-C32</f>
        <v>42</v>
      </c>
      <c r="E32" s="76">
        <f>MOD(G$2,A32)</f>
        <v>36</v>
      </c>
      <c r="F32" s="78" t="s">
        <v>2084</v>
      </c>
      <c r="G32" s="78" t="s">
        <v>0</v>
      </c>
      <c r="H32" s="78" t="s">
        <v>0</v>
      </c>
      <c r="I32" s="78" t="s">
        <v>0</v>
      </c>
      <c r="J32" s="78" t="s">
        <v>0</v>
      </c>
      <c r="K32" s="78" t="s">
        <v>0</v>
      </c>
      <c r="L32" s="78" t="s">
        <v>0</v>
      </c>
      <c r="M32" s="78" t="s">
        <v>0</v>
      </c>
      <c r="N32" s="78" t="s">
        <v>0</v>
      </c>
      <c r="O32" s="78" t="s">
        <v>0</v>
      </c>
      <c r="P32" s="78" t="s">
        <v>0</v>
      </c>
      <c r="Q32" s="78" t="s">
        <v>0</v>
      </c>
      <c r="R32" s="78" t="s">
        <v>0</v>
      </c>
      <c r="S32" s="78" t="s">
        <v>0</v>
      </c>
      <c r="T32" s="78" t="s">
        <v>0</v>
      </c>
      <c r="U32" s="78" t="s">
        <v>0</v>
      </c>
      <c r="V32" s="78" t="s">
        <v>0</v>
      </c>
      <c r="W32" s="78" t="s">
        <v>0</v>
      </c>
      <c r="X32" s="78" t="s">
        <v>0</v>
      </c>
      <c r="Y32" s="78" t="s">
        <v>0</v>
      </c>
      <c r="Z32" s="78" t="s">
        <v>0</v>
      </c>
      <c r="AA32" s="78" t="s">
        <v>0</v>
      </c>
      <c r="AB32" s="78" t="s">
        <v>0</v>
      </c>
      <c r="AC32" s="78" t="s">
        <v>0</v>
      </c>
      <c r="AD32" s="78" t="s">
        <v>0</v>
      </c>
      <c r="AE32" s="78" t="s">
        <v>0</v>
      </c>
      <c r="AF32" s="78" t="s">
        <v>0</v>
      </c>
      <c r="AG32" s="78" t="s">
        <v>0</v>
      </c>
      <c r="AH32" s="78" t="s">
        <v>0</v>
      </c>
      <c r="AI32" s="78" t="s">
        <v>0</v>
      </c>
      <c r="AJ32" s="78" t="s">
        <v>0</v>
      </c>
      <c r="AK32" s="78" t="s">
        <v>0</v>
      </c>
      <c r="AL32" s="78" t="s">
        <v>0</v>
      </c>
      <c r="AM32" s="78" t="s">
        <v>0</v>
      </c>
      <c r="AN32" s="78" t="s">
        <v>0</v>
      </c>
      <c r="AO32" s="78" t="s">
        <v>0</v>
      </c>
      <c r="AP32" s="78" t="s">
        <v>0</v>
      </c>
      <c r="AQ32" s="78" t="s">
        <v>0</v>
      </c>
      <c r="AR32" s="78" t="s">
        <v>0</v>
      </c>
      <c r="AS32" s="78" t="s">
        <v>0</v>
      </c>
      <c r="AT32" s="78" t="s">
        <v>0</v>
      </c>
      <c r="AU32" s="78" t="s">
        <v>0</v>
      </c>
      <c r="AV32" s="78" t="s">
        <v>0</v>
      </c>
      <c r="AW32" s="78" t="s">
        <v>0</v>
      </c>
      <c r="AX32" s="78" t="s">
        <v>0</v>
      </c>
      <c r="AY32" s="78" t="s">
        <v>0</v>
      </c>
      <c r="AZ32" s="78" t="s">
        <v>0</v>
      </c>
      <c r="BA32" s="78" t="s">
        <v>0</v>
      </c>
      <c r="BB32" s="78" t="s">
        <v>0</v>
      </c>
      <c r="BC32" s="78" t="s">
        <v>0</v>
      </c>
      <c r="BD32" s="78" t="s">
        <v>0</v>
      </c>
      <c r="BE32" s="78" t="s">
        <v>0</v>
      </c>
      <c r="BF32" s="78" t="s">
        <v>0</v>
      </c>
      <c r="BG32" s="78" t="s">
        <v>0</v>
      </c>
      <c r="BH32" s="78" t="s">
        <v>0</v>
      </c>
      <c r="BI32" s="78" t="s">
        <v>0</v>
      </c>
      <c r="BJ32" s="78" t="s">
        <v>0</v>
      </c>
    </row>
    <row r="33" spans="1:62" ht="12.75">
      <c r="A33" s="710">
        <v>131</v>
      </c>
      <c r="B33" s="44" t="s">
        <v>2131</v>
      </c>
      <c r="C33" s="325">
        <f>MOD(G$1,A33)</f>
        <v>126</v>
      </c>
      <c r="D33" s="82">
        <f>A33-C33</f>
        <v>5</v>
      </c>
      <c r="E33" s="76">
        <f>MOD(G$2,A33)</f>
        <v>49</v>
      </c>
      <c r="F33" s="78" t="s">
        <v>2155</v>
      </c>
      <c r="G33" s="78" t="s">
        <v>0</v>
      </c>
      <c r="H33" s="78" t="s">
        <v>0</v>
      </c>
      <c r="I33" s="78" t="s">
        <v>0</v>
      </c>
      <c r="J33" s="78" t="s">
        <v>0</v>
      </c>
      <c r="K33" s="78" t="s">
        <v>0</v>
      </c>
      <c r="L33" s="78" t="s">
        <v>0</v>
      </c>
      <c r="M33" s="78" t="s">
        <v>0</v>
      </c>
      <c r="N33" s="78" t="s">
        <v>0</v>
      </c>
      <c r="O33" s="78" t="s">
        <v>0</v>
      </c>
      <c r="P33" s="78" t="s">
        <v>0</v>
      </c>
      <c r="Q33" s="78" t="s">
        <v>0</v>
      </c>
      <c r="R33" s="78" t="s">
        <v>0</v>
      </c>
      <c r="S33" s="78" t="s">
        <v>0</v>
      </c>
      <c r="T33" s="78" t="s">
        <v>0</v>
      </c>
      <c r="U33" s="78" t="s">
        <v>0</v>
      </c>
      <c r="V33" s="78" t="s">
        <v>0</v>
      </c>
      <c r="W33" s="78" t="s">
        <v>0</v>
      </c>
      <c r="X33" s="78" t="s">
        <v>0</v>
      </c>
      <c r="Y33" s="78" t="s">
        <v>0</v>
      </c>
      <c r="Z33" s="78" t="s">
        <v>0</v>
      </c>
      <c r="AA33" s="78" t="s">
        <v>0</v>
      </c>
      <c r="AB33" s="78" t="s">
        <v>0</v>
      </c>
      <c r="AC33" s="78" t="s">
        <v>0</v>
      </c>
      <c r="AD33" s="78" t="s">
        <v>0</v>
      </c>
      <c r="AE33" s="78" t="s">
        <v>0</v>
      </c>
      <c r="AF33" s="78" t="s">
        <v>0</v>
      </c>
      <c r="AG33" s="78" t="s">
        <v>0</v>
      </c>
      <c r="AH33" s="78" t="s">
        <v>0</v>
      </c>
      <c r="AI33" s="78" t="s">
        <v>0</v>
      </c>
      <c r="AJ33" s="78" t="s">
        <v>0</v>
      </c>
      <c r="AK33" s="78" t="s">
        <v>0</v>
      </c>
      <c r="AL33" s="78" t="s">
        <v>0</v>
      </c>
      <c r="AM33" s="78" t="s">
        <v>0</v>
      </c>
      <c r="AN33" s="78" t="s">
        <v>0</v>
      </c>
      <c r="AO33" s="78" t="s">
        <v>0</v>
      </c>
      <c r="AP33" s="78" t="s">
        <v>0</v>
      </c>
      <c r="AQ33" s="78" t="s">
        <v>0</v>
      </c>
      <c r="AR33" s="78" t="s">
        <v>0</v>
      </c>
      <c r="AS33" s="78" t="s">
        <v>0</v>
      </c>
      <c r="AT33" s="78" t="s">
        <v>0</v>
      </c>
      <c r="AU33" s="78" t="s">
        <v>0</v>
      </c>
      <c r="AV33" s="78" t="s">
        <v>0</v>
      </c>
      <c r="AW33" s="78" t="s">
        <v>0</v>
      </c>
      <c r="AX33" s="78" t="s">
        <v>0</v>
      </c>
      <c r="AY33" s="78" t="s">
        <v>0</v>
      </c>
      <c r="AZ33" s="78" t="s">
        <v>0</v>
      </c>
      <c r="BA33" s="78" t="s">
        <v>0</v>
      </c>
      <c r="BB33" s="78" t="s">
        <v>0</v>
      </c>
      <c r="BC33" s="78" t="s">
        <v>0</v>
      </c>
      <c r="BD33" s="78" t="s">
        <v>0</v>
      </c>
      <c r="BE33" s="78" t="s">
        <v>0</v>
      </c>
      <c r="BF33" s="78" t="s">
        <v>0</v>
      </c>
      <c r="BG33" s="78" t="s">
        <v>0</v>
      </c>
      <c r="BH33" s="78" t="s">
        <v>0</v>
      </c>
      <c r="BI33" s="78" t="s">
        <v>0</v>
      </c>
      <c r="BJ33" s="78" t="s">
        <v>0</v>
      </c>
    </row>
    <row r="34" spans="1:62" ht="12.75">
      <c r="A34" s="710">
        <v>137</v>
      </c>
      <c r="B34" s="44" t="s">
        <v>2133</v>
      </c>
      <c r="C34" s="325">
        <f>MOD(G$1,A34)</f>
        <v>2</v>
      </c>
      <c r="D34" s="82">
        <f>A34-C34</f>
        <v>135</v>
      </c>
      <c r="E34" s="76">
        <f>MOD(G$2,A34)</f>
        <v>20</v>
      </c>
      <c r="F34" s="78" t="s">
        <v>2123</v>
      </c>
      <c r="G34" s="78" t="s">
        <v>0</v>
      </c>
      <c r="H34" s="78" t="s">
        <v>0</v>
      </c>
      <c r="I34" s="78" t="s">
        <v>0</v>
      </c>
      <c r="J34" s="78" t="s">
        <v>0</v>
      </c>
      <c r="K34" s="78" t="s">
        <v>0</v>
      </c>
      <c r="L34" s="78" t="s">
        <v>0</v>
      </c>
      <c r="M34" s="78" t="s">
        <v>0</v>
      </c>
      <c r="N34" s="78" t="s">
        <v>0</v>
      </c>
      <c r="O34" s="78" t="s">
        <v>0</v>
      </c>
      <c r="P34" s="78" t="s">
        <v>0</v>
      </c>
      <c r="Q34" s="78" t="s">
        <v>0</v>
      </c>
      <c r="R34" s="78" t="s">
        <v>0</v>
      </c>
      <c r="S34" s="78" t="s">
        <v>0</v>
      </c>
      <c r="T34" s="78" t="s">
        <v>0</v>
      </c>
      <c r="U34" s="78" t="s">
        <v>0</v>
      </c>
      <c r="V34" s="78" t="s">
        <v>0</v>
      </c>
      <c r="W34" s="78" t="s">
        <v>0</v>
      </c>
      <c r="X34" s="78" t="s">
        <v>0</v>
      </c>
      <c r="Y34" s="78" t="s">
        <v>0</v>
      </c>
      <c r="Z34" s="78" t="s">
        <v>0</v>
      </c>
      <c r="AA34" s="78" t="s">
        <v>0</v>
      </c>
      <c r="AB34" s="78" t="s">
        <v>0</v>
      </c>
      <c r="AC34" s="78" t="s">
        <v>0</v>
      </c>
      <c r="AD34" s="78" t="s">
        <v>0</v>
      </c>
      <c r="AE34" s="78" t="s">
        <v>0</v>
      </c>
      <c r="AF34" s="78" t="s">
        <v>0</v>
      </c>
      <c r="AG34" s="78" t="s">
        <v>0</v>
      </c>
      <c r="AH34" s="78" t="s">
        <v>0</v>
      </c>
      <c r="AI34" s="78" t="s">
        <v>0</v>
      </c>
      <c r="AJ34" s="78" t="s">
        <v>0</v>
      </c>
      <c r="AK34" s="78" t="s">
        <v>0</v>
      </c>
      <c r="AL34" s="78" t="s">
        <v>0</v>
      </c>
      <c r="AM34" s="78" t="s">
        <v>0</v>
      </c>
      <c r="AN34" s="78" t="s">
        <v>0</v>
      </c>
      <c r="AO34" s="78" t="s">
        <v>0</v>
      </c>
      <c r="AP34" s="78" t="s">
        <v>0</v>
      </c>
      <c r="AQ34" s="78" t="s">
        <v>0</v>
      </c>
      <c r="AR34" s="78" t="s">
        <v>0</v>
      </c>
      <c r="AS34" s="78" t="s">
        <v>0</v>
      </c>
      <c r="AT34" s="78" t="s">
        <v>0</v>
      </c>
      <c r="AU34" s="78" t="s">
        <v>0</v>
      </c>
      <c r="AV34" s="78" t="s">
        <v>0</v>
      </c>
      <c r="AW34" s="78" t="s">
        <v>0</v>
      </c>
      <c r="AX34" s="78" t="s">
        <v>0</v>
      </c>
      <c r="AY34" s="78" t="s">
        <v>0</v>
      </c>
      <c r="AZ34" s="78" t="s">
        <v>0</v>
      </c>
      <c r="BA34" s="78" t="s">
        <v>0</v>
      </c>
      <c r="BB34" s="78" t="s">
        <v>0</v>
      </c>
      <c r="BC34" s="78" t="s">
        <v>0</v>
      </c>
      <c r="BD34" s="78" t="s">
        <v>0</v>
      </c>
      <c r="BE34" s="78" t="s">
        <v>0</v>
      </c>
      <c r="BF34" s="78" t="s">
        <v>0</v>
      </c>
      <c r="BG34" s="78" t="s">
        <v>0</v>
      </c>
      <c r="BH34" s="78" t="s">
        <v>0</v>
      </c>
      <c r="BI34" s="78" t="s">
        <v>0</v>
      </c>
      <c r="BJ34" s="78" t="s">
        <v>0</v>
      </c>
    </row>
    <row r="35" spans="1:62" ht="12.75">
      <c r="A35" s="710">
        <v>139</v>
      </c>
      <c r="B35" s="44" t="s">
        <v>2134</v>
      </c>
      <c r="C35" s="325">
        <f>MOD(G$1,A35)</f>
        <v>105</v>
      </c>
      <c r="D35" s="82">
        <f>A35-C35</f>
        <v>34</v>
      </c>
      <c r="E35" s="76">
        <f>MOD(G$2,A35)</f>
        <v>111</v>
      </c>
      <c r="F35" s="78" t="s">
        <v>2165</v>
      </c>
      <c r="G35" s="78" t="s">
        <v>0</v>
      </c>
      <c r="H35" s="78" t="s">
        <v>0</v>
      </c>
      <c r="I35" s="78" t="s">
        <v>0</v>
      </c>
      <c r="J35" s="78" t="s">
        <v>0</v>
      </c>
      <c r="K35" s="78" t="s">
        <v>0</v>
      </c>
      <c r="L35" s="78" t="s">
        <v>0</v>
      </c>
      <c r="M35" s="78" t="s">
        <v>0</v>
      </c>
      <c r="N35" s="78" t="s">
        <v>0</v>
      </c>
      <c r="O35" s="78" t="s">
        <v>0</v>
      </c>
      <c r="P35" s="78" t="s">
        <v>0</v>
      </c>
      <c r="Q35" s="78" t="s">
        <v>0</v>
      </c>
      <c r="R35" s="78" t="s">
        <v>0</v>
      </c>
      <c r="S35" s="78" t="s">
        <v>0</v>
      </c>
      <c r="T35" s="78" t="s">
        <v>0</v>
      </c>
      <c r="U35" s="78" t="s">
        <v>0</v>
      </c>
      <c r="V35" s="78" t="s">
        <v>0</v>
      </c>
      <c r="W35" s="78" t="s">
        <v>0</v>
      </c>
      <c r="X35" s="78" t="s">
        <v>0</v>
      </c>
      <c r="Y35" s="78" t="s">
        <v>0</v>
      </c>
      <c r="Z35" s="78" t="s">
        <v>0</v>
      </c>
      <c r="AA35" s="78" t="s">
        <v>0</v>
      </c>
      <c r="AB35" s="78" t="s">
        <v>0</v>
      </c>
      <c r="AC35" s="78" t="s">
        <v>0</v>
      </c>
      <c r="AD35" s="78" t="s">
        <v>0</v>
      </c>
      <c r="AE35" s="78" t="s">
        <v>0</v>
      </c>
      <c r="AF35" s="78" t="s">
        <v>0</v>
      </c>
      <c r="AG35" s="78" t="s">
        <v>0</v>
      </c>
      <c r="AH35" s="78" t="s">
        <v>0</v>
      </c>
      <c r="AI35" s="78" t="s">
        <v>0</v>
      </c>
      <c r="AJ35" s="78" t="s">
        <v>0</v>
      </c>
      <c r="AK35" s="78" t="s">
        <v>0</v>
      </c>
      <c r="AL35" s="78" t="s">
        <v>0</v>
      </c>
      <c r="AM35" s="78" t="s">
        <v>0</v>
      </c>
      <c r="AN35" s="78" t="s">
        <v>0</v>
      </c>
      <c r="AO35" s="78" t="s">
        <v>0</v>
      </c>
      <c r="AP35" s="78" t="s">
        <v>0</v>
      </c>
      <c r="AQ35" s="78" t="s">
        <v>0</v>
      </c>
      <c r="AR35" s="78" t="s">
        <v>0</v>
      </c>
      <c r="AS35" s="78" t="s">
        <v>0</v>
      </c>
      <c r="AT35" s="78" t="s">
        <v>0</v>
      </c>
      <c r="AU35" s="78" t="s">
        <v>0</v>
      </c>
      <c r="AV35" s="78" t="s">
        <v>0</v>
      </c>
      <c r="AW35" s="78" t="s">
        <v>0</v>
      </c>
      <c r="AX35" s="78" t="s">
        <v>0</v>
      </c>
      <c r="AY35" s="78" t="s">
        <v>0</v>
      </c>
      <c r="AZ35" s="78" t="s">
        <v>0</v>
      </c>
      <c r="BA35" s="78" t="s">
        <v>0</v>
      </c>
      <c r="BB35" s="78" t="s">
        <v>0</v>
      </c>
      <c r="BC35" s="78" t="s">
        <v>0</v>
      </c>
      <c r="BD35" s="78" t="s">
        <v>0</v>
      </c>
      <c r="BE35" s="78" t="s">
        <v>0</v>
      </c>
      <c r="BF35" s="78" t="s">
        <v>0</v>
      </c>
      <c r="BG35" s="78" t="s">
        <v>0</v>
      </c>
      <c r="BH35" s="78" t="s">
        <v>0</v>
      </c>
      <c r="BI35" s="78" t="s">
        <v>0</v>
      </c>
      <c r="BJ35" s="78" t="s">
        <v>0</v>
      </c>
    </row>
    <row r="36" spans="1:62" ht="12.75">
      <c r="A36" s="710">
        <v>149</v>
      </c>
      <c r="B36" s="44" t="s">
        <v>2137</v>
      </c>
      <c r="C36" s="325">
        <f>MOD(G$1,A36)</f>
        <v>80</v>
      </c>
      <c r="D36" s="82">
        <f>A36-C36</f>
        <v>69</v>
      </c>
      <c r="E36" s="76">
        <f>MOD(G$2,A36)</f>
        <v>26</v>
      </c>
      <c r="F36" s="78" t="s">
        <v>2184</v>
      </c>
      <c r="G36" s="78" t="s">
        <v>0</v>
      </c>
      <c r="H36" s="78" t="s">
        <v>0</v>
      </c>
      <c r="I36" s="78" t="s">
        <v>0</v>
      </c>
      <c r="J36" s="78" t="s">
        <v>0</v>
      </c>
      <c r="K36" s="78" t="s">
        <v>0</v>
      </c>
      <c r="L36" s="78" t="s">
        <v>0</v>
      </c>
      <c r="M36" s="78" t="s">
        <v>0</v>
      </c>
      <c r="N36" s="78" t="s">
        <v>0</v>
      </c>
      <c r="O36" s="78" t="s">
        <v>0</v>
      </c>
      <c r="P36" s="78" t="s">
        <v>0</v>
      </c>
      <c r="Q36" s="78" t="s">
        <v>0</v>
      </c>
      <c r="R36" s="78" t="s">
        <v>0</v>
      </c>
      <c r="S36" s="78" t="s">
        <v>0</v>
      </c>
      <c r="T36" s="78" t="s">
        <v>0</v>
      </c>
      <c r="U36" s="78" t="s">
        <v>0</v>
      </c>
      <c r="V36" s="78" t="s">
        <v>0</v>
      </c>
      <c r="W36" s="78" t="s">
        <v>0</v>
      </c>
      <c r="X36" s="78" t="s">
        <v>0</v>
      </c>
      <c r="Y36" s="78" t="s">
        <v>0</v>
      </c>
      <c r="Z36" s="78" t="s">
        <v>0</v>
      </c>
      <c r="AA36" s="78" t="s">
        <v>0</v>
      </c>
      <c r="AB36" s="78" t="s">
        <v>0</v>
      </c>
      <c r="AC36" s="78" t="s">
        <v>0</v>
      </c>
      <c r="AD36" s="78" t="s">
        <v>0</v>
      </c>
      <c r="AE36" s="78" t="s">
        <v>0</v>
      </c>
      <c r="AF36" s="78" t="s">
        <v>0</v>
      </c>
      <c r="AG36" s="78" t="s">
        <v>0</v>
      </c>
      <c r="AH36" s="78" t="s">
        <v>0</v>
      </c>
      <c r="AI36" s="78" t="s">
        <v>0</v>
      </c>
      <c r="AJ36" s="78" t="s">
        <v>0</v>
      </c>
      <c r="AK36" s="78" t="s">
        <v>0</v>
      </c>
      <c r="AL36" s="78" t="s">
        <v>0</v>
      </c>
      <c r="AM36" s="78" t="s">
        <v>0</v>
      </c>
      <c r="AN36" s="78" t="s">
        <v>0</v>
      </c>
      <c r="AO36" s="78" t="s">
        <v>0</v>
      </c>
      <c r="AP36" s="78" t="s">
        <v>0</v>
      </c>
      <c r="AQ36" s="78" t="s">
        <v>0</v>
      </c>
      <c r="AR36" s="78" t="s">
        <v>0</v>
      </c>
      <c r="AS36" s="78" t="s">
        <v>0</v>
      </c>
      <c r="AT36" s="78" t="s">
        <v>0</v>
      </c>
      <c r="AU36" s="78" t="s">
        <v>0</v>
      </c>
      <c r="AV36" s="78" t="s">
        <v>0</v>
      </c>
      <c r="AW36" s="78" t="s">
        <v>0</v>
      </c>
      <c r="AX36" s="78" t="s">
        <v>0</v>
      </c>
      <c r="AY36" s="78" t="s">
        <v>0</v>
      </c>
      <c r="AZ36" s="78" t="s">
        <v>0</v>
      </c>
      <c r="BA36" s="78" t="s">
        <v>0</v>
      </c>
      <c r="BB36" s="78" t="s">
        <v>0</v>
      </c>
      <c r="BC36" s="78" t="s">
        <v>0</v>
      </c>
      <c r="BD36" s="78" t="s">
        <v>0</v>
      </c>
      <c r="BE36" s="78" t="s">
        <v>0</v>
      </c>
      <c r="BF36" s="78" t="s">
        <v>0</v>
      </c>
      <c r="BG36" s="78" t="s">
        <v>0</v>
      </c>
      <c r="BH36" s="78" t="s">
        <v>0</v>
      </c>
      <c r="BI36" s="78" t="s">
        <v>0</v>
      </c>
      <c r="BJ36" s="78" t="s">
        <v>0</v>
      </c>
    </row>
    <row r="37" spans="1:62" ht="12.75">
      <c r="A37" s="710">
        <v>151</v>
      </c>
      <c r="B37" s="44" t="s">
        <v>2139</v>
      </c>
      <c r="C37" s="325">
        <f>MOD(G$1,A37)</f>
        <v>85</v>
      </c>
      <c r="D37" s="82">
        <f>A37-C37</f>
        <v>66</v>
      </c>
      <c r="E37" s="76">
        <f>MOD(G$2,A37)</f>
        <v>19</v>
      </c>
      <c r="F37" s="78" t="s">
        <v>2167</v>
      </c>
      <c r="G37" s="78" t="s">
        <v>0</v>
      </c>
      <c r="H37" s="78" t="s">
        <v>0</v>
      </c>
      <c r="I37" s="78" t="s">
        <v>0</v>
      </c>
      <c r="J37" s="78" t="s">
        <v>0</v>
      </c>
      <c r="K37" s="78" t="s">
        <v>0</v>
      </c>
      <c r="L37" s="78" t="s">
        <v>0</v>
      </c>
      <c r="M37" s="78" t="s">
        <v>0</v>
      </c>
      <c r="N37" s="78" t="s">
        <v>0</v>
      </c>
      <c r="O37" s="78" t="s">
        <v>0</v>
      </c>
      <c r="P37" s="78" t="s">
        <v>0</v>
      </c>
      <c r="Q37" s="78" t="s">
        <v>0</v>
      </c>
      <c r="R37" s="78" t="s">
        <v>0</v>
      </c>
      <c r="S37" s="78" t="s">
        <v>0</v>
      </c>
      <c r="T37" s="78" t="s">
        <v>0</v>
      </c>
      <c r="U37" s="78" t="s">
        <v>0</v>
      </c>
      <c r="V37" s="78" t="s">
        <v>0</v>
      </c>
      <c r="W37" s="78" t="s">
        <v>0</v>
      </c>
      <c r="X37" s="78" t="s">
        <v>0</v>
      </c>
      <c r="Y37" s="78" t="s">
        <v>0</v>
      </c>
      <c r="Z37" s="78" t="s">
        <v>0</v>
      </c>
      <c r="AA37" s="78" t="s">
        <v>0</v>
      </c>
      <c r="AB37" s="78" t="s">
        <v>0</v>
      </c>
      <c r="AC37" s="78" t="s">
        <v>0</v>
      </c>
      <c r="AD37" s="78" t="s">
        <v>0</v>
      </c>
      <c r="AE37" s="78" t="s">
        <v>0</v>
      </c>
      <c r="AF37" s="78" t="s">
        <v>0</v>
      </c>
      <c r="AG37" s="78" t="s">
        <v>0</v>
      </c>
      <c r="AH37" s="78" t="s">
        <v>0</v>
      </c>
      <c r="AI37" s="78" t="s">
        <v>0</v>
      </c>
      <c r="AJ37" s="78" t="s">
        <v>0</v>
      </c>
      <c r="AK37" s="78" t="s">
        <v>0</v>
      </c>
      <c r="AL37" s="78" t="s">
        <v>0</v>
      </c>
      <c r="AM37" s="78" t="s">
        <v>0</v>
      </c>
      <c r="AN37" s="78" t="s">
        <v>0</v>
      </c>
      <c r="AO37" s="78" t="s">
        <v>0</v>
      </c>
      <c r="AP37" s="78" t="s">
        <v>0</v>
      </c>
      <c r="AQ37" s="78" t="s">
        <v>0</v>
      </c>
      <c r="AR37" s="78" t="s">
        <v>0</v>
      </c>
      <c r="AS37" s="78" t="s">
        <v>0</v>
      </c>
      <c r="AT37" s="78" t="s">
        <v>0</v>
      </c>
      <c r="AU37" s="78" t="s">
        <v>0</v>
      </c>
      <c r="AV37" s="78" t="s">
        <v>0</v>
      </c>
      <c r="AW37" s="78" t="s">
        <v>0</v>
      </c>
      <c r="AX37" s="78" t="s">
        <v>0</v>
      </c>
      <c r="AY37" s="78" t="s">
        <v>0</v>
      </c>
      <c r="AZ37" s="78" t="s">
        <v>0</v>
      </c>
      <c r="BA37" s="78" t="s">
        <v>0</v>
      </c>
      <c r="BB37" s="78" t="s">
        <v>0</v>
      </c>
      <c r="BC37" s="78" t="s">
        <v>0</v>
      </c>
      <c r="BD37" s="78" t="s">
        <v>0</v>
      </c>
      <c r="BE37" s="78" t="s">
        <v>0</v>
      </c>
      <c r="BF37" s="78" t="s">
        <v>0</v>
      </c>
      <c r="BG37" s="78" t="s">
        <v>0</v>
      </c>
      <c r="BH37" s="78" t="s">
        <v>0</v>
      </c>
      <c r="BI37" s="78" t="s">
        <v>0</v>
      </c>
      <c r="BJ37" s="78" t="s">
        <v>0</v>
      </c>
    </row>
    <row r="38" spans="1:62" ht="12.75">
      <c r="A38" s="710">
        <v>157</v>
      </c>
      <c r="B38" s="44" t="s">
        <v>2141</v>
      </c>
      <c r="C38" s="325">
        <f>MOD(G$1,A38)</f>
        <v>92</v>
      </c>
      <c r="D38" s="82">
        <f>A38-C38</f>
        <v>65</v>
      </c>
      <c r="E38" s="76">
        <f>MOD(G$2,A38)</f>
        <v>147</v>
      </c>
      <c r="F38" s="78" t="s">
        <v>2153</v>
      </c>
      <c r="G38" s="78" t="s">
        <v>0</v>
      </c>
      <c r="H38" s="78" t="s">
        <v>0</v>
      </c>
      <c r="I38" s="78" t="s">
        <v>0</v>
      </c>
      <c r="J38" s="78" t="s">
        <v>0</v>
      </c>
      <c r="K38" s="78" t="s">
        <v>0</v>
      </c>
      <c r="L38" s="78" t="s">
        <v>0</v>
      </c>
      <c r="M38" s="78" t="s">
        <v>0</v>
      </c>
      <c r="N38" s="78" t="s">
        <v>0</v>
      </c>
      <c r="O38" s="78" t="s">
        <v>0</v>
      </c>
      <c r="P38" s="78" t="s">
        <v>0</v>
      </c>
      <c r="Q38" s="78" t="s">
        <v>0</v>
      </c>
      <c r="R38" s="78" t="s">
        <v>0</v>
      </c>
      <c r="S38" s="78" t="s">
        <v>0</v>
      </c>
      <c r="T38" s="78" t="s">
        <v>0</v>
      </c>
      <c r="U38" s="78" t="s">
        <v>0</v>
      </c>
      <c r="V38" s="78" t="s">
        <v>0</v>
      </c>
      <c r="W38" s="78" t="s">
        <v>0</v>
      </c>
      <c r="X38" s="78" t="s">
        <v>0</v>
      </c>
      <c r="Y38" s="78" t="s">
        <v>0</v>
      </c>
      <c r="Z38" s="78" t="s">
        <v>0</v>
      </c>
      <c r="AA38" s="78" t="s">
        <v>0</v>
      </c>
      <c r="AB38" s="78" t="s">
        <v>0</v>
      </c>
      <c r="AC38" s="78" t="s">
        <v>0</v>
      </c>
      <c r="AD38" s="78" t="s">
        <v>0</v>
      </c>
      <c r="AE38" s="78" t="s">
        <v>0</v>
      </c>
      <c r="AF38" s="78" t="s">
        <v>0</v>
      </c>
      <c r="AG38" s="78" t="s">
        <v>0</v>
      </c>
      <c r="AH38" s="78" t="s">
        <v>0</v>
      </c>
      <c r="AI38" s="78" t="s">
        <v>0</v>
      </c>
      <c r="AJ38" s="78" t="s">
        <v>0</v>
      </c>
      <c r="AK38" s="78" t="s">
        <v>0</v>
      </c>
      <c r="AL38" s="78" t="s">
        <v>0</v>
      </c>
      <c r="AM38" s="78" t="s">
        <v>0</v>
      </c>
      <c r="AN38" s="78" t="s">
        <v>0</v>
      </c>
      <c r="AO38" s="78" t="s">
        <v>0</v>
      </c>
      <c r="AP38" s="78" t="s">
        <v>0</v>
      </c>
      <c r="AQ38" s="78" t="s">
        <v>0</v>
      </c>
      <c r="AR38" s="78" t="s">
        <v>0</v>
      </c>
      <c r="AS38" s="78" t="s">
        <v>0</v>
      </c>
      <c r="AT38" s="78" t="s">
        <v>0</v>
      </c>
      <c r="AU38" s="78" t="s">
        <v>0</v>
      </c>
      <c r="AV38" s="78" t="s">
        <v>0</v>
      </c>
      <c r="AW38" s="78" t="s">
        <v>0</v>
      </c>
      <c r="AX38" s="78" t="s">
        <v>0</v>
      </c>
      <c r="AY38" s="78" t="s">
        <v>0</v>
      </c>
      <c r="AZ38" s="78" t="s">
        <v>0</v>
      </c>
      <c r="BA38" s="78" t="s">
        <v>0</v>
      </c>
      <c r="BB38" s="78" t="s">
        <v>0</v>
      </c>
      <c r="BC38" s="78" t="s">
        <v>0</v>
      </c>
      <c r="BD38" s="78" t="s">
        <v>0</v>
      </c>
      <c r="BE38" s="78" t="s">
        <v>0</v>
      </c>
      <c r="BF38" s="78" t="s">
        <v>0</v>
      </c>
      <c r="BG38" s="78" t="s">
        <v>0</v>
      </c>
      <c r="BH38" s="78" t="s">
        <v>0</v>
      </c>
      <c r="BI38" s="78" t="s">
        <v>0</v>
      </c>
      <c r="BJ38" s="78" t="s">
        <v>0</v>
      </c>
    </row>
    <row r="39" spans="1:62" ht="12.75">
      <c r="A39" s="710">
        <v>163</v>
      </c>
      <c r="B39" s="44" t="s">
        <v>2146</v>
      </c>
      <c r="C39" s="325">
        <f>MOD(G$1,A39)</f>
        <v>157</v>
      </c>
      <c r="D39" s="82">
        <f>A39-C39</f>
        <v>6</v>
      </c>
      <c r="E39" s="76">
        <f>MOD(G$2,A39)</f>
        <v>19</v>
      </c>
      <c r="F39" s="78" t="s">
        <v>2174</v>
      </c>
      <c r="G39" s="78" t="s">
        <v>0</v>
      </c>
      <c r="H39" s="78" t="s">
        <v>0</v>
      </c>
      <c r="I39" s="78" t="s">
        <v>0</v>
      </c>
      <c r="J39" s="78" t="s">
        <v>0</v>
      </c>
      <c r="K39" s="78" t="s">
        <v>0</v>
      </c>
      <c r="L39" s="78" t="s">
        <v>0</v>
      </c>
      <c r="M39" s="78" t="s">
        <v>0</v>
      </c>
      <c r="N39" s="78" t="s">
        <v>0</v>
      </c>
      <c r="O39" s="78" t="s">
        <v>0</v>
      </c>
      <c r="P39" s="78" t="s">
        <v>0</v>
      </c>
      <c r="Q39" s="78" t="s">
        <v>0</v>
      </c>
      <c r="R39" s="78" t="s">
        <v>0</v>
      </c>
      <c r="S39" s="78" t="s">
        <v>0</v>
      </c>
      <c r="T39" s="78" t="s">
        <v>0</v>
      </c>
      <c r="U39" s="78" t="s">
        <v>0</v>
      </c>
      <c r="V39" s="78" t="s">
        <v>0</v>
      </c>
      <c r="W39" s="78" t="s">
        <v>0</v>
      </c>
      <c r="X39" s="78" t="s">
        <v>0</v>
      </c>
      <c r="Y39" s="78" t="s">
        <v>0</v>
      </c>
      <c r="Z39" s="78" t="s">
        <v>0</v>
      </c>
      <c r="AA39" s="78" t="s">
        <v>0</v>
      </c>
      <c r="AB39" s="78" t="s">
        <v>0</v>
      </c>
      <c r="AC39" s="78" t="s">
        <v>0</v>
      </c>
      <c r="AD39" s="78" t="s">
        <v>0</v>
      </c>
      <c r="AE39" s="78" t="s">
        <v>0</v>
      </c>
      <c r="AF39" s="78" t="s">
        <v>0</v>
      </c>
      <c r="AG39" s="78" t="s">
        <v>0</v>
      </c>
      <c r="AH39" s="78" t="s">
        <v>0</v>
      </c>
      <c r="AI39" s="78" t="s">
        <v>0</v>
      </c>
      <c r="AJ39" s="78" t="s">
        <v>0</v>
      </c>
      <c r="AK39" s="78" t="s">
        <v>0</v>
      </c>
      <c r="AL39" s="78" t="s">
        <v>0</v>
      </c>
      <c r="AM39" s="78" t="s">
        <v>0</v>
      </c>
      <c r="AN39" s="78" t="s">
        <v>0</v>
      </c>
      <c r="AO39" s="78" t="s">
        <v>0</v>
      </c>
      <c r="AP39" s="78" t="s">
        <v>0</v>
      </c>
      <c r="AQ39" s="78" t="s">
        <v>0</v>
      </c>
      <c r="AR39" s="78" t="s">
        <v>0</v>
      </c>
      <c r="AS39" s="78" t="s">
        <v>0</v>
      </c>
      <c r="AT39" s="78" t="s">
        <v>0</v>
      </c>
      <c r="AU39" s="78" t="s">
        <v>0</v>
      </c>
      <c r="AV39" s="78" t="s">
        <v>0</v>
      </c>
      <c r="AW39" s="78" t="s">
        <v>0</v>
      </c>
      <c r="AX39" s="78" t="s">
        <v>0</v>
      </c>
      <c r="AY39" s="78" t="s">
        <v>0</v>
      </c>
      <c r="AZ39" s="78" t="s">
        <v>0</v>
      </c>
      <c r="BA39" s="78" t="s">
        <v>0</v>
      </c>
      <c r="BB39" s="78" t="s">
        <v>0</v>
      </c>
      <c r="BC39" s="78" t="s">
        <v>0</v>
      </c>
      <c r="BD39" s="78" t="s">
        <v>0</v>
      </c>
      <c r="BE39" s="78" t="s">
        <v>0</v>
      </c>
      <c r="BF39" s="78" t="s">
        <v>0</v>
      </c>
      <c r="BG39" s="78" t="s">
        <v>0</v>
      </c>
      <c r="BH39" s="78" t="s">
        <v>0</v>
      </c>
      <c r="BI39" s="78" t="s">
        <v>0</v>
      </c>
      <c r="BJ39" s="78" t="s">
        <v>0</v>
      </c>
    </row>
    <row r="40" spans="1:62" ht="12.75">
      <c r="A40" s="710">
        <v>167</v>
      </c>
      <c r="B40" s="44" t="s">
        <v>2148</v>
      </c>
      <c r="C40" s="325">
        <f>MOD(G$1,A40)</f>
        <v>139</v>
      </c>
      <c r="D40" s="82">
        <f>A40-C40</f>
        <v>28</v>
      </c>
      <c r="E40" s="76">
        <f>MOD(G$2,A40)</f>
        <v>144</v>
      </c>
      <c r="F40" s="78" t="s">
        <v>2121</v>
      </c>
      <c r="G40" s="78" t="s">
        <v>0</v>
      </c>
      <c r="H40" s="78" t="s">
        <v>0</v>
      </c>
      <c r="I40" s="78" t="s">
        <v>0</v>
      </c>
      <c r="J40" s="78" t="s">
        <v>0</v>
      </c>
      <c r="K40" s="78" t="s">
        <v>0</v>
      </c>
      <c r="L40" s="78" t="s">
        <v>0</v>
      </c>
      <c r="M40" s="78" t="s">
        <v>0</v>
      </c>
      <c r="N40" s="78" t="s">
        <v>0</v>
      </c>
      <c r="O40" s="78" t="s">
        <v>0</v>
      </c>
      <c r="P40" s="78" t="s">
        <v>0</v>
      </c>
      <c r="Q40" s="78" t="s">
        <v>0</v>
      </c>
      <c r="R40" s="78" t="s">
        <v>0</v>
      </c>
      <c r="S40" s="78" t="s">
        <v>0</v>
      </c>
      <c r="T40" s="78" t="s">
        <v>0</v>
      </c>
      <c r="U40" s="78" t="s">
        <v>0</v>
      </c>
      <c r="V40" s="78" t="s">
        <v>0</v>
      </c>
      <c r="W40" s="78" t="s">
        <v>0</v>
      </c>
      <c r="X40" s="78" t="s">
        <v>0</v>
      </c>
      <c r="Y40" s="78" t="s">
        <v>0</v>
      </c>
      <c r="Z40" s="78" t="s">
        <v>0</v>
      </c>
      <c r="AA40" s="78" t="s">
        <v>0</v>
      </c>
      <c r="AB40" s="78" t="s">
        <v>0</v>
      </c>
      <c r="AC40" s="78" t="s">
        <v>0</v>
      </c>
      <c r="AD40" s="78" t="s">
        <v>0</v>
      </c>
      <c r="AE40" s="78" t="s">
        <v>0</v>
      </c>
      <c r="AF40" s="78" t="s">
        <v>0</v>
      </c>
      <c r="AG40" s="78" t="s">
        <v>0</v>
      </c>
      <c r="AH40" s="78" t="s">
        <v>0</v>
      </c>
      <c r="AI40" s="78" t="s">
        <v>0</v>
      </c>
      <c r="AJ40" s="78" t="s">
        <v>0</v>
      </c>
      <c r="AK40" s="78" t="s">
        <v>0</v>
      </c>
      <c r="AL40" s="78" t="s">
        <v>0</v>
      </c>
      <c r="AM40" s="78" t="s">
        <v>0</v>
      </c>
      <c r="AN40" s="78" t="s">
        <v>0</v>
      </c>
      <c r="AO40" s="78" t="s">
        <v>0</v>
      </c>
      <c r="AP40" s="78" t="s">
        <v>0</v>
      </c>
      <c r="AQ40" s="78" t="s">
        <v>0</v>
      </c>
      <c r="AR40" s="78" t="s">
        <v>0</v>
      </c>
      <c r="AS40" s="78" t="s">
        <v>0</v>
      </c>
      <c r="AT40" s="78" t="s">
        <v>0</v>
      </c>
      <c r="AU40" s="78" t="s">
        <v>0</v>
      </c>
      <c r="AV40" s="78" t="s">
        <v>0</v>
      </c>
      <c r="AW40" s="78" t="s">
        <v>0</v>
      </c>
      <c r="AX40" s="78" t="s">
        <v>0</v>
      </c>
      <c r="AY40" s="78" t="s">
        <v>0</v>
      </c>
      <c r="AZ40" s="78" t="s">
        <v>0</v>
      </c>
      <c r="BA40" s="78" t="s">
        <v>0</v>
      </c>
      <c r="BB40" s="78" t="s">
        <v>0</v>
      </c>
      <c r="BC40" s="78" t="s">
        <v>0</v>
      </c>
      <c r="BD40" s="78" t="s">
        <v>0</v>
      </c>
      <c r="BE40" s="78" t="s">
        <v>0</v>
      </c>
      <c r="BF40" s="78" t="s">
        <v>0</v>
      </c>
      <c r="BG40" s="78" t="s">
        <v>0</v>
      </c>
      <c r="BH40" s="78" t="s">
        <v>0</v>
      </c>
      <c r="BI40" s="78" t="s">
        <v>0</v>
      </c>
      <c r="BJ40" s="78" t="s">
        <v>0</v>
      </c>
    </row>
    <row r="41" spans="1:62" ht="12.75">
      <c r="A41" s="710">
        <v>173</v>
      </c>
      <c r="B41" s="44" t="s">
        <v>2151</v>
      </c>
      <c r="C41" s="325">
        <f>MOD(G$1,A41)</f>
        <v>157</v>
      </c>
      <c r="D41" s="82">
        <f>A41-C41</f>
        <v>16</v>
      </c>
      <c r="E41" s="76">
        <f>MOD(G$2,A41)</f>
        <v>132</v>
      </c>
      <c r="F41" s="78" t="s">
        <v>2218</v>
      </c>
      <c r="G41" s="78" t="s">
        <v>0</v>
      </c>
      <c r="H41" s="78" t="s">
        <v>0</v>
      </c>
      <c r="I41" s="78" t="s">
        <v>0</v>
      </c>
      <c r="J41" s="78" t="s">
        <v>0</v>
      </c>
      <c r="K41" s="78" t="s">
        <v>0</v>
      </c>
      <c r="L41" s="78" t="s">
        <v>0</v>
      </c>
      <c r="M41" s="78" t="s">
        <v>0</v>
      </c>
      <c r="N41" s="78" t="s">
        <v>0</v>
      </c>
      <c r="O41" s="78" t="s">
        <v>0</v>
      </c>
      <c r="P41" s="78" t="s">
        <v>0</v>
      </c>
      <c r="Q41" s="78" t="s">
        <v>0</v>
      </c>
      <c r="R41" s="78" t="s">
        <v>0</v>
      </c>
      <c r="S41" s="78" t="s">
        <v>0</v>
      </c>
      <c r="T41" s="78" t="s">
        <v>0</v>
      </c>
      <c r="U41" s="78" t="s">
        <v>0</v>
      </c>
      <c r="V41" s="78" t="s">
        <v>0</v>
      </c>
      <c r="W41" s="78" t="s">
        <v>0</v>
      </c>
      <c r="X41" s="78" t="s">
        <v>0</v>
      </c>
      <c r="Y41" s="78" t="s">
        <v>0</v>
      </c>
      <c r="Z41" s="78" t="s">
        <v>0</v>
      </c>
      <c r="AA41" s="78" t="s">
        <v>0</v>
      </c>
      <c r="AB41" s="78" t="s">
        <v>0</v>
      </c>
      <c r="AC41" s="78" t="s">
        <v>0</v>
      </c>
      <c r="AD41" s="78" t="s">
        <v>0</v>
      </c>
      <c r="AE41" s="78" t="s">
        <v>0</v>
      </c>
      <c r="AF41" s="78" t="s">
        <v>0</v>
      </c>
      <c r="AG41" s="78" t="s">
        <v>0</v>
      </c>
      <c r="AH41" s="78" t="s">
        <v>0</v>
      </c>
      <c r="AI41" s="78" t="s">
        <v>0</v>
      </c>
      <c r="AJ41" s="78" t="s">
        <v>0</v>
      </c>
      <c r="AK41" s="78" t="s">
        <v>0</v>
      </c>
      <c r="AL41" s="78" t="s">
        <v>0</v>
      </c>
      <c r="AM41" s="78" t="s">
        <v>0</v>
      </c>
      <c r="AN41" s="78" t="s">
        <v>0</v>
      </c>
      <c r="AO41" s="78" t="s">
        <v>0</v>
      </c>
      <c r="AP41" s="78" t="s">
        <v>0</v>
      </c>
      <c r="AQ41" s="78" t="s">
        <v>0</v>
      </c>
      <c r="AR41" s="78" t="s">
        <v>0</v>
      </c>
      <c r="AS41" s="78" t="s">
        <v>0</v>
      </c>
      <c r="AT41" s="78" t="s">
        <v>0</v>
      </c>
      <c r="AU41" s="78" t="s">
        <v>0</v>
      </c>
      <c r="AV41" s="78" t="s">
        <v>0</v>
      </c>
      <c r="AW41" s="78" t="s">
        <v>0</v>
      </c>
      <c r="AX41" s="78" t="s">
        <v>0</v>
      </c>
      <c r="AY41" s="78" t="s">
        <v>0</v>
      </c>
      <c r="AZ41" s="78" t="s">
        <v>0</v>
      </c>
      <c r="BA41" s="78" t="s">
        <v>0</v>
      </c>
      <c r="BB41" s="78" t="s">
        <v>0</v>
      </c>
      <c r="BC41" s="78" t="s">
        <v>0</v>
      </c>
      <c r="BD41" s="78" t="s">
        <v>0</v>
      </c>
      <c r="BE41" s="78" t="s">
        <v>0</v>
      </c>
      <c r="BF41" s="78" t="s">
        <v>0</v>
      </c>
      <c r="BG41" s="78" t="s">
        <v>0</v>
      </c>
      <c r="BH41" s="78" t="s">
        <v>0</v>
      </c>
      <c r="BI41" s="78" t="s">
        <v>0</v>
      </c>
      <c r="BJ41" s="78" t="s">
        <v>0</v>
      </c>
    </row>
    <row r="42" spans="1:62" ht="12.75">
      <c r="A42" s="710">
        <v>179</v>
      </c>
      <c r="B42" s="44" t="s">
        <v>2154</v>
      </c>
      <c r="C42" s="325">
        <f>MOD(G$1,A42)</f>
        <v>127</v>
      </c>
      <c r="D42" s="82">
        <f>A42-C42</f>
        <v>52</v>
      </c>
      <c r="E42" s="76">
        <f>MOD(G$2,A42)</f>
        <v>72</v>
      </c>
      <c r="F42" s="78" t="s">
        <v>2222</v>
      </c>
      <c r="G42" s="78" t="s">
        <v>0</v>
      </c>
      <c r="H42" s="78" t="s">
        <v>0</v>
      </c>
      <c r="I42" s="78" t="s">
        <v>0</v>
      </c>
      <c r="J42" s="78" t="s">
        <v>0</v>
      </c>
      <c r="K42" s="78" t="s">
        <v>0</v>
      </c>
      <c r="L42" s="78" t="s">
        <v>0</v>
      </c>
      <c r="M42" s="78" t="s">
        <v>0</v>
      </c>
      <c r="N42" s="78" t="s">
        <v>0</v>
      </c>
      <c r="O42" s="78" t="s">
        <v>0</v>
      </c>
      <c r="P42" s="78" t="s">
        <v>0</v>
      </c>
      <c r="Q42" s="78" t="s">
        <v>0</v>
      </c>
      <c r="R42" s="78" t="s">
        <v>0</v>
      </c>
      <c r="S42" s="78" t="s">
        <v>0</v>
      </c>
      <c r="T42" s="78" t="s">
        <v>0</v>
      </c>
      <c r="U42" s="78" t="s">
        <v>0</v>
      </c>
      <c r="V42" s="78" t="s">
        <v>0</v>
      </c>
      <c r="W42" s="78" t="s">
        <v>0</v>
      </c>
      <c r="X42" s="78" t="s">
        <v>0</v>
      </c>
      <c r="Y42" s="78" t="s">
        <v>0</v>
      </c>
      <c r="Z42" s="78" t="s">
        <v>0</v>
      </c>
      <c r="AA42" s="78" t="s">
        <v>0</v>
      </c>
      <c r="AB42" s="78" t="s">
        <v>0</v>
      </c>
      <c r="AC42" s="78" t="s">
        <v>0</v>
      </c>
      <c r="AD42" s="78" t="s">
        <v>0</v>
      </c>
      <c r="AE42" s="78" t="s">
        <v>0</v>
      </c>
      <c r="AF42" s="78" t="s">
        <v>0</v>
      </c>
      <c r="AG42" s="78" t="s">
        <v>0</v>
      </c>
      <c r="AH42" s="78" t="s">
        <v>0</v>
      </c>
      <c r="AI42" s="78" t="s">
        <v>0</v>
      </c>
      <c r="AJ42" s="78" t="s">
        <v>0</v>
      </c>
      <c r="AK42" s="78" t="s">
        <v>0</v>
      </c>
      <c r="AL42" s="78" t="s">
        <v>0</v>
      </c>
      <c r="AM42" s="78" t="s">
        <v>0</v>
      </c>
      <c r="AN42" s="78" t="s">
        <v>0</v>
      </c>
      <c r="AO42" s="78" t="s">
        <v>0</v>
      </c>
      <c r="AP42" s="78" t="s">
        <v>0</v>
      </c>
      <c r="AQ42" s="78" t="s">
        <v>0</v>
      </c>
      <c r="AR42" s="78" t="s">
        <v>0</v>
      </c>
      <c r="AS42" s="78" t="s">
        <v>0</v>
      </c>
      <c r="AT42" s="78" t="s">
        <v>0</v>
      </c>
      <c r="AU42" s="78" t="s">
        <v>0</v>
      </c>
      <c r="AV42" s="78" t="s">
        <v>0</v>
      </c>
      <c r="AW42" s="78" t="s">
        <v>0</v>
      </c>
      <c r="AX42" s="78" t="s">
        <v>0</v>
      </c>
      <c r="AY42" s="78" t="s">
        <v>0</v>
      </c>
      <c r="AZ42" s="78" t="s">
        <v>0</v>
      </c>
      <c r="BA42" s="78" t="s">
        <v>0</v>
      </c>
      <c r="BB42" s="78" t="s">
        <v>0</v>
      </c>
      <c r="BC42" s="78" t="s">
        <v>0</v>
      </c>
      <c r="BD42" s="78" t="s">
        <v>0</v>
      </c>
      <c r="BE42" s="78" t="s">
        <v>0</v>
      </c>
      <c r="BF42" s="78" t="s">
        <v>0</v>
      </c>
      <c r="BG42" s="78" t="s">
        <v>0</v>
      </c>
      <c r="BH42" s="78" t="s">
        <v>0</v>
      </c>
      <c r="BI42" s="78" t="s">
        <v>0</v>
      </c>
      <c r="BJ42" s="78" t="s">
        <v>0</v>
      </c>
    </row>
    <row r="43" spans="1:62" ht="12.75">
      <c r="A43" s="710">
        <v>181</v>
      </c>
      <c r="B43" s="44" t="s">
        <v>2156</v>
      </c>
      <c r="C43" s="325">
        <f>MOD(G$1,A43)</f>
        <v>31</v>
      </c>
      <c r="D43" s="82">
        <f>A43-C43</f>
        <v>150</v>
      </c>
      <c r="E43" s="76">
        <f>MOD(G$2,A43)</f>
        <v>147</v>
      </c>
      <c r="F43" s="78" t="s">
        <v>2180</v>
      </c>
      <c r="G43" s="78" t="s">
        <v>0</v>
      </c>
      <c r="H43" s="78" t="s">
        <v>0</v>
      </c>
      <c r="I43" s="78" t="s">
        <v>0</v>
      </c>
      <c r="J43" s="78" t="s">
        <v>0</v>
      </c>
      <c r="K43" s="78" t="s">
        <v>0</v>
      </c>
      <c r="L43" s="78" t="s">
        <v>0</v>
      </c>
      <c r="M43" s="78" t="s">
        <v>0</v>
      </c>
      <c r="N43" s="78" t="s">
        <v>0</v>
      </c>
      <c r="O43" s="78" t="s">
        <v>0</v>
      </c>
      <c r="P43" s="78" t="s">
        <v>0</v>
      </c>
      <c r="Q43" s="78" t="s">
        <v>0</v>
      </c>
      <c r="R43" s="78" t="s">
        <v>0</v>
      </c>
      <c r="S43" s="78" t="s">
        <v>0</v>
      </c>
      <c r="T43" s="78" t="s">
        <v>0</v>
      </c>
      <c r="U43" s="78" t="s">
        <v>0</v>
      </c>
      <c r="V43" s="78" t="s">
        <v>0</v>
      </c>
      <c r="W43" s="78" t="s">
        <v>0</v>
      </c>
      <c r="X43" s="78" t="s">
        <v>0</v>
      </c>
      <c r="Y43" s="78" t="s">
        <v>0</v>
      </c>
      <c r="Z43" s="78" t="s">
        <v>0</v>
      </c>
      <c r="AA43" s="78" t="s">
        <v>0</v>
      </c>
      <c r="AB43" s="78" t="s">
        <v>0</v>
      </c>
      <c r="AC43" s="78" t="s">
        <v>0</v>
      </c>
      <c r="AD43" s="78" t="s">
        <v>0</v>
      </c>
      <c r="AE43" s="78" t="s">
        <v>0</v>
      </c>
      <c r="AF43" s="78" t="s">
        <v>0</v>
      </c>
      <c r="AG43" s="78" t="s">
        <v>0</v>
      </c>
      <c r="AH43" s="78" t="s">
        <v>0</v>
      </c>
      <c r="AI43" s="78" t="s">
        <v>0</v>
      </c>
      <c r="AJ43" s="78" t="s">
        <v>0</v>
      </c>
      <c r="AK43" s="78" t="s">
        <v>0</v>
      </c>
      <c r="AL43" s="78" t="s">
        <v>0</v>
      </c>
      <c r="AM43" s="78" t="s">
        <v>0</v>
      </c>
      <c r="AN43" s="78" t="s">
        <v>0</v>
      </c>
      <c r="AO43" s="78" t="s">
        <v>0</v>
      </c>
      <c r="AP43" s="78" t="s">
        <v>0</v>
      </c>
      <c r="AQ43" s="78" t="s">
        <v>0</v>
      </c>
      <c r="AR43" s="78" t="s">
        <v>0</v>
      </c>
      <c r="AS43" s="78" t="s">
        <v>0</v>
      </c>
      <c r="AT43" s="78" t="s">
        <v>0</v>
      </c>
      <c r="AU43" s="78" t="s">
        <v>0</v>
      </c>
      <c r="AV43" s="78" t="s">
        <v>0</v>
      </c>
      <c r="AW43" s="78" t="s">
        <v>0</v>
      </c>
      <c r="AX43" s="78" t="s">
        <v>0</v>
      </c>
      <c r="AY43" s="78" t="s">
        <v>0</v>
      </c>
      <c r="AZ43" s="78" t="s">
        <v>0</v>
      </c>
      <c r="BA43" s="78" t="s">
        <v>0</v>
      </c>
      <c r="BB43" s="78" t="s">
        <v>0</v>
      </c>
      <c r="BC43" s="78" t="s">
        <v>0</v>
      </c>
      <c r="BD43" s="78" t="s">
        <v>0</v>
      </c>
      <c r="BE43" s="78" t="s">
        <v>0</v>
      </c>
      <c r="BF43" s="78" t="s">
        <v>0</v>
      </c>
      <c r="BG43" s="78" t="s">
        <v>0</v>
      </c>
      <c r="BH43" s="78" t="s">
        <v>0</v>
      </c>
      <c r="BI43" s="78" t="s">
        <v>0</v>
      </c>
      <c r="BJ43" s="78" t="s">
        <v>0</v>
      </c>
    </row>
    <row r="44" spans="1:62" ht="12.75">
      <c r="A44" s="710">
        <v>191</v>
      </c>
      <c r="B44" s="44" t="s">
        <v>2159</v>
      </c>
      <c r="C44" s="325">
        <f>MOD(G$1,A44)</f>
        <v>2</v>
      </c>
      <c r="D44" s="82">
        <f>A44-C44</f>
        <v>189</v>
      </c>
      <c r="E44" s="76">
        <f>MOD(G$2,A44)</f>
        <v>78</v>
      </c>
      <c r="F44" s="78" t="s">
        <v>2150</v>
      </c>
      <c r="G44" s="78" t="s">
        <v>0</v>
      </c>
      <c r="H44" s="78" t="s">
        <v>0</v>
      </c>
      <c r="I44" s="78" t="s">
        <v>0</v>
      </c>
      <c r="J44" s="78" t="s">
        <v>0</v>
      </c>
      <c r="K44" s="78" t="s">
        <v>0</v>
      </c>
      <c r="L44" s="78" t="s">
        <v>0</v>
      </c>
      <c r="M44" s="78" t="s">
        <v>0</v>
      </c>
      <c r="N44" s="78" t="s">
        <v>0</v>
      </c>
      <c r="O44" s="78" t="s">
        <v>0</v>
      </c>
      <c r="P44" s="78" t="s">
        <v>0</v>
      </c>
      <c r="Q44" s="78" t="s">
        <v>0</v>
      </c>
      <c r="R44" s="78" t="s">
        <v>0</v>
      </c>
      <c r="S44" s="78" t="s">
        <v>0</v>
      </c>
      <c r="T44" s="78" t="s">
        <v>0</v>
      </c>
      <c r="U44" s="78" t="s">
        <v>0</v>
      </c>
      <c r="V44" s="78" t="s">
        <v>0</v>
      </c>
      <c r="W44" s="78" t="s">
        <v>0</v>
      </c>
      <c r="X44" s="78" t="s">
        <v>0</v>
      </c>
      <c r="Y44" s="78" t="s">
        <v>0</v>
      </c>
      <c r="Z44" s="78" t="s">
        <v>0</v>
      </c>
      <c r="AA44" s="78" t="s">
        <v>0</v>
      </c>
      <c r="AB44" s="78" t="s">
        <v>0</v>
      </c>
      <c r="AC44" s="78" t="s">
        <v>0</v>
      </c>
      <c r="AD44" s="78" t="s">
        <v>0</v>
      </c>
      <c r="AE44" s="78" t="s">
        <v>0</v>
      </c>
      <c r="AF44" s="78" t="s">
        <v>0</v>
      </c>
      <c r="AG44" s="78" t="s">
        <v>0</v>
      </c>
      <c r="AH44" s="78" t="s">
        <v>0</v>
      </c>
      <c r="AI44" s="78" t="s">
        <v>0</v>
      </c>
      <c r="AJ44" s="78" t="s">
        <v>0</v>
      </c>
      <c r="AK44" s="78" t="s">
        <v>0</v>
      </c>
      <c r="AL44" s="78" t="s">
        <v>0</v>
      </c>
      <c r="AM44" s="78" t="s">
        <v>0</v>
      </c>
      <c r="AN44" s="78" t="s">
        <v>0</v>
      </c>
      <c r="AO44" s="78" t="s">
        <v>0</v>
      </c>
      <c r="AP44" s="78" t="s">
        <v>0</v>
      </c>
      <c r="AQ44" s="78" t="s">
        <v>0</v>
      </c>
      <c r="AR44" s="78" t="s">
        <v>0</v>
      </c>
      <c r="AS44" s="78" t="s">
        <v>0</v>
      </c>
      <c r="AT44" s="78" t="s">
        <v>0</v>
      </c>
      <c r="AU44" s="78" t="s">
        <v>0</v>
      </c>
      <c r="AV44" s="78" t="s">
        <v>0</v>
      </c>
      <c r="AW44" s="78" t="s">
        <v>0</v>
      </c>
      <c r="AX44" s="78" t="s">
        <v>0</v>
      </c>
      <c r="AY44" s="78" t="s">
        <v>0</v>
      </c>
      <c r="AZ44" s="78" t="s">
        <v>0</v>
      </c>
      <c r="BA44" s="78" t="s">
        <v>0</v>
      </c>
      <c r="BB44" s="78" t="s">
        <v>0</v>
      </c>
      <c r="BC44" s="78" t="s">
        <v>0</v>
      </c>
      <c r="BD44" s="78" t="s">
        <v>0</v>
      </c>
      <c r="BE44" s="78" t="s">
        <v>0</v>
      </c>
      <c r="BF44" s="78" t="s">
        <v>0</v>
      </c>
      <c r="BG44" s="78" t="s">
        <v>0</v>
      </c>
      <c r="BH44" s="78" t="s">
        <v>0</v>
      </c>
      <c r="BI44" s="78" t="s">
        <v>0</v>
      </c>
      <c r="BJ44" s="78" t="s">
        <v>0</v>
      </c>
    </row>
    <row r="45" spans="1:62" ht="12.75">
      <c r="A45" s="710">
        <v>193</v>
      </c>
      <c r="B45" s="44" t="s">
        <v>2160</v>
      </c>
      <c r="C45" s="325">
        <f>MOD(G$1,A45)</f>
        <v>48</v>
      </c>
      <c r="D45" s="82">
        <f>A45-C45</f>
        <v>145</v>
      </c>
      <c r="E45" s="76">
        <f>MOD(G$2,A45)</f>
        <v>116</v>
      </c>
      <c r="F45" s="78" t="s">
        <v>2114</v>
      </c>
      <c r="G45" s="78" t="s">
        <v>0</v>
      </c>
      <c r="H45" s="78" t="s">
        <v>0</v>
      </c>
      <c r="I45" s="78" t="s">
        <v>0</v>
      </c>
      <c r="J45" s="78" t="s">
        <v>0</v>
      </c>
      <c r="K45" s="78" t="s">
        <v>0</v>
      </c>
      <c r="L45" s="78" t="s">
        <v>0</v>
      </c>
      <c r="M45" s="78" t="s">
        <v>0</v>
      </c>
      <c r="N45" s="78" t="s">
        <v>0</v>
      </c>
      <c r="O45" s="78" t="s">
        <v>0</v>
      </c>
      <c r="P45" s="78" t="s">
        <v>0</v>
      </c>
      <c r="Q45" s="78" t="s">
        <v>0</v>
      </c>
      <c r="R45" s="78" t="s">
        <v>0</v>
      </c>
      <c r="S45" s="78" t="s">
        <v>0</v>
      </c>
      <c r="T45" s="78" t="s">
        <v>0</v>
      </c>
      <c r="U45" s="78" t="s">
        <v>0</v>
      </c>
      <c r="V45" s="78" t="s">
        <v>0</v>
      </c>
      <c r="W45" s="78" t="s">
        <v>0</v>
      </c>
      <c r="X45" s="78" t="s">
        <v>0</v>
      </c>
      <c r="Y45" s="78" t="s">
        <v>0</v>
      </c>
      <c r="Z45" s="78" t="s">
        <v>0</v>
      </c>
      <c r="AA45" s="78" t="s">
        <v>0</v>
      </c>
      <c r="AB45" s="78" t="s">
        <v>0</v>
      </c>
      <c r="AC45" s="78" t="s">
        <v>0</v>
      </c>
      <c r="AD45" s="78" t="s">
        <v>0</v>
      </c>
      <c r="AE45" s="78" t="s">
        <v>0</v>
      </c>
      <c r="AF45" s="78" t="s">
        <v>0</v>
      </c>
      <c r="AG45" s="78" t="s">
        <v>0</v>
      </c>
      <c r="AH45" s="78" t="s">
        <v>0</v>
      </c>
      <c r="AI45" s="78" t="s">
        <v>0</v>
      </c>
      <c r="AJ45" s="78" t="s">
        <v>0</v>
      </c>
      <c r="AK45" s="78" t="s">
        <v>0</v>
      </c>
      <c r="AL45" s="78" t="s">
        <v>0</v>
      </c>
      <c r="AM45" s="78" t="s">
        <v>0</v>
      </c>
      <c r="AN45" s="78" t="s">
        <v>0</v>
      </c>
      <c r="AO45" s="78" t="s">
        <v>0</v>
      </c>
      <c r="AP45" s="78" t="s">
        <v>0</v>
      </c>
      <c r="AQ45" s="78" t="s">
        <v>0</v>
      </c>
      <c r="AR45" s="78" t="s">
        <v>0</v>
      </c>
      <c r="AS45" s="78" t="s">
        <v>0</v>
      </c>
      <c r="AT45" s="78" t="s">
        <v>0</v>
      </c>
      <c r="AU45" s="78" t="s">
        <v>0</v>
      </c>
      <c r="AV45" s="78" t="s">
        <v>0</v>
      </c>
      <c r="AW45" s="78" t="s">
        <v>0</v>
      </c>
      <c r="AX45" s="78" t="s">
        <v>0</v>
      </c>
      <c r="AY45" s="78" t="s">
        <v>0</v>
      </c>
      <c r="AZ45" s="78" t="s">
        <v>0</v>
      </c>
      <c r="BA45" s="78" t="s">
        <v>0</v>
      </c>
      <c r="BB45" s="78" t="s">
        <v>0</v>
      </c>
      <c r="BC45" s="78" t="s">
        <v>0</v>
      </c>
      <c r="BD45" s="78" t="s">
        <v>0</v>
      </c>
      <c r="BE45" s="78" t="s">
        <v>0</v>
      </c>
      <c r="BF45" s="78" t="s">
        <v>0</v>
      </c>
      <c r="BG45" s="78" t="s">
        <v>0</v>
      </c>
      <c r="BH45" s="78" t="s">
        <v>0</v>
      </c>
      <c r="BI45" s="78" t="s">
        <v>0</v>
      </c>
      <c r="BJ45" s="78" t="s">
        <v>0</v>
      </c>
    </row>
    <row r="46" spans="1:62" ht="12.75">
      <c r="A46" s="710">
        <v>197</v>
      </c>
      <c r="B46" s="44" t="s">
        <v>2162</v>
      </c>
      <c r="C46" s="325">
        <f>MOD(G$1,A46)</f>
        <v>195</v>
      </c>
      <c r="D46" s="82">
        <f>A46-C46</f>
        <v>2</v>
      </c>
      <c r="E46" s="76">
        <f>MOD(G$2,A46)</f>
        <v>50</v>
      </c>
      <c r="F46" s="78" t="s">
        <v>2172</v>
      </c>
      <c r="G46" s="78" t="s">
        <v>0</v>
      </c>
      <c r="H46" s="78" t="s">
        <v>0</v>
      </c>
      <c r="I46" s="78" t="s">
        <v>0</v>
      </c>
      <c r="J46" s="78" t="s">
        <v>0</v>
      </c>
      <c r="K46" s="78" t="s">
        <v>0</v>
      </c>
      <c r="L46" s="78" t="s">
        <v>0</v>
      </c>
      <c r="M46" s="78" t="s">
        <v>0</v>
      </c>
      <c r="N46" s="78" t="s">
        <v>0</v>
      </c>
      <c r="O46" s="78" t="s">
        <v>0</v>
      </c>
      <c r="P46" s="78" t="s">
        <v>0</v>
      </c>
      <c r="Q46" s="78" t="s">
        <v>0</v>
      </c>
      <c r="R46" s="78" t="s">
        <v>0</v>
      </c>
      <c r="S46" s="78" t="s">
        <v>0</v>
      </c>
      <c r="T46" s="78" t="s">
        <v>0</v>
      </c>
      <c r="U46" s="78" t="s">
        <v>0</v>
      </c>
      <c r="V46" s="78" t="s">
        <v>0</v>
      </c>
      <c r="W46" s="78" t="s">
        <v>0</v>
      </c>
      <c r="X46" s="78" t="s">
        <v>0</v>
      </c>
      <c r="Y46" s="78" t="s">
        <v>0</v>
      </c>
      <c r="Z46" s="78" t="s">
        <v>0</v>
      </c>
      <c r="AA46" s="78" t="s">
        <v>0</v>
      </c>
      <c r="AB46" s="78" t="s">
        <v>0</v>
      </c>
      <c r="AC46" s="78" t="s">
        <v>0</v>
      </c>
      <c r="AD46" s="78" t="s">
        <v>0</v>
      </c>
      <c r="AE46" s="78" t="s">
        <v>0</v>
      </c>
      <c r="AF46" s="78" t="s">
        <v>0</v>
      </c>
      <c r="AG46" s="78" t="s">
        <v>0</v>
      </c>
      <c r="AH46" s="78" t="s">
        <v>0</v>
      </c>
      <c r="AI46" s="78" t="s">
        <v>0</v>
      </c>
      <c r="AJ46" s="78" t="s">
        <v>0</v>
      </c>
      <c r="AK46" s="78" t="s">
        <v>0</v>
      </c>
      <c r="AL46" s="78" t="s">
        <v>0</v>
      </c>
      <c r="AM46" s="78" t="s">
        <v>0</v>
      </c>
      <c r="AN46" s="78" t="s">
        <v>0</v>
      </c>
      <c r="AO46" s="78" t="s">
        <v>0</v>
      </c>
      <c r="AP46" s="78" t="s">
        <v>0</v>
      </c>
      <c r="AQ46" s="78" t="s">
        <v>0</v>
      </c>
      <c r="AR46" s="78" t="s">
        <v>0</v>
      </c>
      <c r="AS46" s="78" t="s">
        <v>0</v>
      </c>
      <c r="AT46" s="78" t="s">
        <v>0</v>
      </c>
      <c r="AU46" s="78" t="s">
        <v>0</v>
      </c>
      <c r="AV46" s="78" t="s">
        <v>0</v>
      </c>
      <c r="AW46" s="78" t="s">
        <v>0</v>
      </c>
      <c r="AX46" s="78" t="s">
        <v>0</v>
      </c>
      <c r="AY46" s="78" t="s">
        <v>0</v>
      </c>
      <c r="AZ46" s="78" t="s">
        <v>0</v>
      </c>
      <c r="BA46" s="78" t="s">
        <v>0</v>
      </c>
      <c r="BB46" s="78" t="s">
        <v>0</v>
      </c>
      <c r="BC46" s="78" t="s">
        <v>0</v>
      </c>
      <c r="BD46" s="78" t="s">
        <v>0</v>
      </c>
      <c r="BE46" s="78" t="s">
        <v>0</v>
      </c>
      <c r="BF46" s="78" t="s">
        <v>0</v>
      </c>
      <c r="BG46" s="78" t="s">
        <v>0</v>
      </c>
      <c r="BH46" s="78" t="s">
        <v>0</v>
      </c>
      <c r="BI46" s="78" t="s">
        <v>0</v>
      </c>
      <c r="BJ46" s="78" t="s">
        <v>0</v>
      </c>
    </row>
    <row r="47" spans="1:62" ht="12.75">
      <c r="A47" s="710">
        <v>199</v>
      </c>
      <c r="B47" s="44" t="s">
        <v>2163</v>
      </c>
      <c r="C47" s="325">
        <f>MOD(G$1,A47)</f>
        <v>44</v>
      </c>
      <c r="D47" s="82">
        <f>A47-C47</f>
        <v>155</v>
      </c>
      <c r="E47" s="76">
        <f>MOD(G$2,A47)</f>
        <v>88</v>
      </c>
      <c r="F47" s="78" t="s">
        <v>2142</v>
      </c>
      <c r="G47" s="78" t="s">
        <v>0</v>
      </c>
      <c r="H47" s="78" t="s">
        <v>0</v>
      </c>
      <c r="I47" s="78" t="s">
        <v>0</v>
      </c>
      <c r="J47" s="78" t="s">
        <v>0</v>
      </c>
      <c r="K47" s="78" t="s">
        <v>0</v>
      </c>
      <c r="L47" s="78" t="s">
        <v>0</v>
      </c>
      <c r="M47" s="78" t="s">
        <v>0</v>
      </c>
      <c r="N47" s="78" t="s">
        <v>0</v>
      </c>
      <c r="O47" s="78" t="s">
        <v>0</v>
      </c>
      <c r="P47" s="78" t="s">
        <v>0</v>
      </c>
      <c r="Q47" s="78" t="s">
        <v>0</v>
      </c>
      <c r="R47" s="78" t="s">
        <v>0</v>
      </c>
      <c r="S47" s="78" t="s">
        <v>0</v>
      </c>
      <c r="T47" s="78" t="s">
        <v>0</v>
      </c>
      <c r="U47" s="78" t="s">
        <v>0</v>
      </c>
      <c r="V47" s="78" t="s">
        <v>0</v>
      </c>
      <c r="W47" s="78" t="s">
        <v>0</v>
      </c>
      <c r="X47" s="78" t="s">
        <v>0</v>
      </c>
      <c r="Y47" s="78" t="s">
        <v>0</v>
      </c>
      <c r="Z47" s="78" t="s">
        <v>0</v>
      </c>
      <c r="AA47" s="78" t="s">
        <v>0</v>
      </c>
      <c r="AB47" s="78" t="s">
        <v>0</v>
      </c>
      <c r="AC47" s="78" t="s">
        <v>0</v>
      </c>
      <c r="AD47" s="78" t="s">
        <v>0</v>
      </c>
      <c r="AE47" s="78" t="s">
        <v>0</v>
      </c>
      <c r="AF47" s="78" t="s">
        <v>0</v>
      </c>
      <c r="AG47" s="78" t="s">
        <v>0</v>
      </c>
      <c r="AH47" s="78" t="s">
        <v>0</v>
      </c>
      <c r="AI47" s="78" t="s">
        <v>0</v>
      </c>
      <c r="AJ47" s="78" t="s">
        <v>0</v>
      </c>
      <c r="AK47" s="78" t="s">
        <v>0</v>
      </c>
      <c r="AL47" s="78" t="s">
        <v>0</v>
      </c>
      <c r="AM47" s="78" t="s">
        <v>0</v>
      </c>
      <c r="AN47" s="78" t="s">
        <v>0</v>
      </c>
      <c r="AO47" s="78" t="s">
        <v>0</v>
      </c>
      <c r="AP47" s="78" t="s">
        <v>0</v>
      </c>
      <c r="AQ47" s="78" t="s">
        <v>0</v>
      </c>
      <c r="AR47" s="78" t="s">
        <v>0</v>
      </c>
      <c r="AS47" s="78" t="s">
        <v>0</v>
      </c>
      <c r="AT47" s="78" t="s">
        <v>0</v>
      </c>
      <c r="AU47" s="78" t="s">
        <v>0</v>
      </c>
      <c r="AV47" s="78" t="s">
        <v>0</v>
      </c>
      <c r="AW47" s="78" t="s">
        <v>0</v>
      </c>
      <c r="AX47" s="78" t="s">
        <v>0</v>
      </c>
      <c r="AY47" s="78" t="s">
        <v>0</v>
      </c>
      <c r="AZ47" s="78" t="s">
        <v>0</v>
      </c>
      <c r="BA47" s="78" t="s">
        <v>0</v>
      </c>
      <c r="BB47" s="78" t="s">
        <v>0</v>
      </c>
      <c r="BC47" s="78" t="s">
        <v>0</v>
      </c>
      <c r="BD47" s="78" t="s">
        <v>0</v>
      </c>
      <c r="BE47" s="78" t="s">
        <v>0</v>
      </c>
      <c r="BF47" s="78" t="s">
        <v>0</v>
      </c>
      <c r="BG47" s="78" t="s">
        <v>0</v>
      </c>
      <c r="BH47" s="78" t="s">
        <v>0</v>
      </c>
      <c r="BI47" s="78" t="s">
        <v>0</v>
      </c>
      <c r="BJ47" s="78" t="s">
        <v>0</v>
      </c>
    </row>
    <row r="48" spans="1:62" ht="12.75">
      <c r="A48" s="710">
        <v>211</v>
      </c>
      <c r="B48" s="44" t="s">
        <v>2169</v>
      </c>
      <c r="C48" s="325">
        <f>MOD(G$1,A48)</f>
        <v>183</v>
      </c>
      <c r="D48" s="82">
        <f>A48-C48</f>
        <v>28</v>
      </c>
      <c r="E48" s="76">
        <f>MOD(G$2,A48)</f>
        <v>179</v>
      </c>
      <c r="F48" s="78" t="s">
        <v>2100</v>
      </c>
      <c r="G48" s="78" t="s">
        <v>0</v>
      </c>
      <c r="H48" s="78" t="s">
        <v>0</v>
      </c>
      <c r="I48" s="78" t="s">
        <v>0</v>
      </c>
      <c r="J48" s="78" t="s">
        <v>0</v>
      </c>
      <c r="K48" s="78" t="s">
        <v>0</v>
      </c>
      <c r="L48" s="78" t="s">
        <v>0</v>
      </c>
      <c r="M48" s="78" t="s">
        <v>0</v>
      </c>
      <c r="N48" s="78" t="s">
        <v>0</v>
      </c>
      <c r="O48" s="78" t="s">
        <v>0</v>
      </c>
      <c r="P48" s="78" t="s">
        <v>0</v>
      </c>
      <c r="Q48" s="78" t="s">
        <v>0</v>
      </c>
      <c r="R48" s="78" t="s">
        <v>0</v>
      </c>
      <c r="S48" s="78" t="s">
        <v>0</v>
      </c>
      <c r="T48" s="78" t="s">
        <v>0</v>
      </c>
      <c r="U48" s="78" t="s">
        <v>0</v>
      </c>
      <c r="V48" s="78" t="s">
        <v>0</v>
      </c>
      <c r="W48" s="78" t="s">
        <v>0</v>
      </c>
      <c r="X48" s="78" t="s">
        <v>0</v>
      </c>
      <c r="Y48" s="78" t="s">
        <v>0</v>
      </c>
      <c r="Z48" s="78" t="s">
        <v>0</v>
      </c>
      <c r="AA48" s="78" t="s">
        <v>0</v>
      </c>
      <c r="AB48" s="78" t="s">
        <v>0</v>
      </c>
      <c r="AC48" s="78" t="s">
        <v>0</v>
      </c>
      <c r="AD48" s="78" t="s">
        <v>0</v>
      </c>
      <c r="AE48" s="78" t="s">
        <v>0</v>
      </c>
      <c r="AF48" s="78" t="s">
        <v>0</v>
      </c>
      <c r="AG48" s="78" t="s">
        <v>0</v>
      </c>
      <c r="AH48" s="78" t="s">
        <v>0</v>
      </c>
      <c r="AI48" s="78" t="s">
        <v>0</v>
      </c>
      <c r="AJ48" s="78" t="s">
        <v>0</v>
      </c>
      <c r="AK48" s="78" t="s">
        <v>0</v>
      </c>
      <c r="AL48" s="78" t="s">
        <v>0</v>
      </c>
      <c r="AM48" s="78" t="s">
        <v>0</v>
      </c>
      <c r="AN48" s="78" t="s">
        <v>0</v>
      </c>
      <c r="AO48" s="78" t="s">
        <v>0</v>
      </c>
      <c r="AP48" s="78" t="s">
        <v>0</v>
      </c>
      <c r="AQ48" s="78" t="s">
        <v>0</v>
      </c>
      <c r="AR48" s="78" t="s">
        <v>0</v>
      </c>
      <c r="AS48" s="78" t="s">
        <v>0</v>
      </c>
      <c r="AT48" s="78" t="s">
        <v>0</v>
      </c>
      <c r="AU48" s="78" t="s">
        <v>0</v>
      </c>
      <c r="AV48" s="78" t="s">
        <v>0</v>
      </c>
      <c r="AW48" s="78" t="s">
        <v>0</v>
      </c>
      <c r="AX48" s="78" t="s">
        <v>0</v>
      </c>
      <c r="AY48" s="78" t="s">
        <v>0</v>
      </c>
      <c r="AZ48" s="78" t="s">
        <v>0</v>
      </c>
      <c r="BA48" s="78" t="s">
        <v>0</v>
      </c>
      <c r="BB48" s="78" t="s">
        <v>0</v>
      </c>
      <c r="BC48" s="78" t="s">
        <v>0</v>
      </c>
      <c r="BD48" s="78" t="s">
        <v>0</v>
      </c>
      <c r="BE48" s="78" t="s">
        <v>0</v>
      </c>
      <c r="BF48" s="78" t="s">
        <v>0</v>
      </c>
      <c r="BG48" s="78" t="s">
        <v>0</v>
      </c>
      <c r="BH48" s="78" t="s">
        <v>0</v>
      </c>
      <c r="BI48" s="78" t="s">
        <v>0</v>
      </c>
      <c r="BJ48" s="78" t="s">
        <v>0</v>
      </c>
    </row>
    <row r="49" spans="1:62" ht="12.75">
      <c r="A49" s="710">
        <v>223</v>
      </c>
      <c r="B49" s="44" t="s">
        <v>2175</v>
      </c>
      <c r="C49" s="325">
        <f>MOD(G$1,A49)</f>
        <v>10</v>
      </c>
      <c r="D49" s="82">
        <f>A49-C49</f>
        <v>213</v>
      </c>
      <c r="E49" s="76">
        <f>MOD(G$2,A49)</f>
        <v>181</v>
      </c>
      <c r="F49" s="78" t="s">
        <v>2126</v>
      </c>
      <c r="G49" s="78" t="s">
        <v>0</v>
      </c>
      <c r="H49" s="78" t="s">
        <v>0</v>
      </c>
      <c r="I49" s="78" t="s">
        <v>0</v>
      </c>
      <c r="J49" s="78" t="s">
        <v>0</v>
      </c>
      <c r="K49" s="78" t="s">
        <v>0</v>
      </c>
      <c r="L49" s="78" t="s">
        <v>0</v>
      </c>
      <c r="M49" s="78" t="s">
        <v>0</v>
      </c>
      <c r="N49" s="78" t="s">
        <v>0</v>
      </c>
      <c r="O49" s="78" t="s">
        <v>0</v>
      </c>
      <c r="P49" s="78" t="s">
        <v>0</v>
      </c>
      <c r="Q49" s="78" t="s">
        <v>0</v>
      </c>
      <c r="R49" s="78" t="s">
        <v>0</v>
      </c>
      <c r="S49" s="78" t="s">
        <v>0</v>
      </c>
      <c r="T49" s="78" t="s">
        <v>0</v>
      </c>
      <c r="U49" s="78" t="s">
        <v>0</v>
      </c>
      <c r="V49" s="78" t="s">
        <v>0</v>
      </c>
      <c r="W49" s="78" t="s">
        <v>0</v>
      </c>
      <c r="X49" s="78" t="s">
        <v>0</v>
      </c>
      <c r="Y49" s="78" t="s">
        <v>0</v>
      </c>
      <c r="Z49" s="78" t="s">
        <v>0</v>
      </c>
      <c r="AA49" s="78" t="s">
        <v>0</v>
      </c>
      <c r="AB49" s="78" t="s">
        <v>0</v>
      </c>
      <c r="AC49" s="78" t="s">
        <v>0</v>
      </c>
      <c r="AD49" s="78" t="s">
        <v>0</v>
      </c>
      <c r="AE49" s="78" t="s">
        <v>0</v>
      </c>
      <c r="AF49" s="78" t="s">
        <v>0</v>
      </c>
      <c r="AG49" s="78" t="s">
        <v>0</v>
      </c>
      <c r="AH49" s="78" t="s">
        <v>0</v>
      </c>
      <c r="AI49" s="78" t="s">
        <v>0</v>
      </c>
      <c r="AJ49" s="78" t="s">
        <v>0</v>
      </c>
      <c r="AK49" s="78" t="s">
        <v>0</v>
      </c>
      <c r="AL49" s="78" t="s">
        <v>0</v>
      </c>
      <c r="AM49" s="78" t="s">
        <v>0</v>
      </c>
      <c r="AN49" s="78" t="s">
        <v>0</v>
      </c>
      <c r="AO49" s="78" t="s">
        <v>0</v>
      </c>
      <c r="AP49" s="78" t="s">
        <v>0</v>
      </c>
      <c r="AQ49" s="78" t="s">
        <v>0</v>
      </c>
      <c r="AR49" s="78" t="s">
        <v>0</v>
      </c>
      <c r="AS49" s="78" t="s">
        <v>0</v>
      </c>
      <c r="AT49" s="78" t="s">
        <v>0</v>
      </c>
      <c r="AU49" s="78" t="s">
        <v>0</v>
      </c>
      <c r="AV49" s="78" t="s">
        <v>0</v>
      </c>
      <c r="AW49" s="78" t="s">
        <v>0</v>
      </c>
      <c r="AX49" s="78" t="s">
        <v>0</v>
      </c>
      <c r="AY49" s="78" t="s">
        <v>0</v>
      </c>
      <c r="AZ49" s="78" t="s">
        <v>0</v>
      </c>
      <c r="BA49" s="78" t="s">
        <v>0</v>
      </c>
      <c r="BB49" s="78" t="s">
        <v>0</v>
      </c>
      <c r="BC49" s="78" t="s">
        <v>0</v>
      </c>
      <c r="BD49" s="78" t="s">
        <v>0</v>
      </c>
      <c r="BE49" s="78" t="s">
        <v>0</v>
      </c>
      <c r="BF49" s="78" t="s">
        <v>0</v>
      </c>
      <c r="BG49" s="78" t="s">
        <v>0</v>
      </c>
      <c r="BH49" s="78" t="s">
        <v>0</v>
      </c>
      <c r="BI49" s="78" t="s">
        <v>0</v>
      </c>
      <c r="BJ49" s="78" t="s">
        <v>0</v>
      </c>
    </row>
    <row r="50" spans="1:62" ht="12.75">
      <c r="A50" s="710">
        <v>227</v>
      </c>
      <c r="B50" s="44" t="s">
        <v>2176</v>
      </c>
      <c r="C50" s="325">
        <f>MOD(G$1,A50)</f>
        <v>118</v>
      </c>
      <c r="D50" s="82">
        <f>A50-C50</f>
        <v>109</v>
      </c>
      <c r="E50" s="76">
        <f>MOD(G$2,A50)</f>
        <v>50</v>
      </c>
      <c r="F50" s="78" t="s">
        <v>2245</v>
      </c>
      <c r="G50" s="78" t="s">
        <v>0</v>
      </c>
      <c r="H50" s="78" t="s">
        <v>0</v>
      </c>
      <c r="I50" s="78" t="s">
        <v>0</v>
      </c>
      <c r="J50" s="78" t="s">
        <v>0</v>
      </c>
      <c r="K50" s="78" t="s">
        <v>0</v>
      </c>
      <c r="L50" s="78" t="s">
        <v>0</v>
      </c>
      <c r="M50" s="78" t="s">
        <v>0</v>
      </c>
      <c r="N50" s="78" t="s">
        <v>0</v>
      </c>
      <c r="O50" s="78" t="s">
        <v>0</v>
      </c>
      <c r="P50" s="78" t="s">
        <v>0</v>
      </c>
      <c r="Q50" s="78" t="s">
        <v>0</v>
      </c>
      <c r="R50" s="78" t="s">
        <v>0</v>
      </c>
      <c r="S50" s="78" t="s">
        <v>0</v>
      </c>
      <c r="T50" s="78" t="s">
        <v>0</v>
      </c>
      <c r="U50" s="78" t="s">
        <v>0</v>
      </c>
      <c r="V50" s="78" t="s">
        <v>0</v>
      </c>
      <c r="W50" s="78" t="s">
        <v>0</v>
      </c>
      <c r="X50" s="78" t="s">
        <v>0</v>
      </c>
      <c r="Y50" s="78" t="s">
        <v>0</v>
      </c>
      <c r="Z50" s="78" t="s">
        <v>0</v>
      </c>
      <c r="AA50" s="78" t="s">
        <v>0</v>
      </c>
      <c r="AB50" s="78" t="s">
        <v>0</v>
      </c>
      <c r="AC50" s="78" t="s">
        <v>0</v>
      </c>
      <c r="AD50" s="78" t="s">
        <v>0</v>
      </c>
      <c r="AE50" s="78" t="s">
        <v>0</v>
      </c>
      <c r="AF50" s="78" t="s">
        <v>0</v>
      </c>
      <c r="AG50" s="78" t="s">
        <v>0</v>
      </c>
      <c r="AH50" s="78" t="s">
        <v>0</v>
      </c>
      <c r="AI50" s="78" t="s">
        <v>0</v>
      </c>
      <c r="AJ50" s="78" t="s">
        <v>0</v>
      </c>
      <c r="AK50" s="78" t="s">
        <v>0</v>
      </c>
      <c r="AL50" s="78" t="s">
        <v>0</v>
      </c>
      <c r="AM50" s="78" t="s">
        <v>0</v>
      </c>
      <c r="AN50" s="78" t="s">
        <v>0</v>
      </c>
      <c r="AO50" s="78" t="s">
        <v>0</v>
      </c>
      <c r="AP50" s="78" t="s">
        <v>0</v>
      </c>
      <c r="AQ50" s="78" t="s">
        <v>0</v>
      </c>
      <c r="AR50" s="78" t="s">
        <v>0</v>
      </c>
      <c r="AS50" s="78" t="s">
        <v>0</v>
      </c>
      <c r="AT50" s="78" t="s">
        <v>0</v>
      </c>
      <c r="AU50" s="78" t="s">
        <v>0</v>
      </c>
      <c r="AV50" s="78" t="s">
        <v>0</v>
      </c>
      <c r="AW50" s="78" t="s">
        <v>0</v>
      </c>
      <c r="AX50" s="78" t="s">
        <v>0</v>
      </c>
      <c r="AY50" s="78" t="s">
        <v>0</v>
      </c>
      <c r="AZ50" s="78" t="s">
        <v>0</v>
      </c>
      <c r="BA50" s="78" t="s">
        <v>0</v>
      </c>
      <c r="BB50" s="78" t="s">
        <v>0</v>
      </c>
      <c r="BC50" s="78" t="s">
        <v>0</v>
      </c>
      <c r="BD50" s="78" t="s">
        <v>0</v>
      </c>
      <c r="BE50" s="78" t="s">
        <v>0</v>
      </c>
      <c r="BF50" s="78" t="s">
        <v>0</v>
      </c>
      <c r="BG50" s="78" t="s">
        <v>0</v>
      </c>
      <c r="BH50" s="78" t="s">
        <v>0</v>
      </c>
      <c r="BI50" s="78" t="s">
        <v>0</v>
      </c>
      <c r="BJ50" s="78" t="s">
        <v>0</v>
      </c>
    </row>
    <row r="51" spans="1:62" ht="12.75">
      <c r="A51" s="710">
        <v>229</v>
      </c>
      <c r="B51" s="44" t="s">
        <v>2177</v>
      </c>
      <c r="C51" s="325">
        <f>MOD(G$1,A51)</f>
        <v>222</v>
      </c>
      <c r="D51" s="82">
        <f>A51-C51</f>
        <v>7</v>
      </c>
      <c r="E51" s="76">
        <f>MOD(G$2,A51)</f>
        <v>146</v>
      </c>
      <c r="F51" s="78" t="s">
        <v>2207</v>
      </c>
      <c r="G51" s="78" t="s">
        <v>0</v>
      </c>
      <c r="H51" s="78" t="s">
        <v>0</v>
      </c>
      <c r="I51" s="78" t="s">
        <v>0</v>
      </c>
      <c r="J51" s="78" t="s">
        <v>0</v>
      </c>
      <c r="K51" s="78" t="s">
        <v>0</v>
      </c>
      <c r="L51" s="78" t="s">
        <v>0</v>
      </c>
      <c r="M51" s="78" t="s">
        <v>0</v>
      </c>
      <c r="N51" s="78" t="s">
        <v>0</v>
      </c>
      <c r="O51" s="78" t="s">
        <v>0</v>
      </c>
      <c r="P51" s="78" t="s">
        <v>0</v>
      </c>
      <c r="Q51" s="78" t="s">
        <v>0</v>
      </c>
      <c r="R51" s="78" t="s">
        <v>0</v>
      </c>
      <c r="S51" s="78" t="s">
        <v>0</v>
      </c>
      <c r="T51" s="78" t="s">
        <v>0</v>
      </c>
      <c r="U51" s="78" t="s">
        <v>0</v>
      </c>
      <c r="V51" s="78" t="s">
        <v>0</v>
      </c>
      <c r="W51" s="78" t="s">
        <v>0</v>
      </c>
      <c r="X51" s="78" t="s">
        <v>0</v>
      </c>
      <c r="Y51" s="78" t="s">
        <v>0</v>
      </c>
      <c r="Z51" s="78" t="s">
        <v>0</v>
      </c>
      <c r="AA51" s="78" t="s">
        <v>0</v>
      </c>
      <c r="AB51" s="78" t="s">
        <v>0</v>
      </c>
      <c r="AC51" s="78" t="s">
        <v>0</v>
      </c>
      <c r="AD51" s="78" t="s">
        <v>0</v>
      </c>
      <c r="AE51" s="78" t="s">
        <v>0</v>
      </c>
      <c r="AF51" s="78" t="s">
        <v>0</v>
      </c>
      <c r="AG51" s="78" t="s">
        <v>0</v>
      </c>
      <c r="AH51" s="78" t="s">
        <v>0</v>
      </c>
      <c r="AI51" s="78" t="s">
        <v>0</v>
      </c>
      <c r="AJ51" s="78" t="s">
        <v>0</v>
      </c>
      <c r="AK51" s="78" t="s">
        <v>0</v>
      </c>
      <c r="AL51" s="78" t="s">
        <v>0</v>
      </c>
      <c r="AM51" s="78" t="s">
        <v>0</v>
      </c>
      <c r="AN51" s="78" t="s">
        <v>0</v>
      </c>
      <c r="AO51" s="78" t="s">
        <v>0</v>
      </c>
      <c r="AP51" s="78" t="s">
        <v>0</v>
      </c>
      <c r="AQ51" s="78" t="s">
        <v>0</v>
      </c>
      <c r="AR51" s="78" t="s">
        <v>0</v>
      </c>
      <c r="AS51" s="78" t="s">
        <v>0</v>
      </c>
      <c r="AT51" s="78" t="s">
        <v>0</v>
      </c>
      <c r="AU51" s="78" t="s">
        <v>0</v>
      </c>
      <c r="AV51" s="78" t="s">
        <v>0</v>
      </c>
      <c r="AW51" s="78" t="s">
        <v>0</v>
      </c>
      <c r="AX51" s="78" t="s">
        <v>0</v>
      </c>
      <c r="AY51" s="78" t="s">
        <v>0</v>
      </c>
      <c r="AZ51" s="78" t="s">
        <v>0</v>
      </c>
      <c r="BA51" s="78" t="s">
        <v>0</v>
      </c>
      <c r="BB51" s="78" t="s">
        <v>0</v>
      </c>
      <c r="BC51" s="78" t="s">
        <v>0</v>
      </c>
      <c r="BD51" s="78" t="s">
        <v>0</v>
      </c>
      <c r="BE51" s="78" t="s">
        <v>0</v>
      </c>
      <c r="BF51" s="78" t="s">
        <v>0</v>
      </c>
      <c r="BG51" s="78" t="s">
        <v>0</v>
      </c>
      <c r="BH51" s="78" t="s">
        <v>0</v>
      </c>
      <c r="BI51" s="78" t="s">
        <v>0</v>
      </c>
      <c r="BJ51" s="78" t="s">
        <v>0</v>
      </c>
    </row>
    <row r="52" spans="1:62" ht="12.75">
      <c r="A52" s="710">
        <v>233</v>
      </c>
      <c r="B52" s="44" t="s">
        <v>2179</v>
      </c>
      <c r="C52" s="325">
        <f>MOD(G$1,A52)</f>
        <v>64</v>
      </c>
      <c r="D52" s="82">
        <f>A52-C52</f>
        <v>169</v>
      </c>
      <c r="E52" s="76">
        <f>MOD(G$2,A52)</f>
        <v>205</v>
      </c>
      <c r="F52" s="78" t="s">
        <v>2096</v>
      </c>
      <c r="G52" s="78" t="s">
        <v>0</v>
      </c>
      <c r="H52" s="78" t="s">
        <v>0</v>
      </c>
      <c r="I52" s="78" t="s">
        <v>0</v>
      </c>
      <c r="J52" s="78" t="s">
        <v>0</v>
      </c>
      <c r="K52" s="78" t="s">
        <v>0</v>
      </c>
      <c r="L52" s="78" t="s">
        <v>0</v>
      </c>
      <c r="M52" s="78" t="s">
        <v>0</v>
      </c>
      <c r="N52" s="78" t="s">
        <v>0</v>
      </c>
      <c r="O52" s="78" t="s">
        <v>0</v>
      </c>
      <c r="P52" s="78" t="s">
        <v>0</v>
      </c>
      <c r="Q52" s="78" t="s">
        <v>0</v>
      </c>
      <c r="R52" s="78" t="s">
        <v>0</v>
      </c>
      <c r="S52" s="78" t="s">
        <v>0</v>
      </c>
      <c r="T52" s="78" t="s">
        <v>0</v>
      </c>
      <c r="U52" s="78" t="s">
        <v>0</v>
      </c>
      <c r="V52" s="78" t="s">
        <v>0</v>
      </c>
      <c r="W52" s="78" t="s">
        <v>0</v>
      </c>
      <c r="X52" s="78" t="s">
        <v>0</v>
      </c>
      <c r="Y52" s="78" t="s">
        <v>0</v>
      </c>
      <c r="Z52" s="78" t="s">
        <v>0</v>
      </c>
      <c r="AA52" s="78" t="s">
        <v>0</v>
      </c>
      <c r="AB52" s="78" t="s">
        <v>0</v>
      </c>
      <c r="AC52" s="78" t="s">
        <v>0</v>
      </c>
      <c r="AD52" s="78" t="s">
        <v>0</v>
      </c>
      <c r="AE52" s="78" t="s">
        <v>0</v>
      </c>
      <c r="AF52" s="78" t="s">
        <v>0</v>
      </c>
      <c r="AG52" s="78" t="s">
        <v>0</v>
      </c>
      <c r="AH52" s="78" t="s">
        <v>0</v>
      </c>
      <c r="AI52" s="78" t="s">
        <v>0</v>
      </c>
      <c r="AJ52" s="78" t="s">
        <v>0</v>
      </c>
      <c r="AK52" s="78" t="s">
        <v>0</v>
      </c>
      <c r="AL52" s="78" t="s">
        <v>0</v>
      </c>
      <c r="AM52" s="78" t="s">
        <v>0</v>
      </c>
      <c r="AN52" s="78" t="s">
        <v>0</v>
      </c>
      <c r="AO52" s="78" t="s">
        <v>0</v>
      </c>
      <c r="AP52" s="78" t="s">
        <v>0</v>
      </c>
      <c r="AQ52" s="78" t="s">
        <v>0</v>
      </c>
      <c r="AR52" s="78" t="s">
        <v>0</v>
      </c>
      <c r="AS52" s="78" t="s">
        <v>0</v>
      </c>
      <c r="AT52" s="78" t="s">
        <v>0</v>
      </c>
      <c r="AU52" s="78" t="s">
        <v>0</v>
      </c>
      <c r="AV52" s="78" t="s">
        <v>0</v>
      </c>
      <c r="AW52" s="78" t="s">
        <v>0</v>
      </c>
      <c r="AX52" s="78" t="s">
        <v>0</v>
      </c>
      <c r="AY52" s="78" t="s">
        <v>0</v>
      </c>
      <c r="AZ52" s="78" t="s">
        <v>0</v>
      </c>
      <c r="BA52" s="78" t="s">
        <v>0</v>
      </c>
      <c r="BB52" s="78" t="s">
        <v>0</v>
      </c>
      <c r="BC52" s="78" t="s">
        <v>0</v>
      </c>
      <c r="BD52" s="78" t="s">
        <v>0</v>
      </c>
      <c r="BE52" s="78" t="s">
        <v>0</v>
      </c>
      <c r="BF52" s="78" t="s">
        <v>0</v>
      </c>
      <c r="BG52" s="78" t="s">
        <v>0</v>
      </c>
      <c r="BH52" s="78" t="s">
        <v>0</v>
      </c>
      <c r="BI52" s="78" t="s">
        <v>0</v>
      </c>
      <c r="BJ52" s="78" t="s">
        <v>0</v>
      </c>
    </row>
    <row r="53" spans="1:62" ht="12.75">
      <c r="A53" s="710">
        <v>239</v>
      </c>
      <c r="B53" s="44" t="s">
        <v>2182</v>
      </c>
      <c r="C53" s="325">
        <f>MOD(G$1,A53)</f>
        <v>155</v>
      </c>
      <c r="D53" s="82">
        <f>A53-C53</f>
        <v>84</v>
      </c>
      <c r="E53" s="76">
        <f>MOD(G$2,A53)</f>
        <v>39</v>
      </c>
      <c r="F53" s="78" t="s">
        <v>2127</v>
      </c>
      <c r="G53" s="78" t="s">
        <v>0</v>
      </c>
      <c r="H53" s="78" t="s">
        <v>0</v>
      </c>
      <c r="I53" s="78" t="s">
        <v>0</v>
      </c>
      <c r="J53" s="78" t="s">
        <v>0</v>
      </c>
      <c r="K53" s="78" t="s">
        <v>0</v>
      </c>
      <c r="L53" s="78" t="s">
        <v>0</v>
      </c>
      <c r="M53" s="78" t="s">
        <v>0</v>
      </c>
      <c r="N53" s="78" t="s">
        <v>0</v>
      </c>
      <c r="O53" s="78" t="s">
        <v>0</v>
      </c>
      <c r="P53" s="78" t="s">
        <v>0</v>
      </c>
      <c r="Q53" s="78" t="s">
        <v>0</v>
      </c>
      <c r="R53" s="78" t="s">
        <v>0</v>
      </c>
      <c r="S53" s="78" t="s">
        <v>0</v>
      </c>
      <c r="T53" s="78" t="s">
        <v>0</v>
      </c>
      <c r="U53" s="78" t="s">
        <v>0</v>
      </c>
      <c r="V53" s="78" t="s">
        <v>0</v>
      </c>
      <c r="W53" s="78" t="s">
        <v>0</v>
      </c>
      <c r="X53" s="78" t="s">
        <v>0</v>
      </c>
      <c r="Y53" s="78" t="s">
        <v>0</v>
      </c>
      <c r="Z53" s="78" t="s">
        <v>0</v>
      </c>
      <c r="AA53" s="78" t="s">
        <v>0</v>
      </c>
      <c r="AB53" s="78" t="s">
        <v>0</v>
      </c>
      <c r="AC53" s="78" t="s">
        <v>0</v>
      </c>
      <c r="AD53" s="78" t="s">
        <v>0</v>
      </c>
      <c r="AE53" s="78" t="s">
        <v>0</v>
      </c>
      <c r="AF53" s="78" t="s">
        <v>0</v>
      </c>
      <c r="AG53" s="78" t="s">
        <v>0</v>
      </c>
      <c r="AH53" s="78" t="s">
        <v>0</v>
      </c>
      <c r="AI53" s="78" t="s">
        <v>0</v>
      </c>
      <c r="AJ53" s="78" t="s">
        <v>0</v>
      </c>
      <c r="AK53" s="78" t="s">
        <v>0</v>
      </c>
      <c r="AL53" s="78" t="s">
        <v>0</v>
      </c>
      <c r="AM53" s="78" t="s">
        <v>0</v>
      </c>
      <c r="AN53" s="78" t="s">
        <v>0</v>
      </c>
      <c r="AO53" s="78" t="s">
        <v>0</v>
      </c>
      <c r="AP53" s="78" t="s">
        <v>0</v>
      </c>
      <c r="AQ53" s="78" t="s">
        <v>0</v>
      </c>
      <c r="AR53" s="78" t="s">
        <v>0</v>
      </c>
      <c r="AS53" s="78" t="s">
        <v>0</v>
      </c>
      <c r="AT53" s="78" t="s">
        <v>0</v>
      </c>
      <c r="AU53" s="78" t="s">
        <v>0</v>
      </c>
      <c r="AV53" s="78" t="s">
        <v>0</v>
      </c>
      <c r="AW53" s="78" t="s">
        <v>0</v>
      </c>
      <c r="AX53" s="78" t="s">
        <v>0</v>
      </c>
      <c r="AY53" s="78" t="s">
        <v>0</v>
      </c>
      <c r="AZ53" s="78" t="s">
        <v>0</v>
      </c>
      <c r="BA53" s="78" t="s">
        <v>0</v>
      </c>
      <c r="BB53" s="78" t="s">
        <v>0</v>
      </c>
      <c r="BC53" s="78" t="s">
        <v>0</v>
      </c>
      <c r="BD53" s="78" t="s">
        <v>0</v>
      </c>
      <c r="BE53" s="78" t="s">
        <v>0</v>
      </c>
      <c r="BF53" s="78" t="s">
        <v>0</v>
      </c>
      <c r="BG53" s="78" t="s">
        <v>0</v>
      </c>
      <c r="BH53" s="78" t="s">
        <v>0</v>
      </c>
      <c r="BI53" s="78" t="s">
        <v>0</v>
      </c>
      <c r="BJ53" s="78" t="s">
        <v>0</v>
      </c>
    </row>
    <row r="54" spans="1:62" ht="12.75">
      <c r="A54" s="710">
        <v>241</v>
      </c>
      <c r="B54" s="44" t="s">
        <v>2183</v>
      </c>
      <c r="C54" s="325">
        <f>MOD(G$1,A54)</f>
        <v>131</v>
      </c>
      <c r="D54" s="82">
        <f>A54-C54</f>
        <v>110</v>
      </c>
      <c r="E54" s="76">
        <f>MOD(G$2,A54)</f>
        <v>7</v>
      </c>
      <c r="F54" s="78" t="s">
        <v>2234</v>
      </c>
      <c r="G54" s="78" t="s">
        <v>0</v>
      </c>
      <c r="H54" s="78" t="s">
        <v>0</v>
      </c>
      <c r="I54" s="78" t="s">
        <v>0</v>
      </c>
      <c r="J54" s="78" t="s">
        <v>0</v>
      </c>
      <c r="K54" s="78" t="s">
        <v>0</v>
      </c>
      <c r="L54" s="78" t="s">
        <v>0</v>
      </c>
      <c r="M54" s="78" t="s">
        <v>0</v>
      </c>
      <c r="N54" s="78" t="s">
        <v>0</v>
      </c>
      <c r="O54" s="78" t="s">
        <v>0</v>
      </c>
      <c r="P54" s="78" t="s">
        <v>0</v>
      </c>
      <c r="Q54" s="78" t="s">
        <v>0</v>
      </c>
      <c r="R54" s="78" t="s">
        <v>0</v>
      </c>
      <c r="S54" s="78" t="s">
        <v>0</v>
      </c>
      <c r="T54" s="78" t="s">
        <v>0</v>
      </c>
      <c r="U54" s="78" t="s">
        <v>0</v>
      </c>
      <c r="V54" s="78" t="s">
        <v>0</v>
      </c>
      <c r="W54" s="78" t="s">
        <v>0</v>
      </c>
      <c r="X54" s="78" t="s">
        <v>0</v>
      </c>
      <c r="Y54" s="78" t="s">
        <v>0</v>
      </c>
      <c r="Z54" s="78" t="s">
        <v>0</v>
      </c>
      <c r="AA54" s="78" t="s">
        <v>0</v>
      </c>
      <c r="AB54" s="78" t="s">
        <v>0</v>
      </c>
      <c r="AC54" s="78" t="s">
        <v>0</v>
      </c>
      <c r="AD54" s="78" t="s">
        <v>0</v>
      </c>
      <c r="AE54" s="78" t="s">
        <v>0</v>
      </c>
      <c r="AF54" s="78" t="s">
        <v>0</v>
      </c>
      <c r="AG54" s="78" t="s">
        <v>0</v>
      </c>
      <c r="AH54" s="78" t="s">
        <v>0</v>
      </c>
      <c r="AI54" s="78" t="s">
        <v>0</v>
      </c>
      <c r="AJ54" s="78" t="s">
        <v>0</v>
      </c>
      <c r="AK54" s="78" t="s">
        <v>0</v>
      </c>
      <c r="AL54" s="78" t="s">
        <v>0</v>
      </c>
      <c r="AM54" s="78" t="s">
        <v>0</v>
      </c>
      <c r="AN54" s="78" t="s">
        <v>0</v>
      </c>
      <c r="AO54" s="78" t="s">
        <v>0</v>
      </c>
      <c r="AP54" s="78" t="s">
        <v>0</v>
      </c>
      <c r="AQ54" s="78" t="s">
        <v>0</v>
      </c>
      <c r="AR54" s="78" t="s">
        <v>0</v>
      </c>
      <c r="AS54" s="78" t="s">
        <v>0</v>
      </c>
      <c r="AT54" s="78" t="s">
        <v>0</v>
      </c>
      <c r="AU54" s="78" t="s">
        <v>0</v>
      </c>
      <c r="AV54" s="78" t="s">
        <v>0</v>
      </c>
      <c r="AW54" s="78" t="s">
        <v>0</v>
      </c>
      <c r="AX54" s="78" t="s">
        <v>0</v>
      </c>
      <c r="AY54" s="78" t="s">
        <v>0</v>
      </c>
      <c r="AZ54" s="78" t="s">
        <v>0</v>
      </c>
      <c r="BA54" s="78" t="s">
        <v>0</v>
      </c>
      <c r="BB54" s="78" t="s">
        <v>0</v>
      </c>
      <c r="BC54" s="78" t="s">
        <v>0</v>
      </c>
      <c r="BD54" s="78" t="s">
        <v>0</v>
      </c>
      <c r="BE54" s="78" t="s">
        <v>0</v>
      </c>
      <c r="BF54" s="78" t="s">
        <v>0</v>
      </c>
      <c r="BG54" s="78" t="s">
        <v>0</v>
      </c>
      <c r="BH54" s="78" t="s">
        <v>0</v>
      </c>
      <c r="BI54" s="78" t="s">
        <v>0</v>
      </c>
      <c r="BJ54" s="78" t="s">
        <v>0</v>
      </c>
    </row>
    <row r="55" spans="1:62" ht="12.75">
      <c r="A55" s="710">
        <v>251</v>
      </c>
      <c r="B55" s="44" t="s">
        <v>2186</v>
      </c>
      <c r="C55" s="325">
        <f>MOD(G$1,A55)</f>
        <v>117</v>
      </c>
      <c r="D55" s="82">
        <f>A55-C55</f>
        <v>134</v>
      </c>
      <c r="E55" s="76">
        <f>MOD(G$2,A55)</f>
        <v>204</v>
      </c>
      <c r="F55" s="78" t="s">
        <v>2300</v>
      </c>
      <c r="G55" s="78" t="s">
        <v>0</v>
      </c>
      <c r="H55" s="78" t="s">
        <v>0</v>
      </c>
      <c r="I55" s="78" t="s">
        <v>0</v>
      </c>
      <c r="J55" s="78" t="s">
        <v>0</v>
      </c>
      <c r="K55" s="78" t="s">
        <v>0</v>
      </c>
      <c r="L55" s="78" t="s">
        <v>0</v>
      </c>
      <c r="M55" s="78" t="s">
        <v>0</v>
      </c>
      <c r="N55" s="78" t="s">
        <v>0</v>
      </c>
      <c r="O55" s="78" t="s">
        <v>0</v>
      </c>
      <c r="P55" s="78" t="s">
        <v>0</v>
      </c>
      <c r="Q55" s="78" t="s">
        <v>0</v>
      </c>
      <c r="R55" s="78" t="s">
        <v>0</v>
      </c>
      <c r="S55" s="78" t="s">
        <v>0</v>
      </c>
      <c r="T55" s="78" t="s">
        <v>0</v>
      </c>
      <c r="U55" s="78" t="s">
        <v>0</v>
      </c>
      <c r="V55" s="78" t="s">
        <v>0</v>
      </c>
      <c r="W55" s="78" t="s">
        <v>0</v>
      </c>
      <c r="X55" s="78" t="s">
        <v>0</v>
      </c>
      <c r="Y55" s="78" t="s">
        <v>0</v>
      </c>
      <c r="Z55" s="78" t="s">
        <v>0</v>
      </c>
      <c r="AA55" s="78" t="s">
        <v>0</v>
      </c>
      <c r="AB55" s="78" t="s">
        <v>0</v>
      </c>
      <c r="AC55" s="78" t="s">
        <v>0</v>
      </c>
      <c r="AD55" s="78" t="s">
        <v>0</v>
      </c>
      <c r="AE55" s="78" t="s">
        <v>0</v>
      </c>
      <c r="AF55" s="78" t="s">
        <v>0</v>
      </c>
      <c r="AG55" s="78" t="s">
        <v>0</v>
      </c>
      <c r="AH55" s="78" t="s">
        <v>0</v>
      </c>
      <c r="AI55" s="78" t="s">
        <v>0</v>
      </c>
      <c r="AJ55" s="78" t="s">
        <v>0</v>
      </c>
      <c r="AK55" s="78" t="s">
        <v>0</v>
      </c>
      <c r="AL55" s="78" t="s">
        <v>0</v>
      </c>
      <c r="AM55" s="78" t="s">
        <v>0</v>
      </c>
      <c r="AN55" s="78" t="s">
        <v>0</v>
      </c>
      <c r="AO55" s="78" t="s">
        <v>0</v>
      </c>
      <c r="AP55" s="78" t="s">
        <v>0</v>
      </c>
      <c r="AQ55" s="78" t="s">
        <v>0</v>
      </c>
      <c r="AR55" s="78" t="s">
        <v>0</v>
      </c>
      <c r="AS55" s="78" t="s">
        <v>0</v>
      </c>
      <c r="AT55" s="78" t="s">
        <v>0</v>
      </c>
      <c r="AU55" s="78" t="s">
        <v>0</v>
      </c>
      <c r="AV55" s="78" t="s">
        <v>0</v>
      </c>
      <c r="AW55" s="78" t="s">
        <v>0</v>
      </c>
      <c r="AX55" s="78" t="s">
        <v>0</v>
      </c>
      <c r="AY55" s="78" t="s">
        <v>0</v>
      </c>
      <c r="AZ55" s="78" t="s">
        <v>0</v>
      </c>
      <c r="BA55" s="78" t="s">
        <v>0</v>
      </c>
      <c r="BB55" s="78" t="s">
        <v>0</v>
      </c>
      <c r="BC55" s="78" t="s">
        <v>0</v>
      </c>
      <c r="BD55" s="78" t="s">
        <v>0</v>
      </c>
      <c r="BE55" s="78" t="s">
        <v>0</v>
      </c>
      <c r="BF55" s="78" t="s">
        <v>0</v>
      </c>
      <c r="BG55" s="78" t="s">
        <v>0</v>
      </c>
      <c r="BH55" s="78" t="s">
        <v>0</v>
      </c>
      <c r="BI55" s="78" t="s">
        <v>0</v>
      </c>
      <c r="BJ55" s="78" t="s">
        <v>0</v>
      </c>
    </row>
    <row r="56" spans="1:62" ht="12.75">
      <c r="A56" s="710">
        <v>257</v>
      </c>
      <c r="B56" s="44" t="s">
        <v>2188</v>
      </c>
      <c r="C56" s="325">
        <f>MOD(G$1,A56)</f>
        <v>118</v>
      </c>
      <c r="D56" s="82">
        <f>A56-C56</f>
        <v>139</v>
      </c>
      <c r="E56" s="76">
        <f>MOD(G$2,A56)</f>
        <v>187</v>
      </c>
      <c r="F56" s="78" t="s">
        <v>2313</v>
      </c>
      <c r="G56" s="78" t="s">
        <v>0</v>
      </c>
      <c r="H56" s="78" t="s">
        <v>0</v>
      </c>
      <c r="I56" s="78" t="s">
        <v>0</v>
      </c>
      <c r="J56" s="78" t="s">
        <v>0</v>
      </c>
      <c r="K56" s="78" t="s">
        <v>0</v>
      </c>
      <c r="L56" s="78" t="s">
        <v>0</v>
      </c>
      <c r="M56" s="78" t="s">
        <v>0</v>
      </c>
      <c r="N56" s="78" t="s">
        <v>0</v>
      </c>
      <c r="O56" s="78" t="s">
        <v>0</v>
      </c>
      <c r="P56" s="78" t="s">
        <v>0</v>
      </c>
      <c r="Q56" s="78" t="s">
        <v>0</v>
      </c>
      <c r="R56" s="78" t="s">
        <v>0</v>
      </c>
      <c r="S56" s="78" t="s">
        <v>0</v>
      </c>
      <c r="T56" s="78" t="s">
        <v>0</v>
      </c>
      <c r="U56" s="78" t="s">
        <v>0</v>
      </c>
      <c r="V56" s="78" t="s">
        <v>0</v>
      </c>
      <c r="W56" s="78" t="s">
        <v>0</v>
      </c>
      <c r="X56" s="78" t="s">
        <v>0</v>
      </c>
      <c r="Y56" s="78" t="s">
        <v>0</v>
      </c>
      <c r="Z56" s="78" t="s">
        <v>0</v>
      </c>
      <c r="AA56" s="78" t="s">
        <v>0</v>
      </c>
      <c r="AB56" s="78" t="s">
        <v>0</v>
      </c>
      <c r="AC56" s="78" t="s">
        <v>0</v>
      </c>
      <c r="AD56" s="78" t="s">
        <v>0</v>
      </c>
      <c r="AE56" s="78" t="s">
        <v>0</v>
      </c>
      <c r="AF56" s="78" t="s">
        <v>0</v>
      </c>
      <c r="AG56" s="78" t="s">
        <v>0</v>
      </c>
      <c r="AH56" s="78" t="s">
        <v>0</v>
      </c>
      <c r="AI56" s="78" t="s">
        <v>0</v>
      </c>
      <c r="AJ56" s="78" t="s">
        <v>0</v>
      </c>
      <c r="AK56" s="78" t="s">
        <v>0</v>
      </c>
      <c r="AL56" s="78" t="s">
        <v>0</v>
      </c>
      <c r="AM56" s="78" t="s">
        <v>0</v>
      </c>
      <c r="AN56" s="78" t="s">
        <v>0</v>
      </c>
      <c r="AO56" s="78" t="s">
        <v>0</v>
      </c>
      <c r="AP56" s="78" t="s">
        <v>0</v>
      </c>
      <c r="AQ56" s="78" t="s">
        <v>0</v>
      </c>
      <c r="AR56" s="78" t="s">
        <v>0</v>
      </c>
      <c r="AS56" s="78" t="s">
        <v>0</v>
      </c>
      <c r="AT56" s="78" t="s">
        <v>0</v>
      </c>
      <c r="AU56" s="78" t="s">
        <v>0</v>
      </c>
      <c r="AV56" s="78" t="s">
        <v>0</v>
      </c>
      <c r="AW56" s="78" t="s">
        <v>0</v>
      </c>
      <c r="AX56" s="78" t="s">
        <v>0</v>
      </c>
      <c r="AY56" s="78" t="s">
        <v>0</v>
      </c>
      <c r="AZ56" s="78" t="s">
        <v>0</v>
      </c>
      <c r="BA56" s="78" t="s">
        <v>0</v>
      </c>
      <c r="BB56" s="78" t="s">
        <v>0</v>
      </c>
      <c r="BC56" s="78" t="s">
        <v>0</v>
      </c>
      <c r="BD56" s="78" t="s">
        <v>0</v>
      </c>
      <c r="BE56" s="78" t="s">
        <v>0</v>
      </c>
      <c r="BF56" s="78" t="s">
        <v>0</v>
      </c>
      <c r="BG56" s="78" t="s">
        <v>0</v>
      </c>
      <c r="BH56" s="78" t="s">
        <v>0</v>
      </c>
      <c r="BI56" s="78" t="s">
        <v>0</v>
      </c>
      <c r="BJ56" s="78" t="s">
        <v>0</v>
      </c>
    </row>
    <row r="57" spans="1:62" ht="12.75">
      <c r="A57" s="710">
        <v>263</v>
      </c>
      <c r="B57" s="44" t="s">
        <v>2193</v>
      </c>
      <c r="C57" s="325">
        <f>MOD(G$1,A57)</f>
        <v>41</v>
      </c>
      <c r="D57" s="82">
        <f>A57-C57</f>
        <v>222</v>
      </c>
      <c r="E57" s="76">
        <f>MOD(G$2,A57)</f>
        <v>92</v>
      </c>
      <c r="F57" s="78" t="s">
        <v>2236</v>
      </c>
      <c r="G57" s="78" t="s">
        <v>0</v>
      </c>
      <c r="H57" s="78" t="s">
        <v>0</v>
      </c>
      <c r="I57" s="78" t="s">
        <v>0</v>
      </c>
      <c r="J57" s="78" t="s">
        <v>0</v>
      </c>
      <c r="K57" s="78" t="s">
        <v>0</v>
      </c>
      <c r="L57" s="78" t="s">
        <v>0</v>
      </c>
      <c r="M57" s="78" t="s">
        <v>0</v>
      </c>
      <c r="N57" s="78" t="s">
        <v>0</v>
      </c>
      <c r="O57" s="78" t="s">
        <v>0</v>
      </c>
      <c r="P57" s="78" t="s">
        <v>0</v>
      </c>
      <c r="Q57" s="78" t="s">
        <v>0</v>
      </c>
      <c r="R57" s="78" t="s">
        <v>0</v>
      </c>
      <c r="S57" s="78" t="s">
        <v>0</v>
      </c>
      <c r="T57" s="78" t="s">
        <v>0</v>
      </c>
      <c r="U57" s="78" t="s">
        <v>0</v>
      </c>
      <c r="V57" s="78" t="s">
        <v>0</v>
      </c>
      <c r="W57" s="78" t="s">
        <v>0</v>
      </c>
      <c r="X57" s="78" t="s">
        <v>0</v>
      </c>
      <c r="Y57" s="78" t="s">
        <v>0</v>
      </c>
      <c r="Z57" s="78" t="s">
        <v>0</v>
      </c>
      <c r="AA57" s="78" t="s">
        <v>0</v>
      </c>
      <c r="AB57" s="78" t="s">
        <v>0</v>
      </c>
      <c r="AC57" s="78" t="s">
        <v>0</v>
      </c>
      <c r="AD57" s="78" t="s">
        <v>0</v>
      </c>
      <c r="AE57" s="78" t="s">
        <v>0</v>
      </c>
      <c r="AF57" s="78" t="s">
        <v>0</v>
      </c>
      <c r="AG57" s="78" t="s">
        <v>0</v>
      </c>
      <c r="AH57" s="78" t="s">
        <v>0</v>
      </c>
      <c r="AI57" s="78" t="s">
        <v>0</v>
      </c>
      <c r="AJ57" s="78" t="s">
        <v>0</v>
      </c>
      <c r="AK57" s="78" t="s">
        <v>0</v>
      </c>
      <c r="AL57" s="78" t="s">
        <v>0</v>
      </c>
      <c r="AM57" s="78" t="s">
        <v>0</v>
      </c>
      <c r="AN57" s="78" t="s">
        <v>0</v>
      </c>
      <c r="AO57" s="78" t="s">
        <v>0</v>
      </c>
      <c r="AP57" s="78" t="s">
        <v>0</v>
      </c>
      <c r="AQ57" s="78" t="s">
        <v>0</v>
      </c>
      <c r="AR57" s="78" t="s">
        <v>0</v>
      </c>
      <c r="AS57" s="78" t="s">
        <v>0</v>
      </c>
      <c r="AT57" s="78" t="s">
        <v>0</v>
      </c>
      <c r="AU57" s="78" t="s">
        <v>0</v>
      </c>
      <c r="AV57" s="78" t="s">
        <v>0</v>
      </c>
      <c r="AW57" s="78" t="s">
        <v>0</v>
      </c>
      <c r="AX57" s="78" t="s">
        <v>0</v>
      </c>
      <c r="AY57" s="78" t="s">
        <v>0</v>
      </c>
      <c r="AZ57" s="78" t="s">
        <v>0</v>
      </c>
      <c r="BA57" s="78" t="s">
        <v>0</v>
      </c>
      <c r="BB57" s="78" t="s">
        <v>0</v>
      </c>
      <c r="BC57" s="78" t="s">
        <v>0</v>
      </c>
      <c r="BD57" s="78" t="s">
        <v>0</v>
      </c>
      <c r="BE57" s="78" t="s">
        <v>0</v>
      </c>
      <c r="BF57" s="78" t="s">
        <v>0</v>
      </c>
      <c r="BG57" s="78" t="s">
        <v>0</v>
      </c>
      <c r="BH57" s="78" t="s">
        <v>0</v>
      </c>
      <c r="BI57" s="78" t="s">
        <v>0</v>
      </c>
      <c r="BJ57" s="78" t="s">
        <v>0</v>
      </c>
    </row>
    <row r="58" spans="1:62" ht="12.75">
      <c r="A58" s="710">
        <v>269</v>
      </c>
      <c r="B58" s="44" t="s">
        <v>2197</v>
      </c>
      <c r="C58" s="325">
        <f>MOD(G$1,A58)</f>
        <v>1</v>
      </c>
      <c r="D58" s="82">
        <f>A58-C58</f>
        <v>268</v>
      </c>
      <c r="E58" s="76">
        <f>MOD(G$2,A58)</f>
        <v>34</v>
      </c>
      <c r="F58" s="78" t="s">
        <v>2191</v>
      </c>
      <c r="G58" s="78" t="s">
        <v>0</v>
      </c>
      <c r="H58" s="78" t="s">
        <v>0</v>
      </c>
      <c r="I58" s="78" t="s">
        <v>0</v>
      </c>
      <c r="J58" s="78" t="s">
        <v>0</v>
      </c>
      <c r="K58" s="78" t="s">
        <v>0</v>
      </c>
      <c r="L58" s="78" t="s">
        <v>0</v>
      </c>
      <c r="M58" s="78" t="s">
        <v>0</v>
      </c>
      <c r="N58" s="78" t="s">
        <v>0</v>
      </c>
      <c r="O58" s="78" t="s">
        <v>0</v>
      </c>
      <c r="P58" s="78" t="s">
        <v>0</v>
      </c>
      <c r="Q58" s="78" t="s">
        <v>0</v>
      </c>
      <c r="R58" s="78" t="s">
        <v>0</v>
      </c>
      <c r="S58" s="78" t="s">
        <v>0</v>
      </c>
      <c r="T58" s="78" t="s">
        <v>0</v>
      </c>
      <c r="U58" s="78" t="s">
        <v>0</v>
      </c>
      <c r="V58" s="78" t="s">
        <v>0</v>
      </c>
      <c r="W58" s="78" t="s">
        <v>0</v>
      </c>
      <c r="X58" s="78" t="s">
        <v>0</v>
      </c>
      <c r="Y58" s="78" t="s">
        <v>0</v>
      </c>
      <c r="Z58" s="78" t="s">
        <v>0</v>
      </c>
      <c r="AA58" s="78" t="s">
        <v>0</v>
      </c>
      <c r="AB58" s="78" t="s">
        <v>0</v>
      </c>
      <c r="AC58" s="78" t="s">
        <v>0</v>
      </c>
      <c r="AD58" s="78" t="s">
        <v>0</v>
      </c>
      <c r="AE58" s="78" t="s">
        <v>0</v>
      </c>
      <c r="AF58" s="78" t="s">
        <v>0</v>
      </c>
      <c r="AG58" s="78" t="s">
        <v>0</v>
      </c>
      <c r="AH58" s="78" t="s">
        <v>0</v>
      </c>
      <c r="AI58" s="78" t="s">
        <v>0</v>
      </c>
      <c r="AJ58" s="78" t="s">
        <v>0</v>
      </c>
      <c r="AK58" s="78" t="s">
        <v>0</v>
      </c>
      <c r="AL58" s="78" t="s">
        <v>0</v>
      </c>
      <c r="AM58" s="78" t="s">
        <v>0</v>
      </c>
      <c r="AN58" s="78" t="s">
        <v>0</v>
      </c>
      <c r="AO58" s="78" t="s">
        <v>0</v>
      </c>
      <c r="AP58" s="78" t="s">
        <v>0</v>
      </c>
      <c r="AQ58" s="78" t="s">
        <v>0</v>
      </c>
      <c r="AR58" s="78" t="s">
        <v>0</v>
      </c>
      <c r="AS58" s="78" t="s">
        <v>0</v>
      </c>
      <c r="AT58" s="78" t="s">
        <v>0</v>
      </c>
      <c r="AU58" s="78" t="s">
        <v>0</v>
      </c>
      <c r="AV58" s="78" t="s">
        <v>0</v>
      </c>
      <c r="AW58" s="78" t="s">
        <v>0</v>
      </c>
      <c r="AX58" s="78" t="s">
        <v>0</v>
      </c>
      <c r="AY58" s="78" t="s">
        <v>0</v>
      </c>
      <c r="AZ58" s="78" t="s">
        <v>0</v>
      </c>
      <c r="BA58" s="78" t="s">
        <v>0</v>
      </c>
      <c r="BB58" s="78" t="s">
        <v>0</v>
      </c>
      <c r="BC58" s="78" t="s">
        <v>0</v>
      </c>
      <c r="BD58" s="78" t="s">
        <v>0</v>
      </c>
      <c r="BE58" s="78" t="s">
        <v>0</v>
      </c>
      <c r="BF58" s="78" t="s">
        <v>0</v>
      </c>
      <c r="BG58" s="78" t="s">
        <v>0</v>
      </c>
      <c r="BH58" s="78" t="s">
        <v>0</v>
      </c>
      <c r="BI58" s="78" t="s">
        <v>0</v>
      </c>
      <c r="BJ58" s="78" t="s">
        <v>0</v>
      </c>
    </row>
    <row r="59" spans="1:62" ht="12.75">
      <c r="A59" s="710">
        <v>271</v>
      </c>
      <c r="B59" s="44" t="s">
        <v>2198</v>
      </c>
      <c r="C59" s="325">
        <f>MOD(G$1,A59)</f>
        <v>192</v>
      </c>
      <c r="D59" s="82">
        <f>A59-C59</f>
        <v>79</v>
      </c>
      <c r="E59" s="76">
        <f>MOD(G$2,A59)</f>
        <v>219</v>
      </c>
      <c r="F59" s="78" t="s">
        <v>2277</v>
      </c>
      <c r="G59" s="78" t="s">
        <v>0</v>
      </c>
      <c r="H59" s="78" t="s">
        <v>0</v>
      </c>
      <c r="I59" s="78" t="s">
        <v>0</v>
      </c>
      <c r="J59" s="78" t="s">
        <v>0</v>
      </c>
      <c r="K59" s="78" t="s">
        <v>0</v>
      </c>
      <c r="L59" s="78" t="s">
        <v>0</v>
      </c>
      <c r="M59" s="78" t="s">
        <v>0</v>
      </c>
      <c r="N59" s="78" t="s">
        <v>0</v>
      </c>
      <c r="O59" s="78" t="s">
        <v>0</v>
      </c>
      <c r="P59" s="78" t="s">
        <v>0</v>
      </c>
      <c r="Q59" s="78" t="s">
        <v>0</v>
      </c>
      <c r="R59" s="78" t="s">
        <v>0</v>
      </c>
      <c r="S59" s="78" t="s">
        <v>0</v>
      </c>
      <c r="T59" s="78" t="s">
        <v>0</v>
      </c>
      <c r="U59" s="78" t="s">
        <v>0</v>
      </c>
      <c r="V59" s="78" t="s">
        <v>0</v>
      </c>
      <c r="W59" s="78" t="s">
        <v>0</v>
      </c>
      <c r="X59" s="78" t="s">
        <v>0</v>
      </c>
      <c r="Y59" s="78" t="s">
        <v>0</v>
      </c>
      <c r="Z59" s="78" t="s">
        <v>0</v>
      </c>
      <c r="AA59" s="78" t="s">
        <v>0</v>
      </c>
      <c r="AB59" s="78" t="s">
        <v>0</v>
      </c>
      <c r="AC59" s="78" t="s">
        <v>0</v>
      </c>
      <c r="AD59" s="78" t="s">
        <v>0</v>
      </c>
      <c r="AE59" s="78" t="s">
        <v>0</v>
      </c>
      <c r="AF59" s="78" t="s">
        <v>0</v>
      </c>
      <c r="AG59" s="78" t="s">
        <v>0</v>
      </c>
      <c r="AH59" s="78" t="s">
        <v>0</v>
      </c>
      <c r="AI59" s="78" t="s">
        <v>0</v>
      </c>
      <c r="AJ59" s="78" t="s">
        <v>0</v>
      </c>
      <c r="AK59" s="78" t="s">
        <v>0</v>
      </c>
      <c r="AL59" s="78" t="s">
        <v>0</v>
      </c>
      <c r="AM59" s="78" t="s">
        <v>0</v>
      </c>
      <c r="AN59" s="78" t="s">
        <v>0</v>
      </c>
      <c r="AO59" s="78" t="s">
        <v>0</v>
      </c>
      <c r="AP59" s="78" t="s">
        <v>0</v>
      </c>
      <c r="AQ59" s="78" t="s">
        <v>0</v>
      </c>
      <c r="AR59" s="78" t="s">
        <v>0</v>
      </c>
      <c r="AS59" s="78" t="s">
        <v>0</v>
      </c>
      <c r="AT59" s="78" t="s">
        <v>0</v>
      </c>
      <c r="AU59" s="78" t="s">
        <v>0</v>
      </c>
      <c r="AV59" s="78" t="s">
        <v>0</v>
      </c>
      <c r="AW59" s="78" t="s">
        <v>0</v>
      </c>
      <c r="AX59" s="78" t="s">
        <v>0</v>
      </c>
      <c r="AY59" s="78" t="s">
        <v>0</v>
      </c>
      <c r="AZ59" s="78" t="s">
        <v>0</v>
      </c>
      <c r="BA59" s="78" t="s">
        <v>0</v>
      </c>
      <c r="BB59" s="78" t="s">
        <v>0</v>
      </c>
      <c r="BC59" s="78" t="s">
        <v>0</v>
      </c>
      <c r="BD59" s="78" t="s">
        <v>0</v>
      </c>
      <c r="BE59" s="78" t="s">
        <v>0</v>
      </c>
      <c r="BF59" s="78" t="s">
        <v>0</v>
      </c>
      <c r="BG59" s="78" t="s">
        <v>0</v>
      </c>
      <c r="BH59" s="78" t="s">
        <v>0</v>
      </c>
      <c r="BI59" s="78" t="s">
        <v>0</v>
      </c>
      <c r="BJ59" s="78" t="s">
        <v>0</v>
      </c>
    </row>
    <row r="60" spans="1:62" ht="12.75">
      <c r="A60" s="710">
        <v>277</v>
      </c>
      <c r="B60" s="44" t="s">
        <v>2199</v>
      </c>
      <c r="C60" s="325">
        <f>MOD(G$1,A60)</f>
        <v>43</v>
      </c>
      <c r="D60" s="82">
        <f>A60-C60</f>
        <v>234</v>
      </c>
      <c r="E60" s="76">
        <f>MOD(G$2,A60)</f>
        <v>52</v>
      </c>
      <c r="F60" s="78" t="s">
        <v>2244</v>
      </c>
      <c r="G60" s="78" t="s">
        <v>0</v>
      </c>
      <c r="H60" s="78" t="s">
        <v>0</v>
      </c>
      <c r="I60" s="78" t="s">
        <v>0</v>
      </c>
      <c r="J60" s="78" t="s">
        <v>0</v>
      </c>
      <c r="K60" s="78" t="s">
        <v>0</v>
      </c>
      <c r="L60" s="78" t="s">
        <v>0</v>
      </c>
      <c r="M60" s="78" t="s">
        <v>0</v>
      </c>
      <c r="N60" s="78" t="s">
        <v>0</v>
      </c>
      <c r="O60" s="78" t="s">
        <v>0</v>
      </c>
      <c r="P60" s="78" t="s">
        <v>0</v>
      </c>
      <c r="Q60" s="78" t="s">
        <v>0</v>
      </c>
      <c r="R60" s="78" t="s">
        <v>0</v>
      </c>
      <c r="S60" s="78" t="s">
        <v>0</v>
      </c>
      <c r="T60" s="78" t="s">
        <v>0</v>
      </c>
      <c r="U60" s="78" t="s">
        <v>0</v>
      </c>
      <c r="V60" s="78" t="s">
        <v>0</v>
      </c>
      <c r="W60" s="78" t="s">
        <v>0</v>
      </c>
      <c r="X60" s="78" t="s">
        <v>0</v>
      </c>
      <c r="Y60" s="78" t="s">
        <v>0</v>
      </c>
      <c r="Z60" s="78" t="s">
        <v>0</v>
      </c>
      <c r="AA60" s="78" t="s">
        <v>0</v>
      </c>
      <c r="AB60" s="78" t="s">
        <v>0</v>
      </c>
      <c r="AC60" s="78" t="s">
        <v>0</v>
      </c>
      <c r="AD60" s="78" t="s">
        <v>0</v>
      </c>
      <c r="AE60" s="78" t="s">
        <v>0</v>
      </c>
      <c r="AF60" s="78" t="s">
        <v>0</v>
      </c>
      <c r="AG60" s="78" t="s">
        <v>0</v>
      </c>
      <c r="AH60" s="78" t="s">
        <v>0</v>
      </c>
      <c r="AI60" s="78" t="s">
        <v>0</v>
      </c>
      <c r="AJ60" s="78" t="s">
        <v>0</v>
      </c>
      <c r="AK60" s="78" t="s">
        <v>0</v>
      </c>
      <c r="AL60" s="78" t="s">
        <v>0</v>
      </c>
      <c r="AM60" s="78" t="s">
        <v>0</v>
      </c>
      <c r="AN60" s="78" t="s">
        <v>0</v>
      </c>
      <c r="AO60" s="78" t="s">
        <v>0</v>
      </c>
      <c r="AP60" s="78" t="s">
        <v>0</v>
      </c>
      <c r="AQ60" s="78" t="s">
        <v>0</v>
      </c>
      <c r="AR60" s="78" t="s">
        <v>0</v>
      </c>
      <c r="AS60" s="78" t="s">
        <v>0</v>
      </c>
      <c r="AT60" s="78" t="s">
        <v>0</v>
      </c>
      <c r="AU60" s="78" t="s">
        <v>0</v>
      </c>
      <c r="AV60" s="78" t="s">
        <v>0</v>
      </c>
      <c r="AW60" s="78" t="s">
        <v>0</v>
      </c>
      <c r="AX60" s="78" t="s">
        <v>0</v>
      </c>
      <c r="AY60" s="78" t="s">
        <v>0</v>
      </c>
      <c r="AZ60" s="78" t="s">
        <v>0</v>
      </c>
      <c r="BA60" s="78" t="s">
        <v>0</v>
      </c>
      <c r="BB60" s="78" t="s">
        <v>0</v>
      </c>
      <c r="BC60" s="78" t="s">
        <v>0</v>
      </c>
      <c r="BD60" s="78" t="s">
        <v>0</v>
      </c>
      <c r="BE60" s="78" t="s">
        <v>0</v>
      </c>
      <c r="BF60" s="78" t="s">
        <v>0</v>
      </c>
      <c r="BG60" s="78" t="s">
        <v>0</v>
      </c>
      <c r="BH60" s="78" t="s">
        <v>0</v>
      </c>
      <c r="BI60" s="78" t="s">
        <v>0</v>
      </c>
      <c r="BJ60" s="78" t="s">
        <v>0</v>
      </c>
    </row>
    <row r="61" spans="1:62" ht="12.75">
      <c r="A61" s="710">
        <v>281</v>
      </c>
      <c r="B61" s="44" t="s">
        <v>2201</v>
      </c>
      <c r="C61" s="325">
        <f>MOD(G$1,A61)</f>
        <v>230</v>
      </c>
      <c r="D61" s="82">
        <f>A61-C61</f>
        <v>51</v>
      </c>
      <c r="E61" s="76">
        <f>MOD(G$2,A61)</f>
        <v>227</v>
      </c>
      <c r="F61" s="78" t="s">
        <v>2178</v>
      </c>
      <c r="G61" s="78" t="s">
        <v>0</v>
      </c>
      <c r="H61" s="78" t="s">
        <v>0</v>
      </c>
      <c r="I61" s="78" t="s">
        <v>0</v>
      </c>
      <c r="J61" s="78" t="s">
        <v>0</v>
      </c>
      <c r="K61" s="78" t="s">
        <v>0</v>
      </c>
      <c r="L61" s="78" t="s">
        <v>0</v>
      </c>
      <c r="M61" s="78" t="s">
        <v>0</v>
      </c>
      <c r="N61" s="78" t="s">
        <v>0</v>
      </c>
      <c r="O61" s="78" t="s">
        <v>0</v>
      </c>
      <c r="P61" s="78" t="s">
        <v>0</v>
      </c>
      <c r="Q61" s="78" t="s">
        <v>0</v>
      </c>
      <c r="R61" s="78" t="s">
        <v>0</v>
      </c>
      <c r="S61" s="78" t="s">
        <v>0</v>
      </c>
      <c r="T61" s="78" t="s">
        <v>0</v>
      </c>
      <c r="U61" s="78" t="s">
        <v>0</v>
      </c>
      <c r="V61" s="78" t="s">
        <v>0</v>
      </c>
      <c r="W61" s="78" t="s">
        <v>0</v>
      </c>
      <c r="X61" s="78" t="s">
        <v>0</v>
      </c>
      <c r="Y61" s="78" t="s">
        <v>0</v>
      </c>
      <c r="Z61" s="78" t="s">
        <v>0</v>
      </c>
      <c r="AA61" s="78" t="s">
        <v>0</v>
      </c>
      <c r="AB61" s="78" t="s">
        <v>0</v>
      </c>
      <c r="AC61" s="78" t="s">
        <v>0</v>
      </c>
      <c r="AD61" s="78" t="s">
        <v>0</v>
      </c>
      <c r="AE61" s="78" t="s">
        <v>0</v>
      </c>
      <c r="AF61" s="78" t="s">
        <v>0</v>
      </c>
      <c r="AG61" s="78" t="s">
        <v>0</v>
      </c>
      <c r="AH61" s="78" t="s">
        <v>0</v>
      </c>
      <c r="AI61" s="78" t="s">
        <v>0</v>
      </c>
      <c r="AJ61" s="78" t="s">
        <v>0</v>
      </c>
      <c r="AK61" s="78" t="s">
        <v>0</v>
      </c>
      <c r="AL61" s="78" t="s">
        <v>0</v>
      </c>
      <c r="AM61" s="78" t="s">
        <v>0</v>
      </c>
      <c r="AN61" s="78" t="s">
        <v>0</v>
      </c>
      <c r="AO61" s="78" t="s">
        <v>0</v>
      </c>
      <c r="AP61" s="78" t="s">
        <v>0</v>
      </c>
      <c r="AQ61" s="78" t="s">
        <v>0</v>
      </c>
      <c r="AR61" s="78" t="s">
        <v>0</v>
      </c>
      <c r="AS61" s="78" t="s">
        <v>0</v>
      </c>
      <c r="AT61" s="78" t="s">
        <v>0</v>
      </c>
      <c r="AU61" s="78" t="s">
        <v>0</v>
      </c>
      <c r="AV61" s="78" t="s">
        <v>0</v>
      </c>
      <c r="AW61" s="78" t="s">
        <v>0</v>
      </c>
      <c r="AX61" s="78" t="s">
        <v>0</v>
      </c>
      <c r="AY61" s="78" t="s">
        <v>0</v>
      </c>
      <c r="AZ61" s="78" t="s">
        <v>0</v>
      </c>
      <c r="BA61" s="78" t="s">
        <v>0</v>
      </c>
      <c r="BB61" s="78" t="s">
        <v>0</v>
      </c>
      <c r="BC61" s="78" t="s">
        <v>0</v>
      </c>
      <c r="BD61" s="78" t="s">
        <v>0</v>
      </c>
      <c r="BE61" s="78" t="s">
        <v>0</v>
      </c>
      <c r="BF61" s="78" t="s">
        <v>0</v>
      </c>
      <c r="BG61" s="78" t="s">
        <v>0</v>
      </c>
      <c r="BH61" s="78" t="s">
        <v>0</v>
      </c>
      <c r="BI61" s="78" t="s">
        <v>0</v>
      </c>
      <c r="BJ61" s="78" t="s">
        <v>0</v>
      </c>
    </row>
    <row r="62" spans="1:62" ht="12.75">
      <c r="A62" s="710">
        <v>283</v>
      </c>
      <c r="B62" s="44" t="s">
        <v>2203</v>
      </c>
      <c r="C62" s="325">
        <f>MOD(G$1,A62)</f>
        <v>227</v>
      </c>
      <c r="D62" s="82">
        <f>A62-C62</f>
        <v>56</v>
      </c>
      <c r="E62" s="76">
        <f>MOD(G$2,A62)</f>
        <v>218</v>
      </c>
      <c r="F62" s="78" t="s">
        <v>2200</v>
      </c>
      <c r="G62" s="78" t="s">
        <v>0</v>
      </c>
      <c r="H62" s="78" t="s">
        <v>0</v>
      </c>
      <c r="I62" s="78" t="s">
        <v>0</v>
      </c>
      <c r="J62" s="78" t="s">
        <v>0</v>
      </c>
      <c r="K62" s="78" t="s">
        <v>0</v>
      </c>
      <c r="L62" s="78" t="s">
        <v>0</v>
      </c>
      <c r="M62" s="78" t="s">
        <v>0</v>
      </c>
      <c r="N62" s="78" t="s">
        <v>0</v>
      </c>
      <c r="O62" s="78" t="s">
        <v>0</v>
      </c>
      <c r="P62" s="78" t="s">
        <v>0</v>
      </c>
      <c r="Q62" s="78" t="s">
        <v>0</v>
      </c>
      <c r="R62" s="78" t="s">
        <v>0</v>
      </c>
      <c r="S62" s="78" t="s">
        <v>0</v>
      </c>
      <c r="T62" s="78" t="s">
        <v>0</v>
      </c>
      <c r="U62" s="78" t="s">
        <v>0</v>
      </c>
      <c r="V62" s="78" t="s">
        <v>0</v>
      </c>
      <c r="W62" s="78" t="s">
        <v>0</v>
      </c>
      <c r="X62" s="78" t="s">
        <v>0</v>
      </c>
      <c r="Y62" s="78" t="s">
        <v>0</v>
      </c>
      <c r="Z62" s="78" t="s">
        <v>0</v>
      </c>
      <c r="AA62" s="78" t="s">
        <v>0</v>
      </c>
      <c r="AB62" s="78" t="s">
        <v>0</v>
      </c>
      <c r="AC62" s="78" t="s">
        <v>0</v>
      </c>
      <c r="AD62" s="78" t="s">
        <v>0</v>
      </c>
      <c r="AE62" s="78" t="s">
        <v>0</v>
      </c>
      <c r="AF62" s="78" t="s">
        <v>0</v>
      </c>
      <c r="AG62" s="78" t="s">
        <v>0</v>
      </c>
      <c r="AH62" s="78" t="s">
        <v>0</v>
      </c>
      <c r="AI62" s="78" t="s">
        <v>0</v>
      </c>
      <c r="AJ62" s="78" t="s">
        <v>0</v>
      </c>
      <c r="AK62" s="78" t="s">
        <v>0</v>
      </c>
      <c r="AL62" s="78" t="s">
        <v>0</v>
      </c>
      <c r="AM62" s="78" t="s">
        <v>0</v>
      </c>
      <c r="AN62" s="78" t="s">
        <v>0</v>
      </c>
      <c r="AO62" s="78" t="s">
        <v>0</v>
      </c>
      <c r="AP62" s="78" t="s">
        <v>0</v>
      </c>
      <c r="AQ62" s="78" t="s">
        <v>0</v>
      </c>
      <c r="AR62" s="78" t="s">
        <v>0</v>
      </c>
      <c r="AS62" s="78" t="s">
        <v>0</v>
      </c>
      <c r="AT62" s="78" t="s">
        <v>0</v>
      </c>
      <c r="AU62" s="78" t="s">
        <v>0</v>
      </c>
      <c r="AV62" s="78" t="s">
        <v>0</v>
      </c>
      <c r="AW62" s="78" t="s">
        <v>0</v>
      </c>
      <c r="AX62" s="78" t="s">
        <v>0</v>
      </c>
      <c r="AY62" s="78" t="s">
        <v>0</v>
      </c>
      <c r="AZ62" s="78" t="s">
        <v>0</v>
      </c>
      <c r="BA62" s="78" t="s">
        <v>0</v>
      </c>
      <c r="BB62" s="78" t="s">
        <v>0</v>
      </c>
      <c r="BC62" s="78" t="s">
        <v>0</v>
      </c>
      <c r="BD62" s="78" t="s">
        <v>0</v>
      </c>
      <c r="BE62" s="78" t="s">
        <v>0</v>
      </c>
      <c r="BF62" s="78" t="s">
        <v>0</v>
      </c>
      <c r="BG62" s="78" t="s">
        <v>0</v>
      </c>
      <c r="BH62" s="78" t="s">
        <v>0</v>
      </c>
      <c r="BI62" s="78" t="s">
        <v>0</v>
      </c>
      <c r="BJ62" s="78" t="s">
        <v>0</v>
      </c>
    </row>
    <row r="63" spans="1:62" ht="12.75">
      <c r="A63" s="710">
        <v>293</v>
      </c>
      <c r="B63" s="44" t="s">
        <v>2206</v>
      </c>
      <c r="C63" s="325">
        <f>MOD(G$1,A63)</f>
        <v>109</v>
      </c>
      <c r="D63" s="82">
        <f>A63-C63</f>
        <v>184</v>
      </c>
      <c r="E63" s="76">
        <f>MOD(G$2,A63)</f>
        <v>70</v>
      </c>
      <c r="F63" s="78" t="s">
        <v>2387</v>
      </c>
      <c r="G63" s="78" t="s">
        <v>0</v>
      </c>
      <c r="H63" s="78" t="s">
        <v>0</v>
      </c>
      <c r="I63" s="78" t="s">
        <v>0</v>
      </c>
      <c r="J63" s="78" t="s">
        <v>0</v>
      </c>
      <c r="K63" s="78" t="s">
        <v>0</v>
      </c>
      <c r="L63" s="78" t="s">
        <v>0</v>
      </c>
      <c r="M63" s="78" t="s">
        <v>0</v>
      </c>
      <c r="N63" s="78" t="s">
        <v>0</v>
      </c>
      <c r="O63" s="78" t="s">
        <v>0</v>
      </c>
      <c r="P63" s="78" t="s">
        <v>0</v>
      </c>
      <c r="Q63" s="78" t="s">
        <v>0</v>
      </c>
      <c r="R63" s="78" t="s">
        <v>0</v>
      </c>
      <c r="S63" s="78" t="s">
        <v>0</v>
      </c>
      <c r="T63" s="78" t="s">
        <v>0</v>
      </c>
      <c r="U63" s="78" t="s">
        <v>0</v>
      </c>
      <c r="V63" s="78" t="s">
        <v>0</v>
      </c>
      <c r="W63" s="78" t="s">
        <v>0</v>
      </c>
      <c r="X63" s="78" t="s">
        <v>0</v>
      </c>
      <c r="Y63" s="78" t="s">
        <v>0</v>
      </c>
      <c r="Z63" s="78" t="s">
        <v>0</v>
      </c>
      <c r="AA63" s="78" t="s">
        <v>0</v>
      </c>
      <c r="AB63" s="78" t="s">
        <v>0</v>
      </c>
      <c r="AC63" s="78" t="s">
        <v>0</v>
      </c>
      <c r="AD63" s="78" t="s">
        <v>0</v>
      </c>
      <c r="AE63" s="78" t="s">
        <v>0</v>
      </c>
      <c r="AF63" s="78" t="s">
        <v>0</v>
      </c>
      <c r="AG63" s="78" t="s">
        <v>0</v>
      </c>
      <c r="AH63" s="78" t="s">
        <v>0</v>
      </c>
      <c r="AI63" s="78" t="s">
        <v>0</v>
      </c>
      <c r="AJ63" s="78" t="s">
        <v>0</v>
      </c>
      <c r="AK63" s="78" t="s">
        <v>0</v>
      </c>
      <c r="AL63" s="78" t="s">
        <v>0</v>
      </c>
      <c r="AM63" s="78" t="s">
        <v>0</v>
      </c>
      <c r="AN63" s="78" t="s">
        <v>0</v>
      </c>
      <c r="AO63" s="78" t="s">
        <v>0</v>
      </c>
      <c r="AP63" s="78" t="s">
        <v>0</v>
      </c>
      <c r="AQ63" s="78" t="s">
        <v>0</v>
      </c>
      <c r="AR63" s="78" t="s">
        <v>0</v>
      </c>
      <c r="AS63" s="78" t="s">
        <v>0</v>
      </c>
      <c r="AT63" s="78" t="s">
        <v>0</v>
      </c>
      <c r="AU63" s="78" t="s">
        <v>0</v>
      </c>
      <c r="AV63" s="78" t="s">
        <v>0</v>
      </c>
      <c r="AW63" s="78" t="s">
        <v>0</v>
      </c>
      <c r="AX63" s="78" t="s">
        <v>0</v>
      </c>
      <c r="AY63" s="78" t="s">
        <v>0</v>
      </c>
      <c r="AZ63" s="78" t="s">
        <v>0</v>
      </c>
      <c r="BA63" s="78" t="s">
        <v>0</v>
      </c>
      <c r="BB63" s="78" t="s">
        <v>0</v>
      </c>
      <c r="BC63" s="78" t="s">
        <v>0</v>
      </c>
      <c r="BD63" s="78" t="s">
        <v>0</v>
      </c>
      <c r="BE63" s="78" t="s">
        <v>0</v>
      </c>
      <c r="BF63" s="78" t="s">
        <v>0</v>
      </c>
      <c r="BG63" s="78" t="s">
        <v>0</v>
      </c>
      <c r="BH63" s="78" t="s">
        <v>0</v>
      </c>
      <c r="BI63" s="78" t="s">
        <v>0</v>
      </c>
      <c r="BJ63" s="78" t="s">
        <v>0</v>
      </c>
    </row>
    <row r="64" spans="1:62" ht="12.75">
      <c r="A64" s="710">
        <v>307</v>
      </c>
      <c r="B64" s="44" t="s">
        <v>2210</v>
      </c>
      <c r="C64" s="325">
        <f>MOD(G$1,A64)</f>
        <v>218</v>
      </c>
      <c r="D64" s="82">
        <f>A64-C64</f>
        <v>89</v>
      </c>
      <c r="E64" s="76">
        <f>MOD(G$2,A64)</f>
        <v>137</v>
      </c>
      <c r="F64" s="78" t="s">
        <v>2299</v>
      </c>
      <c r="G64" s="78" t="s">
        <v>0</v>
      </c>
      <c r="H64" s="78" t="s">
        <v>0</v>
      </c>
      <c r="I64" s="78" t="s">
        <v>0</v>
      </c>
      <c r="J64" s="78" t="s">
        <v>0</v>
      </c>
      <c r="K64" s="78" t="s">
        <v>0</v>
      </c>
      <c r="L64" s="78" t="s">
        <v>0</v>
      </c>
      <c r="M64" s="78" t="s">
        <v>0</v>
      </c>
      <c r="N64" s="78" t="s">
        <v>0</v>
      </c>
      <c r="O64" s="78" t="s">
        <v>0</v>
      </c>
      <c r="P64" s="78" t="s">
        <v>0</v>
      </c>
      <c r="Q64" s="78" t="s">
        <v>0</v>
      </c>
      <c r="R64" s="78" t="s">
        <v>0</v>
      </c>
      <c r="S64" s="78" t="s">
        <v>0</v>
      </c>
      <c r="T64" s="78" t="s">
        <v>0</v>
      </c>
      <c r="U64" s="78" t="s">
        <v>0</v>
      </c>
      <c r="V64" s="78" t="s">
        <v>0</v>
      </c>
      <c r="W64" s="78" t="s">
        <v>0</v>
      </c>
      <c r="X64" s="78" t="s">
        <v>0</v>
      </c>
      <c r="Y64" s="78" t="s">
        <v>0</v>
      </c>
      <c r="Z64" s="78" t="s">
        <v>0</v>
      </c>
      <c r="AA64" s="78" t="s">
        <v>0</v>
      </c>
      <c r="AB64" s="78" t="s">
        <v>0</v>
      </c>
      <c r="AC64" s="78" t="s">
        <v>0</v>
      </c>
      <c r="AD64" s="78" t="s">
        <v>0</v>
      </c>
      <c r="AE64" s="78" t="s">
        <v>0</v>
      </c>
      <c r="AF64" s="78" t="s">
        <v>0</v>
      </c>
      <c r="AG64" s="78" t="s">
        <v>0</v>
      </c>
      <c r="AH64" s="78" t="s">
        <v>0</v>
      </c>
      <c r="AI64" s="78" t="s">
        <v>0</v>
      </c>
      <c r="AJ64" s="78" t="s">
        <v>0</v>
      </c>
      <c r="AK64" s="78" t="s">
        <v>0</v>
      </c>
      <c r="AL64" s="78" t="s">
        <v>0</v>
      </c>
      <c r="AM64" s="78" t="s">
        <v>0</v>
      </c>
      <c r="AN64" s="78" t="s">
        <v>0</v>
      </c>
      <c r="AO64" s="78" t="s">
        <v>0</v>
      </c>
      <c r="AP64" s="78" t="s">
        <v>0</v>
      </c>
      <c r="AQ64" s="78" t="s">
        <v>0</v>
      </c>
      <c r="AR64" s="78" t="s">
        <v>0</v>
      </c>
      <c r="AS64" s="78" t="s">
        <v>0</v>
      </c>
      <c r="AT64" s="78" t="s">
        <v>0</v>
      </c>
      <c r="AU64" s="78" t="s">
        <v>0</v>
      </c>
      <c r="AV64" s="78" t="s">
        <v>0</v>
      </c>
      <c r="AW64" s="78" t="s">
        <v>0</v>
      </c>
      <c r="AX64" s="78" t="s">
        <v>0</v>
      </c>
      <c r="AY64" s="78" t="s">
        <v>0</v>
      </c>
      <c r="AZ64" s="78" t="s">
        <v>0</v>
      </c>
      <c r="BA64" s="78" t="s">
        <v>0</v>
      </c>
      <c r="BB64" s="78" t="s">
        <v>0</v>
      </c>
      <c r="BC64" s="78" t="s">
        <v>0</v>
      </c>
      <c r="BD64" s="78" t="s">
        <v>0</v>
      </c>
      <c r="BE64" s="78" t="s">
        <v>0</v>
      </c>
      <c r="BF64" s="78" t="s">
        <v>0</v>
      </c>
      <c r="BG64" s="78" t="s">
        <v>0</v>
      </c>
      <c r="BH64" s="78" t="s">
        <v>0</v>
      </c>
      <c r="BI64" s="78" t="s">
        <v>0</v>
      </c>
      <c r="BJ64" s="78" t="s">
        <v>0</v>
      </c>
    </row>
    <row r="65" spans="1:62" ht="12.75">
      <c r="A65" s="710">
        <v>311</v>
      </c>
      <c r="B65" s="44" t="s">
        <v>2212</v>
      </c>
      <c r="C65" s="325">
        <f>MOD(G$1,A65)</f>
        <v>157</v>
      </c>
      <c r="D65" s="82">
        <f>A65-C65</f>
        <v>154</v>
      </c>
      <c r="E65" s="76">
        <f>MOD(G$2,A65)</f>
        <v>64</v>
      </c>
      <c r="F65" s="78" t="s">
        <v>2309</v>
      </c>
      <c r="G65" s="78" t="s">
        <v>0</v>
      </c>
      <c r="H65" s="78" t="s">
        <v>0</v>
      </c>
      <c r="I65" s="78" t="s">
        <v>0</v>
      </c>
      <c r="J65" s="78" t="s">
        <v>0</v>
      </c>
      <c r="K65" s="78" t="s">
        <v>0</v>
      </c>
      <c r="L65" s="78" t="s">
        <v>0</v>
      </c>
      <c r="M65" s="78" t="s">
        <v>0</v>
      </c>
      <c r="N65" s="78" t="s">
        <v>0</v>
      </c>
      <c r="O65" s="78" t="s">
        <v>0</v>
      </c>
      <c r="P65" s="78" t="s">
        <v>0</v>
      </c>
      <c r="Q65" s="78" t="s">
        <v>0</v>
      </c>
      <c r="R65" s="78" t="s">
        <v>0</v>
      </c>
      <c r="S65" s="78" t="s">
        <v>0</v>
      </c>
      <c r="T65" s="78" t="s">
        <v>0</v>
      </c>
      <c r="U65" s="78" t="s">
        <v>0</v>
      </c>
      <c r="V65" s="78" t="s">
        <v>0</v>
      </c>
      <c r="W65" s="78" t="s">
        <v>0</v>
      </c>
      <c r="X65" s="78" t="s">
        <v>0</v>
      </c>
      <c r="Y65" s="78" t="s">
        <v>0</v>
      </c>
      <c r="Z65" s="78" t="s">
        <v>0</v>
      </c>
      <c r="AA65" s="78" t="s">
        <v>0</v>
      </c>
      <c r="AB65" s="78" t="s">
        <v>0</v>
      </c>
      <c r="AC65" s="78" t="s">
        <v>0</v>
      </c>
      <c r="AD65" s="78" t="s">
        <v>0</v>
      </c>
      <c r="AE65" s="78" t="s">
        <v>0</v>
      </c>
      <c r="AF65" s="78" t="s">
        <v>0</v>
      </c>
      <c r="AG65" s="78" t="s">
        <v>0</v>
      </c>
      <c r="AH65" s="78" t="s">
        <v>0</v>
      </c>
      <c r="AI65" s="78" t="s">
        <v>0</v>
      </c>
      <c r="AJ65" s="78" t="s">
        <v>0</v>
      </c>
      <c r="AK65" s="78" t="s">
        <v>0</v>
      </c>
      <c r="AL65" s="78" t="s">
        <v>0</v>
      </c>
      <c r="AM65" s="78" t="s">
        <v>0</v>
      </c>
      <c r="AN65" s="78" t="s">
        <v>0</v>
      </c>
      <c r="AO65" s="78" t="s">
        <v>0</v>
      </c>
      <c r="AP65" s="78" t="s">
        <v>0</v>
      </c>
      <c r="AQ65" s="78" t="s">
        <v>0</v>
      </c>
      <c r="AR65" s="78" t="s">
        <v>0</v>
      </c>
      <c r="AS65" s="78" t="s">
        <v>0</v>
      </c>
      <c r="AT65" s="78" t="s">
        <v>0</v>
      </c>
      <c r="AU65" s="78" t="s">
        <v>0</v>
      </c>
      <c r="AV65" s="78" t="s">
        <v>0</v>
      </c>
      <c r="AW65" s="78" t="s">
        <v>0</v>
      </c>
      <c r="AX65" s="78" t="s">
        <v>0</v>
      </c>
      <c r="AY65" s="78" t="s">
        <v>0</v>
      </c>
      <c r="AZ65" s="78" t="s">
        <v>0</v>
      </c>
      <c r="BA65" s="78" t="s">
        <v>0</v>
      </c>
      <c r="BB65" s="78" t="s">
        <v>0</v>
      </c>
      <c r="BC65" s="78" t="s">
        <v>0</v>
      </c>
      <c r="BD65" s="78" t="s">
        <v>0</v>
      </c>
      <c r="BE65" s="78" t="s">
        <v>0</v>
      </c>
      <c r="BF65" s="78" t="s">
        <v>0</v>
      </c>
      <c r="BG65" s="78" t="s">
        <v>0</v>
      </c>
      <c r="BH65" s="78" t="s">
        <v>0</v>
      </c>
      <c r="BI65" s="78" t="s">
        <v>0</v>
      </c>
      <c r="BJ65" s="78" t="s">
        <v>0</v>
      </c>
    </row>
    <row r="66" spans="1:62" ht="12.75">
      <c r="A66" s="710">
        <v>313</v>
      </c>
      <c r="B66" s="44" t="s">
        <v>2213</v>
      </c>
      <c r="C66" s="325">
        <f>MOD(G$1,A66)</f>
        <v>136</v>
      </c>
      <c r="D66" s="82">
        <f>A66-C66</f>
        <v>177</v>
      </c>
      <c r="E66" s="76">
        <f>MOD(G$2,A66)</f>
        <v>37</v>
      </c>
      <c r="F66" s="78" t="s">
        <v>2372</v>
      </c>
      <c r="G66" s="78" t="s">
        <v>0</v>
      </c>
      <c r="H66" s="78" t="s">
        <v>0</v>
      </c>
      <c r="I66" s="78" t="s">
        <v>0</v>
      </c>
      <c r="J66" s="78" t="s">
        <v>0</v>
      </c>
      <c r="K66" s="78" t="s">
        <v>0</v>
      </c>
      <c r="L66" s="78" t="s">
        <v>0</v>
      </c>
      <c r="M66" s="78" t="s">
        <v>0</v>
      </c>
      <c r="N66" s="78" t="s">
        <v>0</v>
      </c>
      <c r="O66" s="78" t="s">
        <v>0</v>
      </c>
      <c r="P66" s="78" t="s">
        <v>0</v>
      </c>
      <c r="Q66" s="78" t="s">
        <v>0</v>
      </c>
      <c r="R66" s="78" t="s">
        <v>0</v>
      </c>
      <c r="S66" s="78" t="s">
        <v>0</v>
      </c>
      <c r="T66" s="78" t="s">
        <v>0</v>
      </c>
      <c r="U66" s="78" t="s">
        <v>0</v>
      </c>
      <c r="V66" s="78" t="s">
        <v>0</v>
      </c>
      <c r="W66" s="78" t="s">
        <v>0</v>
      </c>
      <c r="X66" s="78" t="s">
        <v>0</v>
      </c>
      <c r="Y66" s="78" t="s">
        <v>0</v>
      </c>
      <c r="Z66" s="78" t="s">
        <v>0</v>
      </c>
      <c r="AA66" s="78" t="s">
        <v>0</v>
      </c>
      <c r="AB66" s="78" t="s">
        <v>0</v>
      </c>
      <c r="AC66" s="78" t="s">
        <v>0</v>
      </c>
      <c r="AD66" s="78" t="s">
        <v>0</v>
      </c>
      <c r="AE66" s="78" t="s">
        <v>0</v>
      </c>
      <c r="AF66" s="78" t="s">
        <v>0</v>
      </c>
      <c r="AG66" s="78" t="s">
        <v>0</v>
      </c>
      <c r="AH66" s="78" t="s">
        <v>0</v>
      </c>
      <c r="AI66" s="78" t="s">
        <v>0</v>
      </c>
      <c r="AJ66" s="78" t="s">
        <v>0</v>
      </c>
      <c r="AK66" s="78" t="s">
        <v>0</v>
      </c>
      <c r="AL66" s="78" t="s">
        <v>0</v>
      </c>
      <c r="AM66" s="78" t="s">
        <v>0</v>
      </c>
      <c r="AN66" s="78" t="s">
        <v>0</v>
      </c>
      <c r="AO66" s="78" t="s">
        <v>0</v>
      </c>
      <c r="AP66" s="78" t="s">
        <v>0</v>
      </c>
      <c r="AQ66" s="78" t="s">
        <v>0</v>
      </c>
      <c r="AR66" s="78" t="s">
        <v>0</v>
      </c>
      <c r="AS66" s="78" t="s">
        <v>0</v>
      </c>
      <c r="AT66" s="78" t="s">
        <v>0</v>
      </c>
      <c r="AU66" s="78" t="s">
        <v>0</v>
      </c>
      <c r="AV66" s="78" t="s">
        <v>0</v>
      </c>
      <c r="AW66" s="78" t="s">
        <v>0</v>
      </c>
      <c r="AX66" s="78" t="s">
        <v>0</v>
      </c>
      <c r="AY66" s="78" t="s">
        <v>0</v>
      </c>
      <c r="AZ66" s="78" t="s">
        <v>0</v>
      </c>
      <c r="BA66" s="78" t="s">
        <v>0</v>
      </c>
      <c r="BB66" s="78" t="s">
        <v>0</v>
      </c>
      <c r="BC66" s="78" t="s">
        <v>0</v>
      </c>
      <c r="BD66" s="78" t="s">
        <v>0</v>
      </c>
      <c r="BE66" s="78" t="s">
        <v>0</v>
      </c>
      <c r="BF66" s="78" t="s">
        <v>0</v>
      </c>
      <c r="BG66" s="78" t="s">
        <v>0</v>
      </c>
      <c r="BH66" s="78" t="s">
        <v>0</v>
      </c>
      <c r="BI66" s="78" t="s">
        <v>0</v>
      </c>
      <c r="BJ66" s="78" t="s">
        <v>0</v>
      </c>
    </row>
    <row r="67" spans="1:62" ht="12.75">
      <c r="A67" s="710">
        <v>317</v>
      </c>
      <c r="B67" s="44" t="s">
        <v>2214</v>
      </c>
      <c r="C67" s="325">
        <f>MOD(G$1,A67)</f>
        <v>172</v>
      </c>
      <c r="D67" s="82">
        <f>A67-C67</f>
        <v>145</v>
      </c>
      <c r="E67" s="76">
        <f>MOD(G$2,A67)</f>
        <v>61</v>
      </c>
      <c r="F67" s="78" t="s">
        <v>2272</v>
      </c>
      <c r="G67" s="78" t="s">
        <v>0</v>
      </c>
      <c r="H67" s="78" t="s">
        <v>0</v>
      </c>
      <c r="I67" s="78" t="s">
        <v>0</v>
      </c>
      <c r="J67" s="78" t="s">
        <v>0</v>
      </c>
      <c r="K67" s="78" t="s">
        <v>0</v>
      </c>
      <c r="L67" s="78" t="s">
        <v>0</v>
      </c>
      <c r="M67" s="78" t="s">
        <v>0</v>
      </c>
      <c r="N67" s="78" t="s">
        <v>0</v>
      </c>
      <c r="O67" s="78" t="s">
        <v>0</v>
      </c>
      <c r="P67" s="78" t="s">
        <v>0</v>
      </c>
      <c r="Q67" s="78" t="s">
        <v>0</v>
      </c>
      <c r="R67" s="78" t="s">
        <v>0</v>
      </c>
      <c r="S67" s="78" t="s">
        <v>0</v>
      </c>
      <c r="T67" s="78" t="s">
        <v>0</v>
      </c>
      <c r="U67" s="78" t="s">
        <v>0</v>
      </c>
      <c r="V67" s="78" t="s">
        <v>0</v>
      </c>
      <c r="W67" s="78" t="s">
        <v>0</v>
      </c>
      <c r="X67" s="78" t="s">
        <v>0</v>
      </c>
      <c r="Y67" s="78" t="s">
        <v>0</v>
      </c>
      <c r="Z67" s="78" t="s">
        <v>0</v>
      </c>
      <c r="AA67" s="78" t="s">
        <v>0</v>
      </c>
      <c r="AB67" s="78" t="s">
        <v>0</v>
      </c>
      <c r="AC67" s="78" t="s">
        <v>0</v>
      </c>
      <c r="AD67" s="78" t="s">
        <v>0</v>
      </c>
      <c r="AE67" s="78" t="s">
        <v>0</v>
      </c>
      <c r="AF67" s="78" t="s">
        <v>0</v>
      </c>
      <c r="AG67" s="78" t="s">
        <v>0</v>
      </c>
      <c r="AH67" s="78" t="s">
        <v>0</v>
      </c>
      <c r="AI67" s="78" t="s">
        <v>0</v>
      </c>
      <c r="AJ67" s="78" t="s">
        <v>0</v>
      </c>
      <c r="AK67" s="78" t="s">
        <v>0</v>
      </c>
      <c r="AL67" s="78" t="s">
        <v>0</v>
      </c>
      <c r="AM67" s="78" t="s">
        <v>0</v>
      </c>
      <c r="AN67" s="78" t="s">
        <v>0</v>
      </c>
      <c r="AO67" s="78" t="s">
        <v>0</v>
      </c>
      <c r="AP67" s="78" t="s">
        <v>0</v>
      </c>
      <c r="AQ67" s="78" t="s">
        <v>0</v>
      </c>
      <c r="AR67" s="78" t="s">
        <v>0</v>
      </c>
      <c r="AS67" s="78" t="s">
        <v>0</v>
      </c>
      <c r="AT67" s="78" t="s">
        <v>0</v>
      </c>
      <c r="AU67" s="78" t="s">
        <v>0</v>
      </c>
      <c r="AV67" s="78" t="s">
        <v>0</v>
      </c>
      <c r="AW67" s="78" t="s">
        <v>0</v>
      </c>
      <c r="AX67" s="78" t="s">
        <v>0</v>
      </c>
      <c r="AY67" s="78" t="s">
        <v>0</v>
      </c>
      <c r="AZ67" s="78" t="s">
        <v>0</v>
      </c>
      <c r="BA67" s="78" t="s">
        <v>0</v>
      </c>
      <c r="BB67" s="78" t="s">
        <v>0</v>
      </c>
      <c r="BC67" s="78" t="s">
        <v>0</v>
      </c>
      <c r="BD67" s="78" t="s">
        <v>0</v>
      </c>
      <c r="BE67" s="78" t="s">
        <v>0</v>
      </c>
      <c r="BF67" s="78" t="s">
        <v>0</v>
      </c>
      <c r="BG67" s="78" t="s">
        <v>0</v>
      </c>
      <c r="BH67" s="78" t="s">
        <v>0</v>
      </c>
      <c r="BI67" s="78" t="s">
        <v>0</v>
      </c>
      <c r="BJ67" s="78" t="s">
        <v>0</v>
      </c>
    </row>
    <row r="68" spans="1:62" ht="12.75">
      <c r="A68" s="710">
        <v>331</v>
      </c>
      <c r="B68" s="44" t="s">
        <v>2217</v>
      </c>
      <c r="C68" s="325">
        <f>MOD(G$1,A68)</f>
        <v>328</v>
      </c>
      <c r="D68" s="82">
        <f>A68-C68</f>
        <v>3</v>
      </c>
      <c r="E68" s="76">
        <f>MOD(G$2,A68)</f>
        <v>175</v>
      </c>
      <c r="F68" s="78" t="s">
        <v>2230</v>
      </c>
      <c r="G68" s="78" t="s">
        <v>0</v>
      </c>
      <c r="H68" s="78" t="s">
        <v>0</v>
      </c>
      <c r="I68" s="78" t="s">
        <v>0</v>
      </c>
      <c r="J68" s="78" t="s">
        <v>0</v>
      </c>
      <c r="K68" s="78" t="s">
        <v>0</v>
      </c>
      <c r="L68" s="78" t="s">
        <v>0</v>
      </c>
      <c r="M68" s="78" t="s">
        <v>0</v>
      </c>
      <c r="N68" s="78" t="s">
        <v>0</v>
      </c>
      <c r="O68" s="78" t="s">
        <v>0</v>
      </c>
      <c r="P68" s="78" t="s">
        <v>0</v>
      </c>
      <c r="Q68" s="78" t="s">
        <v>0</v>
      </c>
      <c r="R68" s="78" t="s">
        <v>0</v>
      </c>
      <c r="S68" s="78" t="s">
        <v>0</v>
      </c>
      <c r="T68" s="78" t="s">
        <v>0</v>
      </c>
      <c r="U68" s="78" t="s">
        <v>0</v>
      </c>
      <c r="V68" s="78" t="s">
        <v>0</v>
      </c>
      <c r="W68" s="78" t="s">
        <v>0</v>
      </c>
      <c r="X68" s="78" t="s">
        <v>0</v>
      </c>
      <c r="Y68" s="78" t="s">
        <v>0</v>
      </c>
      <c r="Z68" s="78" t="s">
        <v>0</v>
      </c>
      <c r="AA68" s="78" t="s">
        <v>0</v>
      </c>
      <c r="AB68" s="78" t="s">
        <v>0</v>
      </c>
      <c r="AC68" s="78" t="s">
        <v>0</v>
      </c>
      <c r="AD68" s="78" t="s">
        <v>0</v>
      </c>
      <c r="AE68" s="78" t="s">
        <v>0</v>
      </c>
      <c r="AF68" s="78" t="s">
        <v>0</v>
      </c>
      <c r="AG68" s="78" t="s">
        <v>0</v>
      </c>
      <c r="AH68" s="78" t="s">
        <v>0</v>
      </c>
      <c r="AI68" s="78" t="s">
        <v>0</v>
      </c>
      <c r="AJ68" s="78" t="s">
        <v>0</v>
      </c>
      <c r="AK68" s="78" t="s">
        <v>0</v>
      </c>
      <c r="AL68" s="78" t="s">
        <v>0</v>
      </c>
      <c r="AM68" s="78" t="s">
        <v>0</v>
      </c>
      <c r="AN68" s="78" t="s">
        <v>0</v>
      </c>
      <c r="AO68" s="78" t="s">
        <v>0</v>
      </c>
      <c r="AP68" s="78" t="s">
        <v>0</v>
      </c>
      <c r="AQ68" s="78" t="s">
        <v>0</v>
      </c>
      <c r="AR68" s="78" t="s">
        <v>0</v>
      </c>
      <c r="AS68" s="78" t="s">
        <v>0</v>
      </c>
      <c r="AT68" s="78" t="s">
        <v>0</v>
      </c>
      <c r="AU68" s="78" t="s">
        <v>0</v>
      </c>
      <c r="AV68" s="78" t="s">
        <v>0</v>
      </c>
      <c r="AW68" s="78" t="s">
        <v>0</v>
      </c>
      <c r="AX68" s="78" t="s">
        <v>0</v>
      </c>
      <c r="AY68" s="78" t="s">
        <v>0</v>
      </c>
      <c r="AZ68" s="78" t="s">
        <v>0</v>
      </c>
      <c r="BA68" s="78" t="s">
        <v>0</v>
      </c>
      <c r="BB68" s="78" t="s">
        <v>0</v>
      </c>
      <c r="BC68" s="78" t="s">
        <v>0</v>
      </c>
      <c r="BD68" s="78" t="s">
        <v>0</v>
      </c>
      <c r="BE68" s="78" t="s">
        <v>0</v>
      </c>
      <c r="BF68" s="78" t="s">
        <v>0</v>
      </c>
      <c r="BG68" s="78" t="s">
        <v>0</v>
      </c>
      <c r="BH68" s="78" t="s">
        <v>0</v>
      </c>
      <c r="BI68" s="78" t="s">
        <v>0</v>
      </c>
      <c r="BJ68" s="78" t="s">
        <v>0</v>
      </c>
    </row>
    <row r="69" spans="1:62" ht="12.75">
      <c r="A69" s="710">
        <v>337</v>
      </c>
      <c r="B69" s="44" t="s">
        <v>2219</v>
      </c>
      <c r="C69" s="325">
        <f>MOD(G$1,A69)</f>
        <v>31</v>
      </c>
      <c r="D69" s="82">
        <f>A69-C69</f>
        <v>306</v>
      </c>
      <c r="E69" s="76">
        <f>MOD(G$2,A69)</f>
        <v>197</v>
      </c>
      <c r="F69" s="78" t="s">
        <v>2070</v>
      </c>
      <c r="G69" s="78" t="s">
        <v>0</v>
      </c>
      <c r="H69" s="78" t="s">
        <v>0</v>
      </c>
      <c r="I69" s="78" t="s">
        <v>0</v>
      </c>
      <c r="J69" s="78" t="s">
        <v>0</v>
      </c>
      <c r="K69" s="78" t="s">
        <v>0</v>
      </c>
      <c r="L69" s="78" t="s">
        <v>0</v>
      </c>
      <c r="M69" s="78" t="s">
        <v>0</v>
      </c>
      <c r="N69" s="78" t="s">
        <v>0</v>
      </c>
      <c r="O69" s="78" t="s">
        <v>0</v>
      </c>
      <c r="P69" s="78" t="s">
        <v>0</v>
      </c>
      <c r="Q69" s="78" t="s">
        <v>0</v>
      </c>
      <c r="R69" s="78" t="s">
        <v>0</v>
      </c>
      <c r="S69" s="78" t="s">
        <v>0</v>
      </c>
      <c r="T69" s="78" t="s">
        <v>0</v>
      </c>
      <c r="U69" s="78" t="s">
        <v>0</v>
      </c>
      <c r="V69" s="78" t="s">
        <v>0</v>
      </c>
      <c r="W69" s="78" t="s">
        <v>0</v>
      </c>
      <c r="X69" s="78" t="s">
        <v>0</v>
      </c>
      <c r="Y69" s="78" t="s">
        <v>0</v>
      </c>
      <c r="Z69" s="78" t="s">
        <v>0</v>
      </c>
      <c r="AA69" s="78" t="s">
        <v>0</v>
      </c>
      <c r="AB69" s="78" t="s">
        <v>0</v>
      </c>
      <c r="AC69" s="78" t="s">
        <v>0</v>
      </c>
      <c r="AD69" s="78" t="s">
        <v>0</v>
      </c>
      <c r="AE69" s="78" t="s">
        <v>0</v>
      </c>
      <c r="AF69" s="78" t="s">
        <v>0</v>
      </c>
      <c r="AG69" s="78" t="s">
        <v>0</v>
      </c>
      <c r="AH69" s="78" t="s">
        <v>0</v>
      </c>
      <c r="AI69" s="78" t="s">
        <v>0</v>
      </c>
      <c r="AJ69" s="78" t="s">
        <v>0</v>
      </c>
      <c r="AK69" s="78" t="s">
        <v>0</v>
      </c>
      <c r="AL69" s="78" t="s">
        <v>0</v>
      </c>
      <c r="AM69" s="78" t="s">
        <v>0</v>
      </c>
      <c r="AN69" s="78" t="s">
        <v>0</v>
      </c>
      <c r="AO69" s="78" t="s">
        <v>0</v>
      </c>
      <c r="AP69" s="78" t="s">
        <v>0</v>
      </c>
      <c r="AQ69" s="78" t="s">
        <v>0</v>
      </c>
      <c r="AR69" s="78" t="s">
        <v>0</v>
      </c>
      <c r="AS69" s="78" t="s">
        <v>0</v>
      </c>
      <c r="AT69" s="78" t="s">
        <v>0</v>
      </c>
      <c r="AU69" s="78" t="s">
        <v>0</v>
      </c>
      <c r="AV69" s="78" t="s">
        <v>0</v>
      </c>
      <c r="AW69" s="78" t="s">
        <v>0</v>
      </c>
      <c r="AX69" s="78" t="s">
        <v>0</v>
      </c>
      <c r="AY69" s="78" t="s">
        <v>0</v>
      </c>
      <c r="AZ69" s="78" t="s">
        <v>0</v>
      </c>
      <c r="BA69" s="78" t="s">
        <v>0</v>
      </c>
      <c r="BB69" s="78" t="s">
        <v>0</v>
      </c>
      <c r="BC69" s="78" t="s">
        <v>0</v>
      </c>
      <c r="BD69" s="78" t="s">
        <v>0</v>
      </c>
      <c r="BE69" s="78" t="s">
        <v>0</v>
      </c>
      <c r="BF69" s="78" t="s">
        <v>0</v>
      </c>
      <c r="BG69" s="78" t="s">
        <v>0</v>
      </c>
      <c r="BH69" s="78" t="s">
        <v>0</v>
      </c>
      <c r="BI69" s="78" t="s">
        <v>0</v>
      </c>
      <c r="BJ69" s="78" t="s">
        <v>0</v>
      </c>
    </row>
    <row r="70" spans="1:62" ht="12.75">
      <c r="A70" s="710">
        <v>347</v>
      </c>
      <c r="B70" s="44" t="s">
        <v>2224</v>
      </c>
      <c r="C70" s="325">
        <f>MOD(G$1,A70)</f>
        <v>0</v>
      </c>
      <c r="D70" s="82">
        <f>A70-C70</f>
        <v>347</v>
      </c>
      <c r="E70" s="76">
        <f>MOD(G$2,A70)</f>
        <v>146</v>
      </c>
      <c r="F70" s="78" t="s">
        <v>2225</v>
      </c>
      <c r="G70" s="78" t="s">
        <v>0</v>
      </c>
      <c r="H70" s="78" t="s">
        <v>0</v>
      </c>
      <c r="I70" s="78" t="s">
        <v>0</v>
      </c>
      <c r="J70" s="78" t="s">
        <v>0</v>
      </c>
      <c r="K70" s="78" t="s">
        <v>0</v>
      </c>
      <c r="L70" s="78" t="s">
        <v>0</v>
      </c>
      <c r="M70" s="78" t="s">
        <v>0</v>
      </c>
      <c r="N70" s="78" t="s">
        <v>0</v>
      </c>
      <c r="O70" s="78" t="s">
        <v>0</v>
      </c>
      <c r="P70" s="78" t="s">
        <v>0</v>
      </c>
      <c r="Q70" s="78" t="s">
        <v>0</v>
      </c>
      <c r="R70" s="78" t="s">
        <v>0</v>
      </c>
      <c r="S70" s="78" t="s">
        <v>0</v>
      </c>
      <c r="T70" s="78" t="s">
        <v>0</v>
      </c>
      <c r="U70" s="78" t="s">
        <v>0</v>
      </c>
      <c r="V70" s="78" t="s">
        <v>0</v>
      </c>
      <c r="W70" s="78" t="s">
        <v>0</v>
      </c>
      <c r="X70" s="78" t="s">
        <v>0</v>
      </c>
      <c r="Y70" s="78" t="s">
        <v>0</v>
      </c>
      <c r="Z70" s="78" t="s">
        <v>0</v>
      </c>
      <c r="AA70" s="78" t="s">
        <v>0</v>
      </c>
      <c r="AB70" s="78" t="s">
        <v>0</v>
      </c>
      <c r="AC70" s="78" t="s">
        <v>0</v>
      </c>
      <c r="AD70" s="78" t="s">
        <v>0</v>
      </c>
      <c r="AE70" s="78" t="s">
        <v>0</v>
      </c>
      <c r="AF70" s="78" t="s">
        <v>0</v>
      </c>
      <c r="AG70" s="78" t="s">
        <v>0</v>
      </c>
      <c r="AH70" s="78" t="s">
        <v>0</v>
      </c>
      <c r="AI70" s="78" t="s">
        <v>0</v>
      </c>
      <c r="AJ70" s="78" t="s">
        <v>0</v>
      </c>
      <c r="AK70" s="78" t="s">
        <v>0</v>
      </c>
      <c r="AL70" s="78" t="s">
        <v>0</v>
      </c>
      <c r="AM70" s="78" t="s">
        <v>0</v>
      </c>
      <c r="AN70" s="78" t="s">
        <v>0</v>
      </c>
      <c r="AO70" s="78" t="s">
        <v>0</v>
      </c>
      <c r="AP70" s="78" t="s">
        <v>0</v>
      </c>
      <c r="AQ70" s="78" t="s">
        <v>0</v>
      </c>
      <c r="AR70" s="78" t="s">
        <v>0</v>
      </c>
      <c r="AS70" s="78" t="s">
        <v>0</v>
      </c>
      <c r="AT70" s="78" t="s">
        <v>0</v>
      </c>
      <c r="AU70" s="78" t="s">
        <v>0</v>
      </c>
      <c r="AV70" s="78" t="s">
        <v>0</v>
      </c>
      <c r="AW70" s="78" t="s">
        <v>0</v>
      </c>
      <c r="AX70" s="78" t="s">
        <v>0</v>
      </c>
      <c r="AY70" s="78" t="s">
        <v>0</v>
      </c>
      <c r="AZ70" s="78" t="s">
        <v>0</v>
      </c>
      <c r="BA70" s="78" t="s">
        <v>0</v>
      </c>
      <c r="BB70" s="78" t="s">
        <v>0</v>
      </c>
      <c r="BC70" s="78" t="s">
        <v>0</v>
      </c>
      <c r="BD70" s="78" t="s">
        <v>0</v>
      </c>
      <c r="BE70" s="78" t="s">
        <v>0</v>
      </c>
      <c r="BF70" s="78" t="s">
        <v>0</v>
      </c>
      <c r="BG70" s="78" t="s">
        <v>0</v>
      </c>
      <c r="BH70" s="78" t="s">
        <v>0</v>
      </c>
      <c r="BI70" s="78" t="s">
        <v>0</v>
      </c>
      <c r="BJ70" s="78" t="s">
        <v>0</v>
      </c>
    </row>
    <row r="71" spans="1:62" ht="12.75">
      <c r="A71" s="710">
        <v>349</v>
      </c>
      <c r="B71" s="44" t="s">
        <v>2227</v>
      </c>
      <c r="C71" s="325">
        <f>MOD(G$1,A71)</f>
        <v>111</v>
      </c>
      <c r="D71" s="82">
        <f>A71-C71</f>
        <v>238</v>
      </c>
      <c r="E71" s="76">
        <f>MOD(G$2,A71)</f>
        <v>253</v>
      </c>
      <c r="F71" s="78" t="s">
        <v>2416</v>
      </c>
      <c r="G71" s="78" t="s">
        <v>0</v>
      </c>
      <c r="H71" s="78" t="s">
        <v>0</v>
      </c>
      <c r="I71" s="78" t="s">
        <v>0</v>
      </c>
      <c r="J71" s="78" t="s">
        <v>0</v>
      </c>
      <c r="K71" s="78" t="s">
        <v>0</v>
      </c>
      <c r="L71" s="78" t="s">
        <v>0</v>
      </c>
      <c r="M71" s="78" t="s">
        <v>0</v>
      </c>
      <c r="N71" s="78" t="s">
        <v>0</v>
      </c>
      <c r="O71" s="78" t="s">
        <v>0</v>
      </c>
      <c r="P71" s="78" t="s">
        <v>0</v>
      </c>
      <c r="Q71" s="78" t="s">
        <v>0</v>
      </c>
      <c r="R71" s="78" t="s">
        <v>0</v>
      </c>
      <c r="S71" s="78" t="s">
        <v>0</v>
      </c>
      <c r="T71" s="78" t="s">
        <v>0</v>
      </c>
      <c r="U71" s="78" t="s">
        <v>0</v>
      </c>
      <c r="V71" s="78" t="s">
        <v>0</v>
      </c>
      <c r="W71" s="78" t="s">
        <v>0</v>
      </c>
      <c r="X71" s="78" t="s">
        <v>0</v>
      </c>
      <c r="Y71" s="78" t="s">
        <v>0</v>
      </c>
      <c r="Z71" s="78" t="s">
        <v>0</v>
      </c>
      <c r="AA71" s="78" t="s">
        <v>0</v>
      </c>
      <c r="AB71" s="78" t="s">
        <v>0</v>
      </c>
      <c r="AC71" s="78" t="s">
        <v>0</v>
      </c>
      <c r="AD71" s="78" t="s">
        <v>0</v>
      </c>
      <c r="AE71" s="78" t="s">
        <v>0</v>
      </c>
      <c r="AF71" s="78" t="s">
        <v>0</v>
      </c>
      <c r="AG71" s="78" t="s">
        <v>0</v>
      </c>
      <c r="AH71" s="78" t="s">
        <v>0</v>
      </c>
      <c r="AI71" s="78" t="s">
        <v>0</v>
      </c>
      <c r="AJ71" s="78" t="s">
        <v>0</v>
      </c>
      <c r="AK71" s="78" t="s">
        <v>0</v>
      </c>
      <c r="AL71" s="78" t="s">
        <v>0</v>
      </c>
      <c r="AM71" s="78" t="s">
        <v>0</v>
      </c>
      <c r="AN71" s="78" t="s">
        <v>0</v>
      </c>
      <c r="AO71" s="78" t="s">
        <v>0</v>
      </c>
      <c r="AP71" s="78" t="s">
        <v>0</v>
      </c>
      <c r="AQ71" s="78" t="s">
        <v>0</v>
      </c>
      <c r="AR71" s="78" t="s">
        <v>0</v>
      </c>
      <c r="AS71" s="78" t="s">
        <v>0</v>
      </c>
      <c r="AT71" s="78" t="s">
        <v>0</v>
      </c>
      <c r="AU71" s="78" t="s">
        <v>0</v>
      </c>
      <c r="AV71" s="78" t="s">
        <v>0</v>
      </c>
      <c r="AW71" s="78" t="s">
        <v>0</v>
      </c>
      <c r="AX71" s="78" t="s">
        <v>0</v>
      </c>
      <c r="AY71" s="78" t="s">
        <v>0</v>
      </c>
      <c r="AZ71" s="78" t="s">
        <v>0</v>
      </c>
      <c r="BA71" s="78" t="s">
        <v>0</v>
      </c>
      <c r="BB71" s="78" t="s">
        <v>0</v>
      </c>
      <c r="BC71" s="78" t="s">
        <v>0</v>
      </c>
      <c r="BD71" s="78" t="s">
        <v>0</v>
      </c>
      <c r="BE71" s="78" t="s">
        <v>0</v>
      </c>
      <c r="BF71" s="78" t="s">
        <v>0</v>
      </c>
      <c r="BG71" s="78" t="s">
        <v>0</v>
      </c>
      <c r="BH71" s="78" t="s">
        <v>0</v>
      </c>
      <c r="BI71" s="78" t="s">
        <v>0</v>
      </c>
      <c r="BJ71" s="78" t="s">
        <v>0</v>
      </c>
    </row>
    <row r="72" spans="1:62" ht="12.75">
      <c r="A72" s="710">
        <v>353</v>
      </c>
      <c r="B72" s="44" t="s">
        <v>2228</v>
      </c>
      <c r="C72" s="325">
        <f>MOD(G$1,A72)</f>
        <v>292</v>
      </c>
      <c r="D72" s="82">
        <f>A72-C72</f>
        <v>61</v>
      </c>
      <c r="E72" s="76">
        <f>MOD(G$2,A72)</f>
        <v>73</v>
      </c>
      <c r="F72" s="78" t="s">
        <v>2189</v>
      </c>
      <c r="G72" s="78" t="s">
        <v>0</v>
      </c>
      <c r="H72" s="78" t="s">
        <v>0</v>
      </c>
      <c r="I72" s="78" t="s">
        <v>0</v>
      </c>
      <c r="J72" s="78" t="s">
        <v>0</v>
      </c>
      <c r="K72" s="78" t="s">
        <v>0</v>
      </c>
      <c r="L72" s="78" t="s">
        <v>0</v>
      </c>
      <c r="M72" s="78" t="s">
        <v>0</v>
      </c>
      <c r="N72" s="78" t="s">
        <v>0</v>
      </c>
      <c r="O72" s="78" t="s">
        <v>0</v>
      </c>
      <c r="P72" s="78" t="s">
        <v>0</v>
      </c>
      <c r="Q72" s="78" t="s">
        <v>0</v>
      </c>
      <c r="R72" s="78" t="s">
        <v>0</v>
      </c>
      <c r="S72" s="78" t="s">
        <v>0</v>
      </c>
      <c r="T72" s="78" t="s">
        <v>0</v>
      </c>
      <c r="U72" s="78" t="s">
        <v>0</v>
      </c>
      <c r="V72" s="78" t="s">
        <v>0</v>
      </c>
      <c r="W72" s="78" t="s">
        <v>0</v>
      </c>
      <c r="X72" s="78" t="s">
        <v>0</v>
      </c>
      <c r="Y72" s="78" t="s">
        <v>0</v>
      </c>
      <c r="Z72" s="78" t="s">
        <v>0</v>
      </c>
      <c r="AA72" s="78" t="s">
        <v>0</v>
      </c>
      <c r="AB72" s="78" t="s">
        <v>0</v>
      </c>
      <c r="AC72" s="78" t="s">
        <v>0</v>
      </c>
      <c r="AD72" s="78" t="s">
        <v>0</v>
      </c>
      <c r="AE72" s="78" t="s">
        <v>0</v>
      </c>
      <c r="AF72" s="78" t="s">
        <v>0</v>
      </c>
      <c r="AG72" s="78" t="s">
        <v>0</v>
      </c>
      <c r="AH72" s="78" t="s">
        <v>0</v>
      </c>
      <c r="AI72" s="78" t="s">
        <v>0</v>
      </c>
      <c r="AJ72" s="78" t="s">
        <v>0</v>
      </c>
      <c r="AK72" s="78" t="s">
        <v>0</v>
      </c>
      <c r="AL72" s="78" t="s">
        <v>0</v>
      </c>
      <c r="AM72" s="78" t="s">
        <v>0</v>
      </c>
      <c r="AN72" s="78" t="s">
        <v>0</v>
      </c>
      <c r="AO72" s="78" t="s">
        <v>0</v>
      </c>
      <c r="AP72" s="78" t="s">
        <v>0</v>
      </c>
      <c r="AQ72" s="78" t="s">
        <v>0</v>
      </c>
      <c r="AR72" s="78" t="s">
        <v>0</v>
      </c>
      <c r="AS72" s="78" t="s">
        <v>0</v>
      </c>
      <c r="AT72" s="78" t="s">
        <v>0</v>
      </c>
      <c r="AU72" s="78" t="s">
        <v>0</v>
      </c>
      <c r="AV72" s="78" t="s">
        <v>0</v>
      </c>
      <c r="AW72" s="78" t="s">
        <v>0</v>
      </c>
      <c r="AX72" s="78" t="s">
        <v>0</v>
      </c>
      <c r="AY72" s="78" t="s">
        <v>0</v>
      </c>
      <c r="AZ72" s="78" t="s">
        <v>0</v>
      </c>
      <c r="BA72" s="78" t="s">
        <v>0</v>
      </c>
      <c r="BB72" s="78" t="s">
        <v>0</v>
      </c>
      <c r="BC72" s="78" t="s">
        <v>0</v>
      </c>
      <c r="BD72" s="78" t="s">
        <v>0</v>
      </c>
      <c r="BE72" s="78" t="s">
        <v>0</v>
      </c>
      <c r="BF72" s="78" t="s">
        <v>0</v>
      </c>
      <c r="BG72" s="78" t="s">
        <v>0</v>
      </c>
      <c r="BH72" s="78" t="s">
        <v>0</v>
      </c>
      <c r="BI72" s="78" t="s">
        <v>0</v>
      </c>
      <c r="BJ72" s="78" t="s">
        <v>0</v>
      </c>
    </row>
    <row r="73" spans="1:62" ht="12.75">
      <c r="A73" s="710">
        <v>359</v>
      </c>
      <c r="B73" s="44" t="s">
        <v>2229</v>
      </c>
      <c r="C73" s="325">
        <f>MOD(G$1,A73)</f>
        <v>143</v>
      </c>
      <c r="D73" s="82">
        <f>A73-C73</f>
        <v>216</v>
      </c>
      <c r="E73" s="76">
        <f>MOD(G$2,A73)</f>
        <v>265</v>
      </c>
      <c r="F73" s="78" t="s">
        <v>2397</v>
      </c>
      <c r="G73" s="78" t="s">
        <v>0</v>
      </c>
      <c r="H73" s="78" t="s">
        <v>0</v>
      </c>
      <c r="I73" s="78" t="s">
        <v>0</v>
      </c>
      <c r="J73" s="78" t="s">
        <v>0</v>
      </c>
      <c r="K73" s="78" t="s">
        <v>0</v>
      </c>
      <c r="L73" s="78" t="s">
        <v>0</v>
      </c>
      <c r="M73" s="78" t="s">
        <v>0</v>
      </c>
      <c r="N73" s="78" t="s">
        <v>0</v>
      </c>
      <c r="O73" s="78" t="s">
        <v>0</v>
      </c>
      <c r="P73" s="78" t="s">
        <v>0</v>
      </c>
      <c r="Q73" s="78" t="s">
        <v>0</v>
      </c>
      <c r="R73" s="78" t="s">
        <v>0</v>
      </c>
      <c r="S73" s="78" t="s">
        <v>0</v>
      </c>
      <c r="T73" s="78" t="s">
        <v>0</v>
      </c>
      <c r="U73" s="78" t="s">
        <v>0</v>
      </c>
      <c r="V73" s="78" t="s">
        <v>0</v>
      </c>
      <c r="W73" s="78" t="s">
        <v>0</v>
      </c>
      <c r="X73" s="78" t="s">
        <v>0</v>
      </c>
      <c r="Y73" s="78" t="s">
        <v>0</v>
      </c>
      <c r="Z73" s="78" t="s">
        <v>0</v>
      </c>
      <c r="AA73" s="78" t="s">
        <v>0</v>
      </c>
      <c r="AB73" s="78" t="s">
        <v>0</v>
      </c>
      <c r="AC73" s="78" t="s">
        <v>0</v>
      </c>
      <c r="AD73" s="78" t="s">
        <v>0</v>
      </c>
      <c r="AE73" s="78" t="s">
        <v>0</v>
      </c>
      <c r="AF73" s="78" t="s">
        <v>0</v>
      </c>
      <c r="AG73" s="78" t="s">
        <v>0</v>
      </c>
      <c r="AH73" s="78" t="s">
        <v>0</v>
      </c>
      <c r="AI73" s="78" t="s">
        <v>0</v>
      </c>
      <c r="AJ73" s="78" t="s">
        <v>0</v>
      </c>
      <c r="AK73" s="78" t="s">
        <v>0</v>
      </c>
      <c r="AL73" s="78" t="s">
        <v>0</v>
      </c>
      <c r="AM73" s="78" t="s">
        <v>0</v>
      </c>
      <c r="AN73" s="78" t="s">
        <v>0</v>
      </c>
      <c r="AO73" s="78" t="s">
        <v>0</v>
      </c>
      <c r="AP73" s="78" t="s">
        <v>0</v>
      </c>
      <c r="AQ73" s="78" t="s">
        <v>0</v>
      </c>
      <c r="AR73" s="78" t="s">
        <v>0</v>
      </c>
      <c r="AS73" s="78" t="s">
        <v>0</v>
      </c>
      <c r="AT73" s="78" t="s">
        <v>0</v>
      </c>
      <c r="AU73" s="78" t="s">
        <v>0</v>
      </c>
      <c r="AV73" s="78" t="s">
        <v>0</v>
      </c>
      <c r="AW73" s="78" t="s">
        <v>0</v>
      </c>
      <c r="AX73" s="78" t="s">
        <v>0</v>
      </c>
      <c r="AY73" s="78" t="s">
        <v>0</v>
      </c>
      <c r="AZ73" s="78" t="s">
        <v>0</v>
      </c>
      <c r="BA73" s="78" t="s">
        <v>0</v>
      </c>
      <c r="BB73" s="78" t="s">
        <v>0</v>
      </c>
      <c r="BC73" s="78" t="s">
        <v>0</v>
      </c>
      <c r="BD73" s="78" t="s">
        <v>0</v>
      </c>
      <c r="BE73" s="78" t="s">
        <v>0</v>
      </c>
      <c r="BF73" s="78" t="s">
        <v>0</v>
      </c>
      <c r="BG73" s="78" t="s">
        <v>0</v>
      </c>
      <c r="BH73" s="78" t="s">
        <v>0</v>
      </c>
      <c r="BI73" s="78" t="s">
        <v>0</v>
      </c>
      <c r="BJ73" s="78" t="s">
        <v>0</v>
      </c>
    </row>
    <row r="74" spans="1:62" ht="12.75">
      <c r="A74" s="710">
        <v>367</v>
      </c>
      <c r="B74" s="44" t="s">
        <v>2231</v>
      </c>
      <c r="C74" s="325">
        <f>MOD(G$1,A74)</f>
        <v>276</v>
      </c>
      <c r="D74" s="82">
        <f>A74-C74</f>
        <v>91</v>
      </c>
      <c r="E74" s="76">
        <f>MOD(G$2,A74)</f>
        <v>15</v>
      </c>
      <c r="F74" s="78" t="s">
        <v>2287</v>
      </c>
      <c r="G74" s="78" t="s">
        <v>0</v>
      </c>
      <c r="H74" s="78" t="s">
        <v>0</v>
      </c>
      <c r="I74" s="78" t="s">
        <v>0</v>
      </c>
      <c r="J74" s="78" t="s">
        <v>0</v>
      </c>
      <c r="K74" s="78" t="s">
        <v>0</v>
      </c>
      <c r="L74" s="78" t="s">
        <v>0</v>
      </c>
      <c r="M74" s="78" t="s">
        <v>0</v>
      </c>
      <c r="N74" s="78" t="s">
        <v>0</v>
      </c>
      <c r="O74" s="78" t="s">
        <v>0</v>
      </c>
      <c r="P74" s="78" t="s">
        <v>0</v>
      </c>
      <c r="Q74" s="78" t="s">
        <v>0</v>
      </c>
      <c r="R74" s="78" t="s">
        <v>0</v>
      </c>
      <c r="S74" s="78" t="s">
        <v>0</v>
      </c>
      <c r="T74" s="78" t="s">
        <v>0</v>
      </c>
      <c r="U74" s="78" t="s">
        <v>0</v>
      </c>
      <c r="V74" s="78" t="s">
        <v>0</v>
      </c>
      <c r="W74" s="78" t="s">
        <v>0</v>
      </c>
      <c r="X74" s="78" t="s">
        <v>0</v>
      </c>
      <c r="Y74" s="78" t="s">
        <v>0</v>
      </c>
      <c r="Z74" s="78" t="s">
        <v>0</v>
      </c>
      <c r="AA74" s="78" t="s">
        <v>0</v>
      </c>
      <c r="AB74" s="78" t="s">
        <v>0</v>
      </c>
      <c r="AC74" s="78" t="s">
        <v>0</v>
      </c>
      <c r="AD74" s="78" t="s">
        <v>0</v>
      </c>
      <c r="AE74" s="78" t="s">
        <v>0</v>
      </c>
      <c r="AF74" s="78" t="s">
        <v>0</v>
      </c>
      <c r="AG74" s="78" t="s">
        <v>0</v>
      </c>
      <c r="AH74" s="78" t="s">
        <v>0</v>
      </c>
      <c r="AI74" s="78" t="s">
        <v>0</v>
      </c>
      <c r="AJ74" s="78" t="s">
        <v>0</v>
      </c>
      <c r="AK74" s="78" t="s">
        <v>0</v>
      </c>
      <c r="AL74" s="78" t="s">
        <v>0</v>
      </c>
      <c r="AM74" s="78" t="s">
        <v>0</v>
      </c>
      <c r="AN74" s="78" t="s">
        <v>0</v>
      </c>
      <c r="AO74" s="78" t="s">
        <v>0</v>
      </c>
      <c r="AP74" s="78" t="s">
        <v>0</v>
      </c>
      <c r="AQ74" s="78" t="s">
        <v>0</v>
      </c>
      <c r="AR74" s="78" t="s">
        <v>0</v>
      </c>
      <c r="AS74" s="78" t="s">
        <v>0</v>
      </c>
      <c r="AT74" s="78" t="s">
        <v>0</v>
      </c>
      <c r="AU74" s="78" t="s">
        <v>0</v>
      </c>
      <c r="AV74" s="78" t="s">
        <v>0</v>
      </c>
      <c r="AW74" s="78" t="s">
        <v>0</v>
      </c>
      <c r="AX74" s="78" t="s">
        <v>0</v>
      </c>
      <c r="AY74" s="78" t="s">
        <v>0</v>
      </c>
      <c r="AZ74" s="78" t="s">
        <v>0</v>
      </c>
      <c r="BA74" s="78" t="s">
        <v>0</v>
      </c>
      <c r="BB74" s="78" t="s">
        <v>0</v>
      </c>
      <c r="BC74" s="78" t="s">
        <v>0</v>
      </c>
      <c r="BD74" s="78" t="s">
        <v>0</v>
      </c>
      <c r="BE74" s="78" t="s">
        <v>0</v>
      </c>
      <c r="BF74" s="78" t="s">
        <v>0</v>
      </c>
      <c r="BG74" s="78" t="s">
        <v>0</v>
      </c>
      <c r="BH74" s="78" t="s">
        <v>0</v>
      </c>
      <c r="BI74" s="78" t="s">
        <v>0</v>
      </c>
      <c r="BJ74" s="78" t="s">
        <v>0</v>
      </c>
    </row>
    <row r="75" spans="1:62" ht="12.75">
      <c r="A75" s="710">
        <v>373</v>
      </c>
      <c r="B75" s="44" t="s">
        <v>2232</v>
      </c>
      <c r="C75" s="325">
        <f>MOD(G$1,A75)</f>
        <v>24</v>
      </c>
      <c r="D75" s="82">
        <f>A75-C75</f>
        <v>349</v>
      </c>
      <c r="E75" s="76">
        <f>MOD(G$2,A75)</f>
        <v>118</v>
      </c>
      <c r="F75" s="78" t="s">
        <v>2132</v>
      </c>
      <c r="G75" s="78" t="s">
        <v>0</v>
      </c>
      <c r="H75" s="78" t="s">
        <v>0</v>
      </c>
      <c r="I75" s="78" t="s">
        <v>0</v>
      </c>
      <c r="J75" s="78" t="s">
        <v>0</v>
      </c>
      <c r="K75" s="78" t="s">
        <v>0</v>
      </c>
      <c r="L75" s="78" t="s">
        <v>0</v>
      </c>
      <c r="M75" s="78" t="s">
        <v>0</v>
      </c>
      <c r="N75" s="78" t="s">
        <v>0</v>
      </c>
      <c r="O75" s="78" t="s">
        <v>0</v>
      </c>
      <c r="P75" s="78" t="s">
        <v>0</v>
      </c>
      <c r="Q75" s="78" t="s">
        <v>0</v>
      </c>
      <c r="R75" s="78" t="s">
        <v>0</v>
      </c>
      <c r="S75" s="78" t="s">
        <v>0</v>
      </c>
      <c r="T75" s="78" t="s">
        <v>0</v>
      </c>
      <c r="U75" s="78" t="s">
        <v>0</v>
      </c>
      <c r="V75" s="78" t="s">
        <v>0</v>
      </c>
      <c r="W75" s="78" t="s">
        <v>0</v>
      </c>
      <c r="X75" s="78" t="s">
        <v>0</v>
      </c>
      <c r="Y75" s="78" t="s">
        <v>0</v>
      </c>
      <c r="Z75" s="78" t="s">
        <v>0</v>
      </c>
      <c r="AA75" s="78" t="s">
        <v>0</v>
      </c>
      <c r="AB75" s="78" t="s">
        <v>0</v>
      </c>
      <c r="AC75" s="78" t="s">
        <v>0</v>
      </c>
      <c r="AD75" s="78" t="s">
        <v>0</v>
      </c>
      <c r="AE75" s="78" t="s">
        <v>0</v>
      </c>
      <c r="AF75" s="78" t="s">
        <v>0</v>
      </c>
      <c r="AG75" s="78" t="s">
        <v>0</v>
      </c>
      <c r="AH75" s="78" t="s">
        <v>0</v>
      </c>
      <c r="AI75" s="78" t="s">
        <v>0</v>
      </c>
      <c r="AJ75" s="78" t="s">
        <v>0</v>
      </c>
      <c r="AK75" s="78" t="s">
        <v>0</v>
      </c>
      <c r="AL75" s="78" t="s">
        <v>0</v>
      </c>
      <c r="AM75" s="78" t="s">
        <v>0</v>
      </c>
      <c r="AN75" s="78" t="s">
        <v>0</v>
      </c>
      <c r="AO75" s="78" t="s">
        <v>0</v>
      </c>
      <c r="AP75" s="78" t="s">
        <v>0</v>
      </c>
      <c r="AQ75" s="78" t="s">
        <v>0</v>
      </c>
      <c r="AR75" s="78" t="s">
        <v>0</v>
      </c>
      <c r="AS75" s="78" t="s">
        <v>0</v>
      </c>
      <c r="AT75" s="78" t="s">
        <v>0</v>
      </c>
      <c r="AU75" s="78" t="s">
        <v>0</v>
      </c>
      <c r="AV75" s="78" t="s">
        <v>0</v>
      </c>
      <c r="AW75" s="78" t="s">
        <v>0</v>
      </c>
      <c r="AX75" s="78" t="s">
        <v>0</v>
      </c>
      <c r="AY75" s="78" t="s">
        <v>0</v>
      </c>
      <c r="AZ75" s="78" t="s">
        <v>0</v>
      </c>
      <c r="BA75" s="78" t="s">
        <v>0</v>
      </c>
      <c r="BB75" s="78" t="s">
        <v>0</v>
      </c>
      <c r="BC75" s="78" t="s">
        <v>0</v>
      </c>
      <c r="BD75" s="78" t="s">
        <v>0</v>
      </c>
      <c r="BE75" s="78" t="s">
        <v>0</v>
      </c>
      <c r="BF75" s="78" t="s">
        <v>0</v>
      </c>
      <c r="BG75" s="78" t="s">
        <v>0</v>
      </c>
      <c r="BH75" s="78" t="s">
        <v>0</v>
      </c>
      <c r="BI75" s="78" t="s">
        <v>0</v>
      </c>
      <c r="BJ75" s="78" t="s">
        <v>0</v>
      </c>
    </row>
    <row r="76" spans="1:62" ht="12.75">
      <c r="A76" s="710">
        <v>379</v>
      </c>
      <c r="B76" s="44" t="s">
        <v>2235</v>
      </c>
      <c r="C76" s="325">
        <f>MOD(G$1,A76)</f>
        <v>60</v>
      </c>
      <c r="D76" s="82">
        <f>A76-C76</f>
        <v>319</v>
      </c>
      <c r="E76" s="76">
        <f>MOD(G$2,A76)</f>
        <v>142</v>
      </c>
      <c r="F76" s="78" t="s">
        <v>2284</v>
      </c>
      <c r="G76" s="78" t="s">
        <v>0</v>
      </c>
      <c r="H76" s="78" t="s">
        <v>0</v>
      </c>
      <c r="I76" s="78" t="s">
        <v>0</v>
      </c>
      <c r="J76" s="78" t="s">
        <v>0</v>
      </c>
      <c r="K76" s="78" t="s">
        <v>0</v>
      </c>
      <c r="L76" s="78" t="s">
        <v>0</v>
      </c>
      <c r="M76" s="78" t="s">
        <v>0</v>
      </c>
      <c r="N76" s="78" t="s">
        <v>0</v>
      </c>
      <c r="O76" s="78" t="s">
        <v>0</v>
      </c>
      <c r="P76" s="78" t="s">
        <v>0</v>
      </c>
      <c r="Q76" s="78" t="s">
        <v>0</v>
      </c>
      <c r="R76" s="78" t="s">
        <v>0</v>
      </c>
      <c r="S76" s="78" t="s">
        <v>0</v>
      </c>
      <c r="T76" s="78" t="s">
        <v>0</v>
      </c>
      <c r="U76" s="78" t="s">
        <v>0</v>
      </c>
      <c r="V76" s="78" t="s">
        <v>0</v>
      </c>
      <c r="W76" s="78" t="s">
        <v>0</v>
      </c>
      <c r="X76" s="78" t="s">
        <v>0</v>
      </c>
      <c r="Y76" s="78" t="s">
        <v>0</v>
      </c>
      <c r="Z76" s="78" t="s">
        <v>0</v>
      </c>
      <c r="AA76" s="78" t="s">
        <v>0</v>
      </c>
      <c r="AB76" s="78" t="s">
        <v>0</v>
      </c>
      <c r="AC76" s="78" t="s">
        <v>0</v>
      </c>
      <c r="AD76" s="78" t="s">
        <v>0</v>
      </c>
      <c r="AE76" s="78" t="s">
        <v>0</v>
      </c>
      <c r="AF76" s="78" t="s">
        <v>0</v>
      </c>
      <c r="AG76" s="78" t="s">
        <v>0</v>
      </c>
      <c r="AH76" s="78" t="s">
        <v>0</v>
      </c>
      <c r="AI76" s="78" t="s">
        <v>0</v>
      </c>
      <c r="AJ76" s="78" t="s">
        <v>0</v>
      </c>
      <c r="AK76" s="78" t="s">
        <v>0</v>
      </c>
      <c r="AL76" s="78" t="s">
        <v>0</v>
      </c>
      <c r="AM76" s="78" t="s">
        <v>0</v>
      </c>
      <c r="AN76" s="78" t="s">
        <v>0</v>
      </c>
      <c r="AO76" s="78" t="s">
        <v>0</v>
      </c>
      <c r="AP76" s="78" t="s">
        <v>0</v>
      </c>
      <c r="AQ76" s="78" t="s">
        <v>0</v>
      </c>
      <c r="AR76" s="78" t="s">
        <v>0</v>
      </c>
      <c r="AS76" s="78" t="s">
        <v>0</v>
      </c>
      <c r="AT76" s="78" t="s">
        <v>0</v>
      </c>
      <c r="AU76" s="78" t="s">
        <v>0</v>
      </c>
      <c r="AV76" s="78" t="s">
        <v>0</v>
      </c>
      <c r="AW76" s="78" t="s">
        <v>0</v>
      </c>
      <c r="AX76" s="78" t="s">
        <v>0</v>
      </c>
      <c r="AY76" s="78" t="s">
        <v>0</v>
      </c>
      <c r="AZ76" s="78" t="s">
        <v>0</v>
      </c>
      <c r="BA76" s="78" t="s">
        <v>0</v>
      </c>
      <c r="BB76" s="78" t="s">
        <v>0</v>
      </c>
      <c r="BC76" s="78" t="s">
        <v>0</v>
      </c>
      <c r="BD76" s="78" t="s">
        <v>0</v>
      </c>
      <c r="BE76" s="78" t="s">
        <v>0</v>
      </c>
      <c r="BF76" s="78" t="s">
        <v>0</v>
      </c>
      <c r="BG76" s="78" t="s">
        <v>0</v>
      </c>
      <c r="BH76" s="78" t="s">
        <v>0</v>
      </c>
      <c r="BI76" s="78" t="s">
        <v>0</v>
      </c>
      <c r="BJ76" s="78" t="s">
        <v>0</v>
      </c>
    </row>
    <row r="77" spans="1:62" ht="12.75">
      <c r="A77" s="710">
        <v>383</v>
      </c>
      <c r="B77" s="44" t="s">
        <v>2238</v>
      </c>
      <c r="C77" s="325">
        <f>MOD(G$1,A77)</f>
        <v>108</v>
      </c>
      <c r="D77" s="82">
        <f>A77-C77</f>
        <v>275</v>
      </c>
      <c r="E77" s="76">
        <f>MOD(G$2,A77)</f>
        <v>182</v>
      </c>
      <c r="F77" s="78" t="s">
        <v>2101</v>
      </c>
      <c r="G77" s="78" t="s">
        <v>0</v>
      </c>
      <c r="H77" s="78" t="s">
        <v>0</v>
      </c>
      <c r="I77" s="78" t="s">
        <v>0</v>
      </c>
      <c r="J77" s="78" t="s">
        <v>0</v>
      </c>
      <c r="K77" s="78" t="s">
        <v>0</v>
      </c>
      <c r="L77" s="78" t="s">
        <v>0</v>
      </c>
      <c r="M77" s="78" t="s">
        <v>0</v>
      </c>
      <c r="N77" s="78" t="s">
        <v>0</v>
      </c>
      <c r="O77" s="78" t="s">
        <v>0</v>
      </c>
      <c r="P77" s="78" t="s">
        <v>0</v>
      </c>
      <c r="Q77" s="78" t="s">
        <v>0</v>
      </c>
      <c r="R77" s="78" t="s">
        <v>0</v>
      </c>
      <c r="S77" s="78" t="s">
        <v>0</v>
      </c>
      <c r="T77" s="78" t="s">
        <v>0</v>
      </c>
      <c r="U77" s="78" t="s">
        <v>0</v>
      </c>
      <c r="V77" s="78" t="s">
        <v>0</v>
      </c>
      <c r="W77" s="78" t="s">
        <v>0</v>
      </c>
      <c r="X77" s="78" t="s">
        <v>0</v>
      </c>
      <c r="Y77" s="78" t="s">
        <v>0</v>
      </c>
      <c r="Z77" s="78" t="s">
        <v>0</v>
      </c>
      <c r="AA77" s="78" t="s">
        <v>0</v>
      </c>
      <c r="AB77" s="78" t="s">
        <v>0</v>
      </c>
      <c r="AC77" s="78" t="s">
        <v>0</v>
      </c>
      <c r="AD77" s="78" t="s">
        <v>0</v>
      </c>
      <c r="AE77" s="78" t="s">
        <v>0</v>
      </c>
      <c r="AF77" s="78" t="s">
        <v>0</v>
      </c>
      <c r="AG77" s="78" t="s">
        <v>0</v>
      </c>
      <c r="AH77" s="78" t="s">
        <v>0</v>
      </c>
      <c r="AI77" s="78" t="s">
        <v>0</v>
      </c>
      <c r="AJ77" s="78" t="s">
        <v>0</v>
      </c>
      <c r="AK77" s="78" t="s">
        <v>0</v>
      </c>
      <c r="AL77" s="78" t="s">
        <v>0</v>
      </c>
      <c r="AM77" s="78" t="s">
        <v>0</v>
      </c>
      <c r="AN77" s="78" t="s">
        <v>0</v>
      </c>
      <c r="AO77" s="78" t="s">
        <v>0</v>
      </c>
      <c r="AP77" s="78" t="s">
        <v>0</v>
      </c>
      <c r="AQ77" s="78" t="s">
        <v>0</v>
      </c>
      <c r="AR77" s="78" t="s">
        <v>0</v>
      </c>
      <c r="AS77" s="78" t="s">
        <v>0</v>
      </c>
      <c r="AT77" s="78" t="s">
        <v>0</v>
      </c>
      <c r="AU77" s="78" t="s">
        <v>0</v>
      </c>
      <c r="AV77" s="78" t="s">
        <v>0</v>
      </c>
      <c r="AW77" s="78" t="s">
        <v>0</v>
      </c>
      <c r="AX77" s="78" t="s">
        <v>0</v>
      </c>
      <c r="AY77" s="78" t="s">
        <v>0</v>
      </c>
      <c r="AZ77" s="78" t="s">
        <v>0</v>
      </c>
      <c r="BA77" s="78" t="s">
        <v>0</v>
      </c>
      <c r="BB77" s="78" t="s">
        <v>0</v>
      </c>
      <c r="BC77" s="78" t="s">
        <v>0</v>
      </c>
      <c r="BD77" s="78" t="s">
        <v>0</v>
      </c>
      <c r="BE77" s="78" t="s">
        <v>0</v>
      </c>
      <c r="BF77" s="78" t="s">
        <v>0</v>
      </c>
      <c r="BG77" s="78" t="s">
        <v>0</v>
      </c>
      <c r="BH77" s="78" t="s">
        <v>0</v>
      </c>
      <c r="BI77" s="78" t="s">
        <v>0</v>
      </c>
      <c r="BJ77" s="78" t="s">
        <v>0</v>
      </c>
    </row>
    <row r="78" spans="1:62" ht="12.75">
      <c r="A78" s="710">
        <v>389</v>
      </c>
      <c r="B78" s="44" t="s">
        <v>2239</v>
      </c>
      <c r="C78" s="325">
        <f>MOD(G$1,A78)</f>
        <v>229</v>
      </c>
      <c r="D78" s="82">
        <f>A78-C78</f>
        <v>160</v>
      </c>
      <c r="E78" s="76">
        <f>MOD(G$2,A78)</f>
        <v>291</v>
      </c>
      <c r="F78" s="78" t="s">
        <v>2253</v>
      </c>
      <c r="G78" s="78" t="s">
        <v>0</v>
      </c>
      <c r="H78" s="78" t="s">
        <v>0</v>
      </c>
      <c r="I78" s="78" t="s">
        <v>0</v>
      </c>
      <c r="J78" s="78" t="s">
        <v>0</v>
      </c>
      <c r="K78" s="78" t="s">
        <v>0</v>
      </c>
      <c r="L78" s="78" t="s">
        <v>0</v>
      </c>
      <c r="M78" s="78" t="s">
        <v>0</v>
      </c>
      <c r="N78" s="78" t="s">
        <v>0</v>
      </c>
      <c r="O78" s="78" t="s">
        <v>0</v>
      </c>
      <c r="P78" s="78" t="s">
        <v>0</v>
      </c>
      <c r="Q78" s="78" t="s">
        <v>0</v>
      </c>
      <c r="R78" s="78" t="s">
        <v>0</v>
      </c>
      <c r="S78" s="78" t="s">
        <v>0</v>
      </c>
      <c r="T78" s="78" t="s">
        <v>0</v>
      </c>
      <c r="U78" s="78" t="s">
        <v>0</v>
      </c>
      <c r="V78" s="78" t="s">
        <v>0</v>
      </c>
      <c r="W78" s="78" t="s">
        <v>0</v>
      </c>
      <c r="X78" s="78" t="s">
        <v>0</v>
      </c>
      <c r="Y78" s="78" t="s">
        <v>0</v>
      </c>
      <c r="Z78" s="78" t="s">
        <v>0</v>
      </c>
      <c r="AA78" s="78" t="s">
        <v>0</v>
      </c>
      <c r="AB78" s="78" t="s">
        <v>0</v>
      </c>
      <c r="AC78" s="78" t="s">
        <v>0</v>
      </c>
      <c r="AD78" s="78" t="s">
        <v>0</v>
      </c>
      <c r="AE78" s="78" t="s">
        <v>0</v>
      </c>
      <c r="AF78" s="78" t="s">
        <v>0</v>
      </c>
      <c r="AG78" s="78" t="s">
        <v>0</v>
      </c>
      <c r="AH78" s="78" t="s">
        <v>0</v>
      </c>
      <c r="AI78" s="78" t="s">
        <v>0</v>
      </c>
      <c r="AJ78" s="78" t="s">
        <v>0</v>
      </c>
      <c r="AK78" s="78" t="s">
        <v>0</v>
      </c>
      <c r="AL78" s="78" t="s">
        <v>0</v>
      </c>
      <c r="AM78" s="78" t="s">
        <v>0</v>
      </c>
      <c r="AN78" s="78" t="s">
        <v>0</v>
      </c>
      <c r="AO78" s="78" t="s">
        <v>0</v>
      </c>
      <c r="AP78" s="78" t="s">
        <v>0</v>
      </c>
      <c r="AQ78" s="78" t="s">
        <v>0</v>
      </c>
      <c r="AR78" s="78" t="s">
        <v>0</v>
      </c>
      <c r="AS78" s="78" t="s">
        <v>0</v>
      </c>
      <c r="AT78" s="78" t="s">
        <v>0</v>
      </c>
      <c r="AU78" s="78" t="s">
        <v>0</v>
      </c>
      <c r="AV78" s="78" t="s">
        <v>0</v>
      </c>
      <c r="AW78" s="78" t="s">
        <v>0</v>
      </c>
      <c r="AX78" s="78" t="s">
        <v>0</v>
      </c>
      <c r="AY78" s="78" t="s">
        <v>0</v>
      </c>
      <c r="AZ78" s="78" t="s">
        <v>0</v>
      </c>
      <c r="BA78" s="78" t="s">
        <v>0</v>
      </c>
      <c r="BB78" s="78" t="s">
        <v>0</v>
      </c>
      <c r="BC78" s="78" t="s">
        <v>0</v>
      </c>
      <c r="BD78" s="78" t="s">
        <v>0</v>
      </c>
      <c r="BE78" s="78" t="s">
        <v>0</v>
      </c>
      <c r="BF78" s="78" t="s">
        <v>0</v>
      </c>
      <c r="BG78" s="78" t="s">
        <v>0</v>
      </c>
      <c r="BH78" s="78" t="s">
        <v>0</v>
      </c>
      <c r="BI78" s="78" t="s">
        <v>0</v>
      </c>
      <c r="BJ78" s="78" t="s">
        <v>0</v>
      </c>
    </row>
    <row r="79" spans="1:62" ht="12.75">
      <c r="A79" s="710">
        <v>397</v>
      </c>
      <c r="B79" s="44" t="s">
        <v>2242</v>
      </c>
      <c r="C79" s="325">
        <f>MOD(G$1,A79)</f>
        <v>252</v>
      </c>
      <c r="D79" s="82">
        <f>A79-C79</f>
        <v>145</v>
      </c>
      <c r="E79" s="76">
        <f>MOD(G$2,A79)</f>
        <v>298</v>
      </c>
      <c r="F79" s="78" t="s">
        <v>2192</v>
      </c>
      <c r="G79" s="78" t="s">
        <v>0</v>
      </c>
      <c r="H79" s="78" t="s">
        <v>0</v>
      </c>
      <c r="I79" s="78" t="s">
        <v>0</v>
      </c>
      <c r="J79" s="78" t="s">
        <v>0</v>
      </c>
      <c r="K79" s="78" t="s">
        <v>0</v>
      </c>
      <c r="L79" s="78" t="s">
        <v>0</v>
      </c>
      <c r="M79" s="78" t="s">
        <v>0</v>
      </c>
      <c r="N79" s="78" t="s">
        <v>0</v>
      </c>
      <c r="O79" s="78" t="s">
        <v>0</v>
      </c>
      <c r="P79" s="78" t="s">
        <v>0</v>
      </c>
      <c r="Q79" s="78" t="s">
        <v>0</v>
      </c>
      <c r="R79" s="78" t="s">
        <v>0</v>
      </c>
      <c r="S79" s="78" t="s">
        <v>0</v>
      </c>
      <c r="T79" s="78" t="s">
        <v>0</v>
      </c>
      <c r="U79" s="78" t="s">
        <v>0</v>
      </c>
      <c r="V79" s="78" t="s">
        <v>0</v>
      </c>
      <c r="W79" s="78" t="s">
        <v>0</v>
      </c>
      <c r="X79" s="78" t="s">
        <v>0</v>
      </c>
      <c r="Y79" s="78" t="s">
        <v>0</v>
      </c>
      <c r="Z79" s="78" t="s">
        <v>0</v>
      </c>
      <c r="AA79" s="78" t="s">
        <v>0</v>
      </c>
      <c r="AB79" s="78" t="s">
        <v>0</v>
      </c>
      <c r="AC79" s="78" t="s">
        <v>0</v>
      </c>
      <c r="AD79" s="78" t="s">
        <v>0</v>
      </c>
      <c r="AE79" s="78" t="s">
        <v>0</v>
      </c>
      <c r="AF79" s="78" t="s">
        <v>0</v>
      </c>
      <c r="AG79" s="78" t="s">
        <v>0</v>
      </c>
      <c r="AH79" s="78" t="s">
        <v>0</v>
      </c>
      <c r="AI79" s="78" t="s">
        <v>0</v>
      </c>
      <c r="AJ79" s="78" t="s">
        <v>0</v>
      </c>
      <c r="AK79" s="78" t="s">
        <v>0</v>
      </c>
      <c r="AL79" s="78" t="s">
        <v>0</v>
      </c>
      <c r="AM79" s="78" t="s">
        <v>0</v>
      </c>
      <c r="AN79" s="78" t="s">
        <v>0</v>
      </c>
      <c r="AO79" s="78" t="s">
        <v>0</v>
      </c>
      <c r="AP79" s="78" t="s">
        <v>0</v>
      </c>
      <c r="AQ79" s="78" t="s">
        <v>0</v>
      </c>
      <c r="AR79" s="78" t="s">
        <v>0</v>
      </c>
      <c r="AS79" s="78" t="s">
        <v>0</v>
      </c>
      <c r="AT79" s="78" t="s">
        <v>0</v>
      </c>
      <c r="AU79" s="78" t="s">
        <v>0</v>
      </c>
      <c r="AV79" s="78" t="s">
        <v>0</v>
      </c>
      <c r="AW79" s="78" t="s">
        <v>0</v>
      </c>
      <c r="AX79" s="78" t="s">
        <v>0</v>
      </c>
      <c r="AY79" s="78" t="s">
        <v>0</v>
      </c>
      <c r="AZ79" s="78" t="s">
        <v>0</v>
      </c>
      <c r="BA79" s="78" t="s">
        <v>0</v>
      </c>
      <c r="BB79" s="78" t="s">
        <v>0</v>
      </c>
      <c r="BC79" s="78" t="s">
        <v>0</v>
      </c>
      <c r="BD79" s="78" t="s">
        <v>0</v>
      </c>
      <c r="BE79" s="78" t="s">
        <v>0</v>
      </c>
      <c r="BF79" s="78" t="s">
        <v>0</v>
      </c>
      <c r="BG79" s="78" t="s">
        <v>0</v>
      </c>
      <c r="BH79" s="78" t="s">
        <v>0</v>
      </c>
      <c r="BI79" s="78" t="s">
        <v>0</v>
      </c>
      <c r="BJ79" s="78" t="s">
        <v>0</v>
      </c>
    </row>
    <row r="80" spans="1:62" ht="12.75">
      <c r="A80" s="710">
        <v>401</v>
      </c>
      <c r="B80" s="44" t="s">
        <v>2243</v>
      </c>
      <c r="C80" s="325">
        <f>MOD(G$1,A80)</f>
        <v>347</v>
      </c>
      <c r="D80" s="82">
        <f>A80-C80</f>
        <v>54</v>
      </c>
      <c r="E80" s="76">
        <f>MOD(G$2,A80)</f>
        <v>385</v>
      </c>
      <c r="F80" s="78" t="s">
        <v>2135</v>
      </c>
      <c r="G80" s="78" t="s">
        <v>0</v>
      </c>
      <c r="H80" s="78" t="s">
        <v>0</v>
      </c>
      <c r="I80" s="78" t="s">
        <v>0</v>
      </c>
      <c r="J80" s="78" t="s">
        <v>0</v>
      </c>
      <c r="K80" s="78" t="s">
        <v>0</v>
      </c>
      <c r="L80" s="78" t="s">
        <v>0</v>
      </c>
      <c r="M80" s="78" t="s">
        <v>0</v>
      </c>
      <c r="N80" s="78" t="s">
        <v>0</v>
      </c>
      <c r="O80" s="78" t="s">
        <v>0</v>
      </c>
      <c r="P80" s="78" t="s">
        <v>0</v>
      </c>
      <c r="Q80" s="78" t="s">
        <v>0</v>
      </c>
      <c r="R80" s="78" t="s">
        <v>0</v>
      </c>
      <c r="S80" s="78" t="s">
        <v>0</v>
      </c>
      <c r="T80" s="78" t="s">
        <v>0</v>
      </c>
      <c r="U80" s="78" t="s">
        <v>0</v>
      </c>
      <c r="V80" s="78" t="s">
        <v>0</v>
      </c>
      <c r="W80" s="78" t="s">
        <v>0</v>
      </c>
      <c r="X80" s="78" t="s">
        <v>0</v>
      </c>
      <c r="Y80" s="78" t="s">
        <v>0</v>
      </c>
      <c r="Z80" s="78" t="s">
        <v>0</v>
      </c>
      <c r="AA80" s="78" t="s">
        <v>0</v>
      </c>
      <c r="AB80" s="78" t="s">
        <v>0</v>
      </c>
      <c r="AC80" s="78" t="s">
        <v>0</v>
      </c>
      <c r="AD80" s="78" t="s">
        <v>0</v>
      </c>
      <c r="AE80" s="78" t="s">
        <v>0</v>
      </c>
      <c r="AF80" s="78" t="s">
        <v>0</v>
      </c>
      <c r="AG80" s="78" t="s">
        <v>0</v>
      </c>
      <c r="AH80" s="78" t="s">
        <v>0</v>
      </c>
      <c r="AI80" s="78" t="s">
        <v>0</v>
      </c>
      <c r="AJ80" s="78" t="s">
        <v>0</v>
      </c>
      <c r="AK80" s="78" t="s">
        <v>0</v>
      </c>
      <c r="AL80" s="78" t="s">
        <v>0</v>
      </c>
      <c r="AM80" s="78" t="s">
        <v>0</v>
      </c>
      <c r="AN80" s="78" t="s">
        <v>0</v>
      </c>
      <c r="AO80" s="78" t="s">
        <v>0</v>
      </c>
      <c r="AP80" s="78" t="s">
        <v>0</v>
      </c>
      <c r="AQ80" s="78" t="s">
        <v>0</v>
      </c>
      <c r="AR80" s="78" t="s">
        <v>0</v>
      </c>
      <c r="AS80" s="78" t="s">
        <v>0</v>
      </c>
      <c r="AT80" s="78" t="s">
        <v>0</v>
      </c>
      <c r="AU80" s="78" t="s">
        <v>0</v>
      </c>
      <c r="AV80" s="78" t="s">
        <v>0</v>
      </c>
      <c r="AW80" s="78" t="s">
        <v>0</v>
      </c>
      <c r="AX80" s="78" t="s">
        <v>0</v>
      </c>
      <c r="AY80" s="78" t="s">
        <v>0</v>
      </c>
      <c r="AZ80" s="78" t="s">
        <v>0</v>
      </c>
      <c r="BA80" s="78" t="s">
        <v>0</v>
      </c>
      <c r="BB80" s="78" t="s">
        <v>0</v>
      </c>
      <c r="BC80" s="78" t="s">
        <v>0</v>
      </c>
      <c r="BD80" s="78" t="s">
        <v>0</v>
      </c>
      <c r="BE80" s="78" t="s">
        <v>0</v>
      </c>
      <c r="BF80" s="78" t="s">
        <v>0</v>
      </c>
      <c r="BG80" s="78" t="s">
        <v>0</v>
      </c>
      <c r="BH80" s="78" t="s">
        <v>0</v>
      </c>
      <c r="BI80" s="78" t="s">
        <v>0</v>
      </c>
      <c r="BJ80" s="78" t="s">
        <v>0</v>
      </c>
    </row>
    <row r="81" spans="1:62" ht="12.75">
      <c r="A81" s="710">
        <v>409</v>
      </c>
      <c r="B81" s="44" t="s">
        <v>2246</v>
      </c>
      <c r="C81" s="325">
        <f>MOD(G$1,A81)</f>
        <v>77</v>
      </c>
      <c r="D81" s="82">
        <f>A81-C81</f>
        <v>332</v>
      </c>
      <c r="E81" s="76">
        <f>MOD(G$2,A81)</f>
        <v>99</v>
      </c>
      <c r="F81" s="78" t="s">
        <v>2262</v>
      </c>
      <c r="G81" s="78" t="s">
        <v>0</v>
      </c>
      <c r="H81" s="78" t="s">
        <v>0</v>
      </c>
      <c r="I81" s="78" t="s">
        <v>0</v>
      </c>
      <c r="J81" s="78" t="s">
        <v>0</v>
      </c>
      <c r="K81" s="78" t="s">
        <v>0</v>
      </c>
      <c r="L81" s="78" t="s">
        <v>0</v>
      </c>
      <c r="M81" s="78" t="s">
        <v>0</v>
      </c>
      <c r="N81" s="78" t="s">
        <v>0</v>
      </c>
      <c r="O81" s="78" t="s">
        <v>0</v>
      </c>
      <c r="P81" s="78" t="s">
        <v>0</v>
      </c>
      <c r="Q81" s="78" t="s">
        <v>0</v>
      </c>
      <c r="R81" s="78" t="s">
        <v>0</v>
      </c>
      <c r="S81" s="78" t="s">
        <v>0</v>
      </c>
      <c r="T81" s="78" t="s">
        <v>0</v>
      </c>
      <c r="U81" s="78" t="s">
        <v>0</v>
      </c>
      <c r="V81" s="78" t="s">
        <v>0</v>
      </c>
      <c r="W81" s="78" t="s">
        <v>0</v>
      </c>
      <c r="X81" s="78" t="s">
        <v>0</v>
      </c>
      <c r="Y81" s="78" t="s">
        <v>0</v>
      </c>
      <c r="Z81" s="78" t="s">
        <v>0</v>
      </c>
      <c r="AA81" s="78" t="s">
        <v>0</v>
      </c>
      <c r="AB81" s="78" t="s">
        <v>0</v>
      </c>
      <c r="AC81" s="78" t="s">
        <v>0</v>
      </c>
      <c r="AD81" s="78" t="s">
        <v>0</v>
      </c>
      <c r="AE81" s="78" t="s">
        <v>0</v>
      </c>
      <c r="AF81" s="78" t="s">
        <v>0</v>
      </c>
      <c r="AG81" s="78" t="s">
        <v>0</v>
      </c>
      <c r="AH81" s="78" t="s">
        <v>0</v>
      </c>
      <c r="AI81" s="78" t="s">
        <v>0</v>
      </c>
      <c r="AJ81" s="78" t="s">
        <v>0</v>
      </c>
      <c r="AK81" s="78" t="s">
        <v>0</v>
      </c>
      <c r="AL81" s="78" t="s">
        <v>0</v>
      </c>
      <c r="AM81" s="78" t="s">
        <v>0</v>
      </c>
      <c r="AN81" s="78" t="s">
        <v>0</v>
      </c>
      <c r="AO81" s="78" t="s">
        <v>0</v>
      </c>
      <c r="AP81" s="78" t="s">
        <v>0</v>
      </c>
      <c r="AQ81" s="78" t="s">
        <v>0</v>
      </c>
      <c r="AR81" s="78" t="s">
        <v>0</v>
      </c>
      <c r="AS81" s="78" t="s">
        <v>0</v>
      </c>
      <c r="AT81" s="78" t="s">
        <v>0</v>
      </c>
      <c r="AU81" s="78" t="s">
        <v>0</v>
      </c>
      <c r="AV81" s="78" t="s">
        <v>0</v>
      </c>
      <c r="AW81" s="78" t="s">
        <v>0</v>
      </c>
      <c r="AX81" s="78" t="s">
        <v>0</v>
      </c>
      <c r="AY81" s="78" t="s">
        <v>0</v>
      </c>
      <c r="AZ81" s="78" t="s">
        <v>0</v>
      </c>
      <c r="BA81" s="78" t="s">
        <v>0</v>
      </c>
      <c r="BB81" s="78" t="s">
        <v>0</v>
      </c>
      <c r="BC81" s="78" t="s">
        <v>0</v>
      </c>
      <c r="BD81" s="78" t="s">
        <v>0</v>
      </c>
      <c r="BE81" s="78" t="s">
        <v>0</v>
      </c>
      <c r="BF81" s="78" t="s">
        <v>0</v>
      </c>
      <c r="BG81" s="78" t="s">
        <v>0</v>
      </c>
      <c r="BH81" s="78" t="s">
        <v>0</v>
      </c>
      <c r="BI81" s="78" t="s">
        <v>0</v>
      </c>
      <c r="BJ81" s="78" t="s">
        <v>0</v>
      </c>
    </row>
    <row r="82" spans="1:62" ht="12.75">
      <c r="A82" s="710">
        <v>419</v>
      </c>
      <c r="B82" s="44" t="s">
        <v>2250</v>
      </c>
      <c r="C82" s="325">
        <f>MOD(G$1,A82)</f>
        <v>278</v>
      </c>
      <c r="D82" s="82">
        <f>A82-C82</f>
        <v>141</v>
      </c>
      <c r="E82" s="76">
        <f>MOD(G$2,A82)</f>
        <v>280</v>
      </c>
      <c r="F82" s="78" t="s">
        <v>2140</v>
      </c>
      <c r="G82" s="78" t="s">
        <v>0</v>
      </c>
      <c r="H82" s="78" t="s">
        <v>0</v>
      </c>
      <c r="I82" s="78" t="s">
        <v>0</v>
      </c>
      <c r="J82" s="78" t="s">
        <v>0</v>
      </c>
      <c r="K82" s="78" t="s">
        <v>0</v>
      </c>
      <c r="L82" s="78" t="s">
        <v>0</v>
      </c>
      <c r="M82" s="78" t="s">
        <v>0</v>
      </c>
      <c r="N82" s="78" t="s">
        <v>0</v>
      </c>
      <c r="O82" s="78" t="s">
        <v>0</v>
      </c>
      <c r="P82" s="78" t="s">
        <v>0</v>
      </c>
      <c r="Q82" s="78" t="s">
        <v>0</v>
      </c>
      <c r="R82" s="78" t="s">
        <v>0</v>
      </c>
      <c r="S82" s="78" t="s">
        <v>0</v>
      </c>
      <c r="T82" s="78" t="s">
        <v>0</v>
      </c>
      <c r="U82" s="78" t="s">
        <v>0</v>
      </c>
      <c r="V82" s="78" t="s">
        <v>0</v>
      </c>
      <c r="W82" s="78" t="s">
        <v>0</v>
      </c>
      <c r="X82" s="78" t="s">
        <v>0</v>
      </c>
      <c r="Y82" s="78" t="s">
        <v>0</v>
      </c>
      <c r="Z82" s="78" t="s">
        <v>0</v>
      </c>
      <c r="AA82" s="78" t="s">
        <v>0</v>
      </c>
      <c r="AB82" s="78" t="s">
        <v>0</v>
      </c>
      <c r="AC82" s="78" t="s">
        <v>0</v>
      </c>
      <c r="AD82" s="78" t="s">
        <v>0</v>
      </c>
      <c r="AE82" s="78" t="s">
        <v>0</v>
      </c>
      <c r="AF82" s="78" t="s">
        <v>0</v>
      </c>
      <c r="AG82" s="78" t="s">
        <v>0</v>
      </c>
      <c r="AH82" s="78" t="s">
        <v>0</v>
      </c>
      <c r="AI82" s="78" t="s">
        <v>0</v>
      </c>
      <c r="AJ82" s="78" t="s">
        <v>0</v>
      </c>
      <c r="AK82" s="78" t="s">
        <v>0</v>
      </c>
      <c r="AL82" s="78" t="s">
        <v>0</v>
      </c>
      <c r="AM82" s="78" t="s">
        <v>0</v>
      </c>
      <c r="AN82" s="78" t="s">
        <v>0</v>
      </c>
      <c r="AO82" s="78" t="s">
        <v>0</v>
      </c>
      <c r="AP82" s="78" t="s">
        <v>0</v>
      </c>
      <c r="AQ82" s="78" t="s">
        <v>0</v>
      </c>
      <c r="AR82" s="78" t="s">
        <v>0</v>
      </c>
      <c r="AS82" s="78" t="s">
        <v>0</v>
      </c>
      <c r="AT82" s="78" t="s">
        <v>0</v>
      </c>
      <c r="AU82" s="78" t="s">
        <v>0</v>
      </c>
      <c r="AV82" s="78" t="s">
        <v>0</v>
      </c>
      <c r="AW82" s="78" t="s">
        <v>0</v>
      </c>
      <c r="AX82" s="78" t="s">
        <v>0</v>
      </c>
      <c r="AY82" s="78" t="s">
        <v>0</v>
      </c>
      <c r="AZ82" s="78" t="s">
        <v>0</v>
      </c>
      <c r="BA82" s="78" t="s">
        <v>0</v>
      </c>
      <c r="BB82" s="78" t="s">
        <v>0</v>
      </c>
      <c r="BC82" s="78" t="s">
        <v>0</v>
      </c>
      <c r="BD82" s="78" t="s">
        <v>0</v>
      </c>
      <c r="BE82" s="78" t="s">
        <v>0</v>
      </c>
      <c r="BF82" s="78" t="s">
        <v>0</v>
      </c>
      <c r="BG82" s="78" t="s">
        <v>0</v>
      </c>
      <c r="BH82" s="78" t="s">
        <v>0</v>
      </c>
      <c r="BI82" s="78" t="s">
        <v>0</v>
      </c>
      <c r="BJ82" s="78" t="s">
        <v>0</v>
      </c>
    </row>
    <row r="83" spans="1:62" ht="12.75">
      <c r="A83" s="710">
        <v>421</v>
      </c>
      <c r="B83" s="44" t="s">
        <v>2251</v>
      </c>
      <c r="C83" s="325">
        <f>MOD(G$1,A83)</f>
        <v>247</v>
      </c>
      <c r="D83" s="82">
        <f>A83-C83</f>
        <v>174</v>
      </c>
      <c r="E83" s="76">
        <f>MOD(G$2,A83)</f>
        <v>245</v>
      </c>
      <c r="F83" s="78" t="s">
        <v>2267</v>
      </c>
      <c r="G83" s="78" t="s">
        <v>0</v>
      </c>
      <c r="H83" s="78" t="s">
        <v>0</v>
      </c>
      <c r="I83" s="78" t="s">
        <v>0</v>
      </c>
      <c r="J83" s="78" t="s">
        <v>0</v>
      </c>
      <c r="K83" s="78" t="s">
        <v>0</v>
      </c>
      <c r="L83" s="78" t="s">
        <v>0</v>
      </c>
      <c r="M83" s="78" t="s">
        <v>0</v>
      </c>
      <c r="N83" s="78" t="s">
        <v>0</v>
      </c>
      <c r="O83" s="78" t="s">
        <v>0</v>
      </c>
      <c r="P83" s="78" t="s">
        <v>0</v>
      </c>
      <c r="Q83" s="78" t="s">
        <v>0</v>
      </c>
      <c r="R83" s="78" t="s">
        <v>0</v>
      </c>
      <c r="S83" s="78" t="s">
        <v>0</v>
      </c>
      <c r="T83" s="78" t="s">
        <v>0</v>
      </c>
      <c r="U83" s="78" t="s">
        <v>0</v>
      </c>
      <c r="V83" s="78" t="s">
        <v>0</v>
      </c>
      <c r="W83" s="78" t="s">
        <v>0</v>
      </c>
      <c r="X83" s="78" t="s">
        <v>0</v>
      </c>
      <c r="Y83" s="78" t="s">
        <v>0</v>
      </c>
      <c r="Z83" s="78" t="s">
        <v>0</v>
      </c>
      <c r="AA83" s="78" t="s">
        <v>0</v>
      </c>
      <c r="AB83" s="78" t="s">
        <v>0</v>
      </c>
      <c r="AC83" s="78" t="s">
        <v>0</v>
      </c>
      <c r="AD83" s="78" t="s">
        <v>0</v>
      </c>
      <c r="AE83" s="78" t="s">
        <v>0</v>
      </c>
      <c r="AF83" s="78" t="s">
        <v>0</v>
      </c>
      <c r="AG83" s="78" t="s">
        <v>0</v>
      </c>
      <c r="AH83" s="78" t="s">
        <v>0</v>
      </c>
      <c r="AI83" s="78" t="s">
        <v>0</v>
      </c>
      <c r="AJ83" s="78" t="s">
        <v>0</v>
      </c>
      <c r="AK83" s="78" t="s">
        <v>0</v>
      </c>
      <c r="AL83" s="78" t="s">
        <v>0</v>
      </c>
      <c r="AM83" s="78" t="s">
        <v>0</v>
      </c>
      <c r="AN83" s="78" t="s">
        <v>0</v>
      </c>
      <c r="AO83" s="78" t="s">
        <v>0</v>
      </c>
      <c r="AP83" s="78" t="s">
        <v>0</v>
      </c>
      <c r="AQ83" s="78" t="s">
        <v>0</v>
      </c>
      <c r="AR83" s="78" t="s">
        <v>0</v>
      </c>
      <c r="AS83" s="78" t="s">
        <v>0</v>
      </c>
      <c r="AT83" s="78" t="s">
        <v>0</v>
      </c>
      <c r="AU83" s="78" t="s">
        <v>0</v>
      </c>
      <c r="AV83" s="78" t="s">
        <v>0</v>
      </c>
      <c r="AW83" s="78" t="s">
        <v>0</v>
      </c>
      <c r="AX83" s="78" t="s">
        <v>0</v>
      </c>
      <c r="AY83" s="78" t="s">
        <v>0</v>
      </c>
      <c r="AZ83" s="78" t="s">
        <v>0</v>
      </c>
      <c r="BA83" s="78" t="s">
        <v>0</v>
      </c>
      <c r="BB83" s="78" t="s">
        <v>0</v>
      </c>
      <c r="BC83" s="78" t="s">
        <v>0</v>
      </c>
      <c r="BD83" s="78" t="s">
        <v>0</v>
      </c>
      <c r="BE83" s="78" t="s">
        <v>0</v>
      </c>
      <c r="BF83" s="78" t="s">
        <v>0</v>
      </c>
      <c r="BG83" s="78" t="s">
        <v>0</v>
      </c>
      <c r="BH83" s="78" t="s">
        <v>0</v>
      </c>
      <c r="BI83" s="78" t="s">
        <v>0</v>
      </c>
      <c r="BJ83" s="78" t="s">
        <v>0</v>
      </c>
    </row>
    <row r="84" spans="1:62" ht="12.75">
      <c r="A84" s="710">
        <v>431</v>
      </c>
      <c r="B84" s="44" t="s">
        <v>2252</v>
      </c>
      <c r="C84" s="325">
        <f>MOD(G$1,A84)</f>
        <v>92</v>
      </c>
      <c r="D84" s="82">
        <f>A84-C84</f>
        <v>339</v>
      </c>
      <c r="E84" s="76">
        <f>MOD(G$2,A84)</f>
        <v>70</v>
      </c>
      <c r="F84" s="78" t="s">
        <v>2233</v>
      </c>
      <c r="G84" s="78" t="s">
        <v>0</v>
      </c>
      <c r="H84" s="78" t="s">
        <v>0</v>
      </c>
      <c r="I84" s="78" t="s">
        <v>0</v>
      </c>
      <c r="J84" s="78" t="s">
        <v>0</v>
      </c>
      <c r="K84" s="78" t="s">
        <v>0</v>
      </c>
      <c r="L84" s="78" t="s">
        <v>0</v>
      </c>
      <c r="M84" s="78" t="s">
        <v>0</v>
      </c>
      <c r="N84" s="78" t="s">
        <v>0</v>
      </c>
      <c r="O84" s="78" t="s">
        <v>0</v>
      </c>
      <c r="P84" s="78" t="s">
        <v>0</v>
      </c>
      <c r="Q84" s="78" t="s">
        <v>0</v>
      </c>
      <c r="R84" s="78" t="s">
        <v>0</v>
      </c>
      <c r="S84" s="78" t="s">
        <v>0</v>
      </c>
      <c r="T84" s="78" t="s">
        <v>0</v>
      </c>
      <c r="U84" s="78" t="s">
        <v>0</v>
      </c>
      <c r="V84" s="78" t="s">
        <v>0</v>
      </c>
      <c r="W84" s="78" t="s">
        <v>0</v>
      </c>
      <c r="X84" s="78" t="s">
        <v>0</v>
      </c>
      <c r="Y84" s="78" t="s">
        <v>0</v>
      </c>
      <c r="Z84" s="78" t="s">
        <v>0</v>
      </c>
      <c r="AA84" s="78" t="s">
        <v>0</v>
      </c>
      <c r="AB84" s="78" t="s">
        <v>0</v>
      </c>
      <c r="AC84" s="78" t="s">
        <v>0</v>
      </c>
      <c r="AD84" s="78" t="s">
        <v>0</v>
      </c>
      <c r="AE84" s="78" t="s">
        <v>0</v>
      </c>
      <c r="AF84" s="78" t="s">
        <v>0</v>
      </c>
      <c r="AG84" s="78" t="s">
        <v>0</v>
      </c>
      <c r="AH84" s="78" t="s">
        <v>0</v>
      </c>
      <c r="AI84" s="78" t="s">
        <v>0</v>
      </c>
      <c r="AJ84" s="78" t="s">
        <v>0</v>
      </c>
      <c r="AK84" s="78" t="s">
        <v>0</v>
      </c>
      <c r="AL84" s="78" t="s">
        <v>0</v>
      </c>
      <c r="AM84" s="78" t="s">
        <v>0</v>
      </c>
      <c r="AN84" s="78" t="s">
        <v>0</v>
      </c>
      <c r="AO84" s="78" t="s">
        <v>0</v>
      </c>
      <c r="AP84" s="78" t="s">
        <v>0</v>
      </c>
      <c r="AQ84" s="78" t="s">
        <v>0</v>
      </c>
      <c r="AR84" s="78" t="s">
        <v>0</v>
      </c>
      <c r="AS84" s="78" t="s">
        <v>0</v>
      </c>
      <c r="AT84" s="78" t="s">
        <v>0</v>
      </c>
      <c r="AU84" s="78" t="s">
        <v>0</v>
      </c>
      <c r="AV84" s="78" t="s">
        <v>0</v>
      </c>
      <c r="AW84" s="78" t="s">
        <v>0</v>
      </c>
      <c r="AX84" s="78" t="s">
        <v>0</v>
      </c>
      <c r="AY84" s="78" t="s">
        <v>0</v>
      </c>
      <c r="AZ84" s="78" t="s">
        <v>0</v>
      </c>
      <c r="BA84" s="78" t="s">
        <v>0</v>
      </c>
      <c r="BB84" s="78" t="s">
        <v>0</v>
      </c>
      <c r="BC84" s="78" t="s">
        <v>0</v>
      </c>
      <c r="BD84" s="78" t="s">
        <v>0</v>
      </c>
      <c r="BE84" s="78" t="s">
        <v>0</v>
      </c>
      <c r="BF84" s="78" t="s">
        <v>0</v>
      </c>
      <c r="BG84" s="78" t="s">
        <v>0</v>
      </c>
      <c r="BH84" s="78" t="s">
        <v>0</v>
      </c>
      <c r="BI84" s="78" t="s">
        <v>0</v>
      </c>
      <c r="BJ84" s="78" t="s">
        <v>0</v>
      </c>
    </row>
    <row r="85" spans="1:62" ht="12.75">
      <c r="A85" s="710">
        <v>433</v>
      </c>
      <c r="B85" s="44" t="s">
        <v>2254</v>
      </c>
      <c r="C85" s="325">
        <f>MOD(G$1,A85)</f>
        <v>24</v>
      </c>
      <c r="D85" s="82">
        <f>A85-C85</f>
        <v>409</v>
      </c>
      <c r="E85" s="76">
        <f>MOD(G$2,A85)</f>
        <v>431</v>
      </c>
      <c r="F85" s="78" t="s">
        <v>2161</v>
      </c>
      <c r="G85" s="78" t="s">
        <v>0</v>
      </c>
      <c r="H85" s="78" t="s">
        <v>0</v>
      </c>
      <c r="I85" s="78" t="s">
        <v>0</v>
      </c>
      <c r="J85" s="78" t="s">
        <v>0</v>
      </c>
      <c r="K85" s="78" t="s">
        <v>0</v>
      </c>
      <c r="L85" s="78" t="s">
        <v>0</v>
      </c>
      <c r="M85" s="78" t="s">
        <v>0</v>
      </c>
      <c r="N85" s="78" t="s">
        <v>0</v>
      </c>
      <c r="O85" s="78" t="s">
        <v>0</v>
      </c>
      <c r="P85" s="78" t="s">
        <v>0</v>
      </c>
      <c r="Q85" s="78" t="s">
        <v>0</v>
      </c>
      <c r="R85" s="78" t="s">
        <v>0</v>
      </c>
      <c r="S85" s="78" t="s">
        <v>0</v>
      </c>
      <c r="T85" s="78" t="s">
        <v>0</v>
      </c>
      <c r="U85" s="78" t="s">
        <v>0</v>
      </c>
      <c r="V85" s="78" t="s">
        <v>0</v>
      </c>
      <c r="W85" s="78" t="s">
        <v>0</v>
      </c>
      <c r="X85" s="78" t="s">
        <v>0</v>
      </c>
      <c r="Y85" s="78" t="s">
        <v>0</v>
      </c>
      <c r="Z85" s="78" t="s">
        <v>0</v>
      </c>
      <c r="AA85" s="78" t="s">
        <v>0</v>
      </c>
      <c r="AB85" s="78" t="s">
        <v>0</v>
      </c>
      <c r="AC85" s="78" t="s">
        <v>0</v>
      </c>
      <c r="AD85" s="78" t="s">
        <v>0</v>
      </c>
      <c r="AE85" s="78" t="s">
        <v>0</v>
      </c>
      <c r="AF85" s="78" t="s">
        <v>0</v>
      </c>
      <c r="AG85" s="78" t="s">
        <v>0</v>
      </c>
      <c r="AH85" s="78" t="s">
        <v>0</v>
      </c>
      <c r="AI85" s="78" t="s">
        <v>0</v>
      </c>
      <c r="AJ85" s="78" t="s">
        <v>0</v>
      </c>
      <c r="AK85" s="78" t="s">
        <v>0</v>
      </c>
      <c r="AL85" s="78" t="s">
        <v>0</v>
      </c>
      <c r="AM85" s="78" t="s">
        <v>0</v>
      </c>
      <c r="AN85" s="78" t="s">
        <v>0</v>
      </c>
      <c r="AO85" s="78" t="s">
        <v>0</v>
      </c>
      <c r="AP85" s="78" t="s">
        <v>0</v>
      </c>
      <c r="AQ85" s="78" t="s">
        <v>0</v>
      </c>
      <c r="AR85" s="78" t="s">
        <v>0</v>
      </c>
      <c r="AS85" s="78" t="s">
        <v>0</v>
      </c>
      <c r="AT85" s="78" t="s">
        <v>0</v>
      </c>
      <c r="AU85" s="78" t="s">
        <v>0</v>
      </c>
      <c r="AV85" s="78" t="s">
        <v>0</v>
      </c>
      <c r="AW85" s="78" t="s">
        <v>0</v>
      </c>
      <c r="AX85" s="78" t="s">
        <v>0</v>
      </c>
      <c r="AY85" s="78" t="s">
        <v>0</v>
      </c>
      <c r="AZ85" s="78" t="s">
        <v>0</v>
      </c>
      <c r="BA85" s="78" t="s">
        <v>0</v>
      </c>
      <c r="BB85" s="78" t="s">
        <v>0</v>
      </c>
      <c r="BC85" s="78" t="s">
        <v>0</v>
      </c>
      <c r="BD85" s="78" t="s">
        <v>0</v>
      </c>
      <c r="BE85" s="78" t="s">
        <v>0</v>
      </c>
      <c r="BF85" s="78" t="s">
        <v>0</v>
      </c>
      <c r="BG85" s="78" t="s">
        <v>0</v>
      </c>
      <c r="BH85" s="78" t="s">
        <v>0</v>
      </c>
      <c r="BI85" s="78" t="s">
        <v>0</v>
      </c>
      <c r="BJ85" s="78" t="s">
        <v>0</v>
      </c>
    </row>
    <row r="86" spans="1:62" ht="12.75">
      <c r="A86" s="710">
        <v>439</v>
      </c>
      <c r="B86" s="44" t="s">
        <v>2255</v>
      </c>
      <c r="C86" s="325">
        <f>MOD(G$1,A86)</f>
        <v>281</v>
      </c>
      <c r="D86" s="82">
        <f>A86-C86</f>
        <v>158</v>
      </c>
      <c r="E86" s="76">
        <f>MOD(G$2,A86)</f>
        <v>243</v>
      </c>
      <c r="F86" s="78" t="s">
        <v>2194</v>
      </c>
      <c r="G86" s="78" t="s">
        <v>0</v>
      </c>
      <c r="H86" s="78" t="s">
        <v>0</v>
      </c>
      <c r="I86" s="78" t="s">
        <v>0</v>
      </c>
      <c r="J86" s="78" t="s">
        <v>0</v>
      </c>
      <c r="K86" s="78" t="s">
        <v>0</v>
      </c>
      <c r="L86" s="78" t="s">
        <v>0</v>
      </c>
      <c r="M86" s="78" t="s">
        <v>0</v>
      </c>
      <c r="N86" s="78" t="s">
        <v>0</v>
      </c>
      <c r="O86" s="78" t="s">
        <v>0</v>
      </c>
      <c r="P86" s="78" t="s">
        <v>0</v>
      </c>
      <c r="Q86" s="78" t="s">
        <v>0</v>
      </c>
      <c r="R86" s="78" t="s">
        <v>0</v>
      </c>
      <c r="S86" s="78" t="s">
        <v>0</v>
      </c>
      <c r="T86" s="78" t="s">
        <v>0</v>
      </c>
      <c r="U86" s="78" t="s">
        <v>0</v>
      </c>
      <c r="V86" s="78" t="s">
        <v>0</v>
      </c>
      <c r="W86" s="78" t="s">
        <v>0</v>
      </c>
      <c r="X86" s="78" t="s">
        <v>0</v>
      </c>
      <c r="Y86" s="78" t="s">
        <v>0</v>
      </c>
      <c r="Z86" s="78" t="s">
        <v>0</v>
      </c>
      <c r="AA86" s="78" t="s">
        <v>0</v>
      </c>
      <c r="AB86" s="78" t="s">
        <v>0</v>
      </c>
      <c r="AC86" s="78" t="s">
        <v>0</v>
      </c>
      <c r="AD86" s="78" t="s">
        <v>0</v>
      </c>
      <c r="AE86" s="78" t="s">
        <v>0</v>
      </c>
      <c r="AF86" s="78" t="s">
        <v>0</v>
      </c>
      <c r="AG86" s="78" t="s">
        <v>0</v>
      </c>
      <c r="AH86" s="78" t="s">
        <v>0</v>
      </c>
      <c r="AI86" s="78" t="s">
        <v>0</v>
      </c>
      <c r="AJ86" s="78" t="s">
        <v>0</v>
      </c>
      <c r="AK86" s="78" t="s">
        <v>0</v>
      </c>
      <c r="AL86" s="78" t="s">
        <v>0</v>
      </c>
      <c r="AM86" s="78" t="s">
        <v>0</v>
      </c>
      <c r="AN86" s="78" t="s">
        <v>0</v>
      </c>
      <c r="AO86" s="78" t="s">
        <v>0</v>
      </c>
      <c r="AP86" s="78" t="s">
        <v>0</v>
      </c>
      <c r="AQ86" s="78" t="s">
        <v>0</v>
      </c>
      <c r="AR86" s="78" t="s">
        <v>0</v>
      </c>
      <c r="AS86" s="78" t="s">
        <v>0</v>
      </c>
      <c r="AT86" s="78" t="s">
        <v>0</v>
      </c>
      <c r="AU86" s="78" t="s">
        <v>0</v>
      </c>
      <c r="AV86" s="78" t="s">
        <v>0</v>
      </c>
      <c r="AW86" s="78" t="s">
        <v>0</v>
      </c>
      <c r="AX86" s="78" t="s">
        <v>0</v>
      </c>
      <c r="AY86" s="78" t="s">
        <v>0</v>
      </c>
      <c r="AZ86" s="78" t="s">
        <v>0</v>
      </c>
      <c r="BA86" s="78" t="s">
        <v>0</v>
      </c>
      <c r="BB86" s="78" t="s">
        <v>0</v>
      </c>
      <c r="BC86" s="78" t="s">
        <v>0</v>
      </c>
      <c r="BD86" s="78" t="s">
        <v>0</v>
      </c>
      <c r="BE86" s="78" t="s">
        <v>0</v>
      </c>
      <c r="BF86" s="78" t="s">
        <v>0</v>
      </c>
      <c r="BG86" s="78" t="s">
        <v>0</v>
      </c>
      <c r="BH86" s="78" t="s">
        <v>0</v>
      </c>
      <c r="BI86" s="78" t="s">
        <v>0</v>
      </c>
      <c r="BJ86" s="78" t="s">
        <v>0</v>
      </c>
    </row>
    <row r="87" spans="1:62" ht="12.75">
      <c r="A87" s="710">
        <v>443</v>
      </c>
      <c r="B87" s="44" t="s">
        <v>2257</v>
      </c>
      <c r="C87" s="325">
        <f>MOD(G$1,A87)</f>
        <v>258</v>
      </c>
      <c r="D87" s="82">
        <f>A87-C87</f>
        <v>185</v>
      </c>
      <c r="E87" s="76">
        <f>MOD(G$2,A87)</f>
        <v>212</v>
      </c>
      <c r="F87" s="78" t="s">
        <v>2279</v>
      </c>
      <c r="G87" s="78" t="s">
        <v>0</v>
      </c>
      <c r="H87" s="78" t="s">
        <v>0</v>
      </c>
      <c r="I87" s="78" t="s">
        <v>0</v>
      </c>
      <c r="J87" s="78" t="s">
        <v>0</v>
      </c>
      <c r="K87" s="78" t="s">
        <v>0</v>
      </c>
      <c r="L87" s="78" t="s">
        <v>0</v>
      </c>
      <c r="M87" s="78" t="s">
        <v>0</v>
      </c>
      <c r="N87" s="78" t="s">
        <v>0</v>
      </c>
      <c r="O87" s="78" t="s">
        <v>0</v>
      </c>
      <c r="P87" s="78" t="s">
        <v>0</v>
      </c>
      <c r="Q87" s="78" t="s">
        <v>0</v>
      </c>
      <c r="R87" s="78" t="s">
        <v>0</v>
      </c>
      <c r="S87" s="78" t="s">
        <v>0</v>
      </c>
      <c r="T87" s="78" t="s">
        <v>0</v>
      </c>
      <c r="U87" s="78" t="s">
        <v>0</v>
      </c>
      <c r="V87" s="78" t="s">
        <v>0</v>
      </c>
      <c r="W87" s="78" t="s">
        <v>0</v>
      </c>
      <c r="X87" s="78" t="s">
        <v>0</v>
      </c>
      <c r="Y87" s="78" t="s">
        <v>0</v>
      </c>
      <c r="Z87" s="78" t="s">
        <v>0</v>
      </c>
      <c r="AA87" s="78" t="s">
        <v>0</v>
      </c>
      <c r="AB87" s="78" t="s">
        <v>0</v>
      </c>
      <c r="AC87" s="78" t="s">
        <v>0</v>
      </c>
      <c r="AD87" s="78" t="s">
        <v>0</v>
      </c>
      <c r="AE87" s="78" t="s">
        <v>0</v>
      </c>
      <c r="AF87" s="78" t="s">
        <v>0</v>
      </c>
      <c r="AG87" s="78" t="s">
        <v>0</v>
      </c>
      <c r="AH87" s="78" t="s">
        <v>0</v>
      </c>
      <c r="AI87" s="78" t="s">
        <v>0</v>
      </c>
      <c r="AJ87" s="78" t="s">
        <v>0</v>
      </c>
      <c r="AK87" s="78" t="s">
        <v>0</v>
      </c>
      <c r="AL87" s="78" t="s">
        <v>0</v>
      </c>
      <c r="AM87" s="78" t="s">
        <v>0</v>
      </c>
      <c r="AN87" s="78" t="s">
        <v>0</v>
      </c>
      <c r="AO87" s="78" t="s">
        <v>0</v>
      </c>
      <c r="AP87" s="78" t="s">
        <v>0</v>
      </c>
      <c r="AQ87" s="78" t="s">
        <v>0</v>
      </c>
      <c r="AR87" s="78" t="s">
        <v>0</v>
      </c>
      <c r="AS87" s="78" t="s">
        <v>0</v>
      </c>
      <c r="AT87" s="78" t="s">
        <v>0</v>
      </c>
      <c r="AU87" s="78" t="s">
        <v>0</v>
      </c>
      <c r="AV87" s="78" t="s">
        <v>0</v>
      </c>
      <c r="AW87" s="78" t="s">
        <v>0</v>
      </c>
      <c r="AX87" s="78" t="s">
        <v>0</v>
      </c>
      <c r="AY87" s="78" t="s">
        <v>0</v>
      </c>
      <c r="AZ87" s="78" t="s">
        <v>0</v>
      </c>
      <c r="BA87" s="78" t="s">
        <v>0</v>
      </c>
      <c r="BB87" s="78" t="s">
        <v>0</v>
      </c>
      <c r="BC87" s="78" t="s">
        <v>0</v>
      </c>
      <c r="BD87" s="78" t="s">
        <v>0</v>
      </c>
      <c r="BE87" s="78" t="s">
        <v>0</v>
      </c>
      <c r="BF87" s="78" t="s">
        <v>0</v>
      </c>
      <c r="BG87" s="78" t="s">
        <v>0</v>
      </c>
      <c r="BH87" s="78" t="s">
        <v>0</v>
      </c>
      <c r="BI87" s="78" t="s">
        <v>0</v>
      </c>
      <c r="BJ87" s="78" t="s">
        <v>0</v>
      </c>
    </row>
    <row r="88" spans="1:62" ht="12.75">
      <c r="A88" s="710">
        <v>449</v>
      </c>
      <c r="B88" s="44" t="s">
        <v>2259</v>
      </c>
      <c r="C88" s="325">
        <f>MOD(G$1,A88)</f>
        <v>293</v>
      </c>
      <c r="D88" s="82">
        <f>A88-C88</f>
        <v>156</v>
      </c>
      <c r="E88" s="76">
        <f>MOD(G$2,A88)</f>
        <v>235</v>
      </c>
      <c r="F88" s="78" t="s">
        <v>2171</v>
      </c>
      <c r="G88" s="78" t="s">
        <v>0</v>
      </c>
      <c r="H88" s="78" t="s">
        <v>0</v>
      </c>
      <c r="I88" s="78" t="s">
        <v>0</v>
      </c>
      <c r="J88" s="78" t="s">
        <v>0</v>
      </c>
      <c r="K88" s="78" t="s">
        <v>0</v>
      </c>
      <c r="L88" s="78" t="s">
        <v>0</v>
      </c>
      <c r="M88" s="78" t="s">
        <v>0</v>
      </c>
      <c r="N88" s="78" t="s">
        <v>0</v>
      </c>
      <c r="O88" s="78" t="s">
        <v>0</v>
      </c>
      <c r="P88" s="78" t="s">
        <v>0</v>
      </c>
      <c r="Q88" s="78" t="s">
        <v>0</v>
      </c>
      <c r="R88" s="78" t="s">
        <v>0</v>
      </c>
      <c r="S88" s="78" t="s">
        <v>0</v>
      </c>
      <c r="T88" s="78" t="s">
        <v>0</v>
      </c>
      <c r="U88" s="78" t="s">
        <v>0</v>
      </c>
      <c r="V88" s="78" t="s">
        <v>0</v>
      </c>
      <c r="W88" s="78" t="s">
        <v>0</v>
      </c>
      <c r="X88" s="78" t="s">
        <v>0</v>
      </c>
      <c r="Y88" s="78" t="s">
        <v>0</v>
      </c>
      <c r="Z88" s="78" t="s">
        <v>0</v>
      </c>
      <c r="AA88" s="78" t="s">
        <v>0</v>
      </c>
      <c r="AB88" s="78" t="s">
        <v>0</v>
      </c>
      <c r="AC88" s="78" t="s">
        <v>0</v>
      </c>
      <c r="AD88" s="78" t="s">
        <v>0</v>
      </c>
      <c r="AE88" s="78" t="s">
        <v>0</v>
      </c>
      <c r="AF88" s="78" t="s">
        <v>0</v>
      </c>
      <c r="AG88" s="78" t="s">
        <v>0</v>
      </c>
      <c r="AH88" s="78" t="s">
        <v>0</v>
      </c>
      <c r="AI88" s="78" t="s">
        <v>0</v>
      </c>
      <c r="AJ88" s="78" t="s">
        <v>0</v>
      </c>
      <c r="AK88" s="78" t="s">
        <v>0</v>
      </c>
      <c r="AL88" s="78" t="s">
        <v>0</v>
      </c>
      <c r="AM88" s="78" t="s">
        <v>0</v>
      </c>
      <c r="AN88" s="78" t="s">
        <v>0</v>
      </c>
      <c r="AO88" s="78" t="s">
        <v>0</v>
      </c>
      <c r="AP88" s="78" t="s">
        <v>0</v>
      </c>
      <c r="AQ88" s="78" t="s">
        <v>0</v>
      </c>
      <c r="AR88" s="78" t="s">
        <v>0</v>
      </c>
      <c r="AS88" s="78" t="s">
        <v>0</v>
      </c>
      <c r="AT88" s="78" t="s">
        <v>0</v>
      </c>
      <c r="AU88" s="78" t="s">
        <v>0</v>
      </c>
      <c r="AV88" s="78" t="s">
        <v>0</v>
      </c>
      <c r="AW88" s="78" t="s">
        <v>0</v>
      </c>
      <c r="AX88" s="78" t="s">
        <v>0</v>
      </c>
      <c r="AY88" s="78" t="s">
        <v>0</v>
      </c>
      <c r="AZ88" s="78" t="s">
        <v>0</v>
      </c>
      <c r="BA88" s="78" t="s">
        <v>0</v>
      </c>
      <c r="BB88" s="78" t="s">
        <v>0</v>
      </c>
      <c r="BC88" s="78" t="s">
        <v>0</v>
      </c>
      <c r="BD88" s="78" t="s">
        <v>0</v>
      </c>
      <c r="BE88" s="78" t="s">
        <v>0</v>
      </c>
      <c r="BF88" s="78" t="s">
        <v>0</v>
      </c>
      <c r="BG88" s="78" t="s">
        <v>0</v>
      </c>
      <c r="BH88" s="78" t="s">
        <v>0</v>
      </c>
      <c r="BI88" s="78" t="s">
        <v>0</v>
      </c>
      <c r="BJ88" s="78" t="s">
        <v>0</v>
      </c>
    </row>
    <row r="89" spans="1:62" ht="12.75">
      <c r="A89" s="710">
        <v>457</v>
      </c>
      <c r="B89" s="44" t="s">
        <v>2261</v>
      </c>
      <c r="C89" s="325">
        <f>MOD(G$1,A89)</f>
        <v>333</v>
      </c>
      <c r="D89" s="82">
        <f>A89-C89</f>
        <v>124</v>
      </c>
      <c r="E89" s="76">
        <f>MOD(G$2,A89)</f>
        <v>259</v>
      </c>
      <c r="F89" s="78" t="s">
        <v>2356</v>
      </c>
      <c r="G89" s="78" t="s">
        <v>0</v>
      </c>
      <c r="H89" s="78" t="s">
        <v>0</v>
      </c>
      <c r="I89" s="78" t="s">
        <v>0</v>
      </c>
      <c r="J89" s="78" t="s">
        <v>0</v>
      </c>
      <c r="K89" s="78" t="s">
        <v>0</v>
      </c>
      <c r="L89" s="78" t="s">
        <v>0</v>
      </c>
      <c r="M89" s="78" t="s">
        <v>0</v>
      </c>
      <c r="N89" s="78" t="s">
        <v>0</v>
      </c>
      <c r="O89" s="78" t="s">
        <v>0</v>
      </c>
      <c r="P89" s="78" t="s">
        <v>0</v>
      </c>
      <c r="Q89" s="78" t="s">
        <v>0</v>
      </c>
      <c r="R89" s="78" t="s">
        <v>0</v>
      </c>
      <c r="S89" s="78" t="s">
        <v>0</v>
      </c>
      <c r="T89" s="78" t="s">
        <v>0</v>
      </c>
      <c r="U89" s="78" t="s">
        <v>0</v>
      </c>
      <c r="V89" s="78" t="s">
        <v>0</v>
      </c>
      <c r="W89" s="78" t="s">
        <v>0</v>
      </c>
      <c r="X89" s="78" t="s">
        <v>0</v>
      </c>
      <c r="Y89" s="78" t="s">
        <v>0</v>
      </c>
      <c r="Z89" s="78" t="s">
        <v>0</v>
      </c>
      <c r="AA89" s="78" t="s">
        <v>0</v>
      </c>
      <c r="AB89" s="78" t="s">
        <v>0</v>
      </c>
      <c r="AC89" s="78" t="s">
        <v>0</v>
      </c>
      <c r="AD89" s="78" t="s">
        <v>0</v>
      </c>
      <c r="AE89" s="78" t="s">
        <v>0</v>
      </c>
      <c r="AF89" s="78" t="s">
        <v>0</v>
      </c>
      <c r="AG89" s="78" t="s">
        <v>0</v>
      </c>
      <c r="AH89" s="78" t="s">
        <v>0</v>
      </c>
      <c r="AI89" s="78" t="s">
        <v>0</v>
      </c>
      <c r="AJ89" s="78" t="s">
        <v>0</v>
      </c>
      <c r="AK89" s="78" t="s">
        <v>0</v>
      </c>
      <c r="AL89" s="78" t="s">
        <v>0</v>
      </c>
      <c r="AM89" s="78" t="s">
        <v>0</v>
      </c>
      <c r="AN89" s="78" t="s">
        <v>0</v>
      </c>
      <c r="AO89" s="78" t="s">
        <v>0</v>
      </c>
      <c r="AP89" s="78" t="s">
        <v>0</v>
      </c>
      <c r="AQ89" s="78" t="s">
        <v>0</v>
      </c>
      <c r="AR89" s="78" t="s">
        <v>0</v>
      </c>
      <c r="AS89" s="78" t="s">
        <v>0</v>
      </c>
      <c r="AT89" s="78" t="s">
        <v>0</v>
      </c>
      <c r="AU89" s="78" t="s">
        <v>0</v>
      </c>
      <c r="AV89" s="78" t="s">
        <v>0</v>
      </c>
      <c r="AW89" s="78" t="s">
        <v>0</v>
      </c>
      <c r="AX89" s="78" t="s">
        <v>0</v>
      </c>
      <c r="AY89" s="78" t="s">
        <v>0</v>
      </c>
      <c r="AZ89" s="78" t="s">
        <v>0</v>
      </c>
      <c r="BA89" s="78" t="s">
        <v>0</v>
      </c>
      <c r="BB89" s="78" t="s">
        <v>0</v>
      </c>
      <c r="BC89" s="78" t="s">
        <v>0</v>
      </c>
      <c r="BD89" s="78" t="s">
        <v>0</v>
      </c>
      <c r="BE89" s="78" t="s">
        <v>0</v>
      </c>
      <c r="BF89" s="78" t="s">
        <v>0</v>
      </c>
      <c r="BG89" s="78" t="s">
        <v>0</v>
      </c>
      <c r="BH89" s="78" t="s">
        <v>0</v>
      </c>
      <c r="BI89" s="78" t="s">
        <v>0</v>
      </c>
      <c r="BJ89" s="78" t="s">
        <v>0</v>
      </c>
    </row>
    <row r="90" spans="1:62" ht="12.75">
      <c r="A90" s="710">
        <v>461</v>
      </c>
      <c r="B90" s="44" t="s">
        <v>2263</v>
      </c>
      <c r="C90" s="325">
        <f>MOD(G$1,A90)</f>
        <v>344</v>
      </c>
      <c r="D90" s="82">
        <f>A90-C90</f>
        <v>117</v>
      </c>
      <c r="E90" s="76">
        <f>MOD(G$2,A90)</f>
        <v>262</v>
      </c>
      <c r="F90" s="78" t="s">
        <v>2334</v>
      </c>
      <c r="G90" s="78" t="s">
        <v>0</v>
      </c>
      <c r="H90" s="78" t="s">
        <v>0</v>
      </c>
      <c r="I90" s="78" t="s">
        <v>0</v>
      </c>
      <c r="J90" s="78" t="s">
        <v>0</v>
      </c>
      <c r="K90" s="78" t="s">
        <v>0</v>
      </c>
      <c r="L90" s="78" t="s">
        <v>0</v>
      </c>
      <c r="M90" s="78" t="s">
        <v>0</v>
      </c>
      <c r="N90" s="78" t="s">
        <v>0</v>
      </c>
      <c r="O90" s="78" t="s">
        <v>0</v>
      </c>
      <c r="P90" s="78" t="s">
        <v>0</v>
      </c>
      <c r="Q90" s="78" t="s">
        <v>0</v>
      </c>
      <c r="R90" s="78" t="s">
        <v>0</v>
      </c>
      <c r="S90" s="78" t="s">
        <v>0</v>
      </c>
      <c r="T90" s="78" t="s">
        <v>0</v>
      </c>
      <c r="U90" s="78" t="s">
        <v>0</v>
      </c>
      <c r="V90" s="78" t="s">
        <v>0</v>
      </c>
      <c r="W90" s="78" t="s">
        <v>0</v>
      </c>
      <c r="X90" s="78" t="s">
        <v>0</v>
      </c>
      <c r="Y90" s="78" t="s">
        <v>0</v>
      </c>
      <c r="Z90" s="78" t="s">
        <v>0</v>
      </c>
      <c r="AA90" s="78" t="s">
        <v>0</v>
      </c>
      <c r="AB90" s="78" t="s">
        <v>0</v>
      </c>
      <c r="AC90" s="78" t="s">
        <v>0</v>
      </c>
      <c r="AD90" s="78" t="s">
        <v>0</v>
      </c>
      <c r="AE90" s="78" t="s">
        <v>0</v>
      </c>
      <c r="AF90" s="78" t="s">
        <v>0</v>
      </c>
      <c r="AG90" s="78" t="s">
        <v>0</v>
      </c>
      <c r="AH90" s="78" t="s">
        <v>0</v>
      </c>
      <c r="AI90" s="78" t="s">
        <v>0</v>
      </c>
      <c r="AJ90" s="78" t="s">
        <v>0</v>
      </c>
      <c r="AK90" s="78" t="s">
        <v>0</v>
      </c>
      <c r="AL90" s="78" t="s">
        <v>0</v>
      </c>
      <c r="AM90" s="78" t="s">
        <v>0</v>
      </c>
      <c r="AN90" s="78" t="s">
        <v>0</v>
      </c>
      <c r="AO90" s="78" t="s">
        <v>0</v>
      </c>
      <c r="AP90" s="78" t="s">
        <v>0</v>
      </c>
      <c r="AQ90" s="78" t="s">
        <v>0</v>
      </c>
      <c r="AR90" s="78" t="s">
        <v>0</v>
      </c>
      <c r="AS90" s="78" t="s">
        <v>0</v>
      </c>
      <c r="AT90" s="78" t="s">
        <v>0</v>
      </c>
      <c r="AU90" s="78" t="s">
        <v>0</v>
      </c>
      <c r="AV90" s="78" t="s">
        <v>0</v>
      </c>
      <c r="AW90" s="78" t="s">
        <v>0</v>
      </c>
      <c r="AX90" s="78" t="s">
        <v>0</v>
      </c>
      <c r="AY90" s="78" t="s">
        <v>0</v>
      </c>
      <c r="AZ90" s="78" t="s">
        <v>0</v>
      </c>
      <c r="BA90" s="78" t="s">
        <v>0</v>
      </c>
      <c r="BB90" s="78" t="s">
        <v>0</v>
      </c>
      <c r="BC90" s="78" t="s">
        <v>0</v>
      </c>
      <c r="BD90" s="78" t="s">
        <v>0</v>
      </c>
      <c r="BE90" s="78" t="s">
        <v>0</v>
      </c>
      <c r="BF90" s="78" t="s">
        <v>0</v>
      </c>
      <c r="BG90" s="78" t="s">
        <v>0</v>
      </c>
      <c r="BH90" s="78" t="s">
        <v>0</v>
      </c>
      <c r="BI90" s="78" t="s">
        <v>0</v>
      </c>
      <c r="BJ90" s="78" t="s">
        <v>0</v>
      </c>
    </row>
    <row r="91" spans="1:62" ht="12.75">
      <c r="A91" s="710">
        <v>463</v>
      </c>
      <c r="B91" s="44" t="s">
        <v>2264</v>
      </c>
      <c r="C91" s="325">
        <f>MOD(G$1,A91)</f>
        <v>388</v>
      </c>
      <c r="D91" s="82">
        <f>A91-C91</f>
        <v>75</v>
      </c>
      <c r="E91" s="76">
        <f>MOD(G$2,A91)</f>
        <v>302</v>
      </c>
      <c r="F91" s="78" t="s">
        <v>2204</v>
      </c>
      <c r="G91" s="78" t="s">
        <v>0</v>
      </c>
      <c r="H91" s="78" t="s">
        <v>0</v>
      </c>
      <c r="I91" s="78" t="s">
        <v>0</v>
      </c>
      <c r="J91" s="78" t="s">
        <v>0</v>
      </c>
      <c r="K91" s="78" t="s">
        <v>0</v>
      </c>
      <c r="L91" s="78" t="s">
        <v>0</v>
      </c>
      <c r="M91" s="78" t="s">
        <v>0</v>
      </c>
      <c r="N91" s="78" t="s">
        <v>0</v>
      </c>
      <c r="O91" s="78" t="s">
        <v>0</v>
      </c>
      <c r="P91" s="78" t="s">
        <v>0</v>
      </c>
      <c r="Q91" s="78" t="s">
        <v>0</v>
      </c>
      <c r="R91" s="78" t="s">
        <v>0</v>
      </c>
      <c r="S91" s="78" t="s">
        <v>0</v>
      </c>
      <c r="T91" s="78" t="s">
        <v>0</v>
      </c>
      <c r="U91" s="78" t="s">
        <v>0</v>
      </c>
      <c r="V91" s="78" t="s">
        <v>0</v>
      </c>
      <c r="W91" s="78" t="s">
        <v>0</v>
      </c>
      <c r="X91" s="78" t="s">
        <v>0</v>
      </c>
      <c r="Y91" s="78" t="s">
        <v>0</v>
      </c>
      <c r="Z91" s="78" t="s">
        <v>0</v>
      </c>
      <c r="AA91" s="78" t="s">
        <v>0</v>
      </c>
      <c r="AB91" s="78" t="s">
        <v>0</v>
      </c>
      <c r="AC91" s="78" t="s">
        <v>0</v>
      </c>
      <c r="AD91" s="78" t="s">
        <v>0</v>
      </c>
      <c r="AE91" s="78" t="s">
        <v>0</v>
      </c>
      <c r="AF91" s="78" t="s">
        <v>0</v>
      </c>
      <c r="AG91" s="78" t="s">
        <v>0</v>
      </c>
      <c r="AH91" s="78" t="s">
        <v>0</v>
      </c>
      <c r="AI91" s="78" t="s">
        <v>0</v>
      </c>
      <c r="AJ91" s="78" t="s">
        <v>0</v>
      </c>
      <c r="AK91" s="78" t="s">
        <v>0</v>
      </c>
      <c r="AL91" s="78" t="s">
        <v>0</v>
      </c>
      <c r="AM91" s="78" t="s">
        <v>0</v>
      </c>
      <c r="AN91" s="78" t="s">
        <v>0</v>
      </c>
      <c r="AO91" s="78" t="s">
        <v>0</v>
      </c>
      <c r="AP91" s="78" t="s">
        <v>0</v>
      </c>
      <c r="AQ91" s="78" t="s">
        <v>0</v>
      </c>
      <c r="AR91" s="78" t="s">
        <v>0</v>
      </c>
      <c r="AS91" s="78" t="s">
        <v>0</v>
      </c>
      <c r="AT91" s="78" t="s">
        <v>0</v>
      </c>
      <c r="AU91" s="78" t="s">
        <v>0</v>
      </c>
      <c r="AV91" s="78" t="s">
        <v>0</v>
      </c>
      <c r="AW91" s="78" t="s">
        <v>0</v>
      </c>
      <c r="AX91" s="78" t="s">
        <v>0</v>
      </c>
      <c r="AY91" s="78" t="s">
        <v>0</v>
      </c>
      <c r="AZ91" s="78" t="s">
        <v>0</v>
      </c>
      <c r="BA91" s="78" t="s">
        <v>0</v>
      </c>
      <c r="BB91" s="78" t="s">
        <v>0</v>
      </c>
      <c r="BC91" s="78" t="s">
        <v>0</v>
      </c>
      <c r="BD91" s="78" t="s">
        <v>0</v>
      </c>
      <c r="BE91" s="78" t="s">
        <v>0</v>
      </c>
      <c r="BF91" s="78" t="s">
        <v>0</v>
      </c>
      <c r="BG91" s="78" t="s">
        <v>0</v>
      </c>
      <c r="BH91" s="78" t="s">
        <v>0</v>
      </c>
      <c r="BI91" s="78" t="s">
        <v>0</v>
      </c>
      <c r="BJ91" s="78" t="s">
        <v>0</v>
      </c>
    </row>
    <row r="92" spans="1:62" ht="12.75">
      <c r="A92" s="710">
        <v>467</v>
      </c>
      <c r="B92" s="44" t="s">
        <v>2265</v>
      </c>
      <c r="C92" s="325">
        <f>MOD(G$1,A92)</f>
        <v>348</v>
      </c>
      <c r="D92" s="82">
        <f>A92-C92</f>
        <v>119</v>
      </c>
      <c r="E92" s="76">
        <f>MOD(G$2,A92)</f>
        <v>254</v>
      </c>
      <c r="F92" s="78" t="s">
        <v>2339</v>
      </c>
      <c r="G92" s="78" t="s">
        <v>0</v>
      </c>
      <c r="H92" s="78" t="s">
        <v>0</v>
      </c>
      <c r="I92" s="78" t="s">
        <v>0</v>
      </c>
      <c r="J92" s="78" t="s">
        <v>0</v>
      </c>
      <c r="K92" s="78" t="s">
        <v>0</v>
      </c>
      <c r="L92" s="78" t="s">
        <v>0</v>
      </c>
      <c r="M92" s="78" t="s">
        <v>0</v>
      </c>
      <c r="N92" s="78" t="s">
        <v>0</v>
      </c>
      <c r="O92" s="78" t="s">
        <v>0</v>
      </c>
      <c r="P92" s="78" t="s">
        <v>0</v>
      </c>
      <c r="Q92" s="78" t="s">
        <v>0</v>
      </c>
      <c r="R92" s="78" t="s">
        <v>0</v>
      </c>
      <c r="S92" s="78" t="s">
        <v>0</v>
      </c>
      <c r="T92" s="78" t="s">
        <v>0</v>
      </c>
      <c r="U92" s="78" t="s">
        <v>0</v>
      </c>
      <c r="V92" s="78" t="s">
        <v>0</v>
      </c>
      <c r="W92" s="78" t="s">
        <v>0</v>
      </c>
      <c r="X92" s="78" t="s">
        <v>0</v>
      </c>
      <c r="Y92" s="78" t="s">
        <v>0</v>
      </c>
      <c r="Z92" s="78" t="s">
        <v>0</v>
      </c>
      <c r="AA92" s="78" t="s">
        <v>0</v>
      </c>
      <c r="AB92" s="78" t="s">
        <v>0</v>
      </c>
      <c r="AC92" s="78" t="s">
        <v>0</v>
      </c>
      <c r="AD92" s="78" t="s">
        <v>0</v>
      </c>
      <c r="AE92" s="78" t="s">
        <v>0</v>
      </c>
      <c r="AF92" s="78" t="s">
        <v>0</v>
      </c>
      <c r="AG92" s="78" t="s">
        <v>0</v>
      </c>
      <c r="AH92" s="78" t="s">
        <v>0</v>
      </c>
      <c r="AI92" s="78" t="s">
        <v>0</v>
      </c>
      <c r="AJ92" s="78" t="s">
        <v>0</v>
      </c>
      <c r="AK92" s="78" t="s">
        <v>0</v>
      </c>
      <c r="AL92" s="78" t="s">
        <v>0</v>
      </c>
      <c r="AM92" s="78" t="s">
        <v>0</v>
      </c>
      <c r="AN92" s="78" t="s">
        <v>0</v>
      </c>
      <c r="AO92" s="78" t="s">
        <v>0</v>
      </c>
      <c r="AP92" s="78" t="s">
        <v>0</v>
      </c>
      <c r="AQ92" s="78" t="s">
        <v>0</v>
      </c>
      <c r="AR92" s="78" t="s">
        <v>0</v>
      </c>
      <c r="AS92" s="78" t="s">
        <v>0</v>
      </c>
      <c r="AT92" s="78" t="s">
        <v>0</v>
      </c>
      <c r="AU92" s="78" t="s">
        <v>0</v>
      </c>
      <c r="AV92" s="78" t="s">
        <v>0</v>
      </c>
      <c r="AW92" s="78" t="s">
        <v>0</v>
      </c>
      <c r="AX92" s="78" t="s">
        <v>0</v>
      </c>
      <c r="AY92" s="78" t="s">
        <v>0</v>
      </c>
      <c r="AZ92" s="78" t="s">
        <v>0</v>
      </c>
      <c r="BA92" s="78" t="s">
        <v>0</v>
      </c>
      <c r="BB92" s="78" t="s">
        <v>0</v>
      </c>
      <c r="BC92" s="78" t="s">
        <v>0</v>
      </c>
      <c r="BD92" s="78" t="s">
        <v>0</v>
      </c>
      <c r="BE92" s="78" t="s">
        <v>0</v>
      </c>
      <c r="BF92" s="78" t="s">
        <v>0</v>
      </c>
      <c r="BG92" s="78" t="s">
        <v>0</v>
      </c>
      <c r="BH92" s="78" t="s">
        <v>0</v>
      </c>
      <c r="BI92" s="78" t="s">
        <v>0</v>
      </c>
      <c r="BJ92" s="78" t="s">
        <v>0</v>
      </c>
    </row>
    <row r="93" spans="1:62" ht="12.75">
      <c r="A93" s="710">
        <v>479</v>
      </c>
      <c r="B93" s="44" t="s">
        <v>2268</v>
      </c>
      <c r="C93" s="325">
        <f>MOD(G$1,A93)</f>
        <v>244</v>
      </c>
      <c r="D93" s="82">
        <f>A93-C93</f>
        <v>235</v>
      </c>
      <c r="E93" s="76">
        <f>MOD(G$2,A93)</f>
        <v>126</v>
      </c>
      <c r="F93" s="78" t="s">
        <v>2379</v>
      </c>
      <c r="G93" s="78" t="s">
        <v>0</v>
      </c>
      <c r="H93" s="78" t="s">
        <v>0</v>
      </c>
      <c r="I93" s="78" t="s">
        <v>0</v>
      </c>
      <c r="J93" s="78" t="s">
        <v>0</v>
      </c>
      <c r="K93" s="78" t="s">
        <v>0</v>
      </c>
      <c r="L93" s="78" t="s">
        <v>0</v>
      </c>
      <c r="M93" s="78" t="s">
        <v>0</v>
      </c>
      <c r="N93" s="78" t="s">
        <v>0</v>
      </c>
      <c r="O93" s="78" t="s">
        <v>0</v>
      </c>
      <c r="P93" s="78" t="s">
        <v>0</v>
      </c>
      <c r="Q93" s="78" t="s">
        <v>0</v>
      </c>
      <c r="R93" s="78" t="s">
        <v>0</v>
      </c>
      <c r="S93" s="78" t="s">
        <v>0</v>
      </c>
      <c r="T93" s="78" t="s">
        <v>0</v>
      </c>
      <c r="U93" s="78" t="s">
        <v>0</v>
      </c>
      <c r="V93" s="78" t="s">
        <v>0</v>
      </c>
      <c r="W93" s="78" t="s">
        <v>0</v>
      </c>
      <c r="X93" s="78" t="s">
        <v>0</v>
      </c>
      <c r="Y93" s="78" t="s">
        <v>0</v>
      </c>
      <c r="Z93" s="78" t="s">
        <v>0</v>
      </c>
      <c r="AA93" s="78" t="s">
        <v>0</v>
      </c>
      <c r="AB93" s="78" t="s">
        <v>0</v>
      </c>
      <c r="AC93" s="78" t="s">
        <v>0</v>
      </c>
      <c r="AD93" s="78" t="s">
        <v>0</v>
      </c>
      <c r="AE93" s="78" t="s">
        <v>0</v>
      </c>
      <c r="AF93" s="78" t="s">
        <v>0</v>
      </c>
      <c r="AG93" s="78" t="s">
        <v>0</v>
      </c>
      <c r="AH93" s="78" t="s">
        <v>0</v>
      </c>
      <c r="AI93" s="78" t="s">
        <v>0</v>
      </c>
      <c r="AJ93" s="78" t="s">
        <v>0</v>
      </c>
      <c r="AK93" s="78" t="s">
        <v>0</v>
      </c>
      <c r="AL93" s="78" t="s">
        <v>0</v>
      </c>
      <c r="AM93" s="78" t="s">
        <v>0</v>
      </c>
      <c r="AN93" s="78" t="s">
        <v>0</v>
      </c>
      <c r="AO93" s="78" t="s">
        <v>0</v>
      </c>
      <c r="AP93" s="78" t="s">
        <v>0</v>
      </c>
      <c r="AQ93" s="78" t="s">
        <v>0</v>
      </c>
      <c r="AR93" s="78" t="s">
        <v>0</v>
      </c>
      <c r="AS93" s="78" t="s">
        <v>0</v>
      </c>
      <c r="AT93" s="78" t="s">
        <v>0</v>
      </c>
      <c r="AU93" s="78" t="s">
        <v>0</v>
      </c>
      <c r="AV93" s="78" t="s">
        <v>0</v>
      </c>
      <c r="AW93" s="78" t="s">
        <v>0</v>
      </c>
      <c r="AX93" s="78" t="s">
        <v>0</v>
      </c>
      <c r="AY93" s="78" t="s">
        <v>0</v>
      </c>
      <c r="AZ93" s="78" t="s">
        <v>0</v>
      </c>
      <c r="BA93" s="78" t="s">
        <v>0</v>
      </c>
      <c r="BB93" s="78" t="s">
        <v>0</v>
      </c>
      <c r="BC93" s="78" t="s">
        <v>0</v>
      </c>
      <c r="BD93" s="78" t="s">
        <v>0</v>
      </c>
      <c r="BE93" s="78" t="s">
        <v>0</v>
      </c>
      <c r="BF93" s="78" t="s">
        <v>0</v>
      </c>
      <c r="BG93" s="78" t="s">
        <v>0</v>
      </c>
      <c r="BH93" s="78" t="s">
        <v>0</v>
      </c>
      <c r="BI93" s="78" t="s">
        <v>0</v>
      </c>
      <c r="BJ93" s="78" t="s">
        <v>0</v>
      </c>
    </row>
    <row r="94" spans="1:62" ht="12.75">
      <c r="A94" s="710">
        <v>487</v>
      </c>
      <c r="B94" s="44" t="s">
        <v>2269</v>
      </c>
      <c r="C94" s="325">
        <f>MOD(G$1,A94)</f>
        <v>94</v>
      </c>
      <c r="D94" s="82">
        <f>A94-C94</f>
        <v>393</v>
      </c>
      <c r="E94" s="76">
        <f>MOD(G$2,A94)</f>
        <v>447</v>
      </c>
      <c r="F94" s="78" t="s">
        <v>2281</v>
      </c>
      <c r="G94" s="78" t="s">
        <v>0</v>
      </c>
      <c r="H94" s="78" t="s">
        <v>0</v>
      </c>
      <c r="I94" s="78" t="s">
        <v>0</v>
      </c>
      <c r="J94" s="78" t="s">
        <v>0</v>
      </c>
      <c r="K94" s="78" t="s">
        <v>0</v>
      </c>
      <c r="L94" s="78" t="s">
        <v>0</v>
      </c>
      <c r="M94" s="78" t="s">
        <v>0</v>
      </c>
      <c r="N94" s="78" t="s">
        <v>0</v>
      </c>
      <c r="O94" s="78" t="s">
        <v>0</v>
      </c>
      <c r="P94" s="78" t="s">
        <v>0</v>
      </c>
      <c r="Q94" s="78" t="s">
        <v>0</v>
      </c>
      <c r="R94" s="78" t="s">
        <v>0</v>
      </c>
      <c r="S94" s="78" t="s">
        <v>0</v>
      </c>
      <c r="T94" s="78" t="s">
        <v>0</v>
      </c>
      <c r="U94" s="78" t="s">
        <v>0</v>
      </c>
      <c r="V94" s="78" t="s">
        <v>0</v>
      </c>
      <c r="W94" s="78" t="s">
        <v>0</v>
      </c>
      <c r="X94" s="78" t="s">
        <v>0</v>
      </c>
      <c r="Y94" s="78" t="s">
        <v>0</v>
      </c>
      <c r="Z94" s="78" t="s">
        <v>0</v>
      </c>
      <c r="AA94" s="78" t="s">
        <v>0</v>
      </c>
      <c r="AB94" s="78" t="s">
        <v>0</v>
      </c>
      <c r="AC94" s="78" t="s">
        <v>0</v>
      </c>
      <c r="AD94" s="78" t="s">
        <v>0</v>
      </c>
      <c r="AE94" s="78" t="s">
        <v>0</v>
      </c>
      <c r="AF94" s="78" t="s">
        <v>0</v>
      </c>
      <c r="AG94" s="78" t="s">
        <v>0</v>
      </c>
      <c r="AH94" s="78" t="s">
        <v>0</v>
      </c>
      <c r="AI94" s="78" t="s">
        <v>0</v>
      </c>
      <c r="AJ94" s="78" t="s">
        <v>0</v>
      </c>
      <c r="AK94" s="78" t="s">
        <v>0</v>
      </c>
      <c r="AL94" s="78" t="s">
        <v>0</v>
      </c>
      <c r="AM94" s="78" t="s">
        <v>0</v>
      </c>
      <c r="AN94" s="78" t="s">
        <v>0</v>
      </c>
      <c r="AO94" s="78" t="s">
        <v>0</v>
      </c>
      <c r="AP94" s="78" t="s">
        <v>0</v>
      </c>
      <c r="AQ94" s="78" t="s">
        <v>0</v>
      </c>
      <c r="AR94" s="78" t="s">
        <v>0</v>
      </c>
      <c r="AS94" s="78" t="s">
        <v>0</v>
      </c>
      <c r="AT94" s="78" t="s">
        <v>0</v>
      </c>
      <c r="AU94" s="78" t="s">
        <v>0</v>
      </c>
      <c r="AV94" s="78" t="s">
        <v>0</v>
      </c>
      <c r="AW94" s="78" t="s">
        <v>0</v>
      </c>
      <c r="AX94" s="78" t="s">
        <v>0</v>
      </c>
      <c r="AY94" s="78" t="s">
        <v>0</v>
      </c>
      <c r="AZ94" s="78" t="s">
        <v>0</v>
      </c>
      <c r="BA94" s="78" t="s">
        <v>0</v>
      </c>
      <c r="BB94" s="78" t="s">
        <v>0</v>
      </c>
      <c r="BC94" s="78" t="s">
        <v>0</v>
      </c>
      <c r="BD94" s="78" t="s">
        <v>0</v>
      </c>
      <c r="BE94" s="78" t="s">
        <v>0</v>
      </c>
      <c r="BF94" s="78" t="s">
        <v>0</v>
      </c>
      <c r="BG94" s="78" t="s">
        <v>0</v>
      </c>
      <c r="BH94" s="78" t="s">
        <v>0</v>
      </c>
      <c r="BI94" s="78" t="s">
        <v>0</v>
      </c>
      <c r="BJ94" s="78" t="s">
        <v>0</v>
      </c>
    </row>
    <row r="95" spans="1:62" ht="12.75">
      <c r="A95" s="710">
        <v>491</v>
      </c>
      <c r="B95" s="44" t="s">
        <v>2271</v>
      </c>
      <c r="C95" s="325">
        <f>MOD(G$1,A95)</f>
        <v>54</v>
      </c>
      <c r="D95" s="82">
        <f>A95-C95</f>
        <v>437</v>
      </c>
      <c r="E95" s="76">
        <f>MOD(G$2,A95)</f>
        <v>403</v>
      </c>
      <c r="F95" s="78" t="s">
        <v>2384</v>
      </c>
      <c r="G95" s="78" t="s">
        <v>0</v>
      </c>
      <c r="H95" s="78" t="s">
        <v>0</v>
      </c>
      <c r="I95" s="78" t="s">
        <v>0</v>
      </c>
      <c r="J95" s="78" t="s">
        <v>0</v>
      </c>
      <c r="K95" s="78" t="s">
        <v>0</v>
      </c>
      <c r="L95" s="78" t="s">
        <v>0</v>
      </c>
      <c r="M95" s="78" t="s">
        <v>0</v>
      </c>
      <c r="N95" s="78" t="s">
        <v>0</v>
      </c>
      <c r="O95" s="78" t="s">
        <v>0</v>
      </c>
      <c r="P95" s="78" t="s">
        <v>0</v>
      </c>
      <c r="Q95" s="78" t="s">
        <v>0</v>
      </c>
      <c r="R95" s="78" t="s">
        <v>0</v>
      </c>
      <c r="S95" s="78" t="s">
        <v>0</v>
      </c>
      <c r="T95" s="78" t="s">
        <v>0</v>
      </c>
      <c r="U95" s="78" t="s">
        <v>0</v>
      </c>
      <c r="V95" s="78" t="s">
        <v>0</v>
      </c>
      <c r="W95" s="78" t="s">
        <v>0</v>
      </c>
      <c r="X95" s="78" t="s">
        <v>0</v>
      </c>
      <c r="Y95" s="78" t="s">
        <v>0</v>
      </c>
      <c r="Z95" s="78" t="s">
        <v>0</v>
      </c>
      <c r="AA95" s="78" t="s">
        <v>0</v>
      </c>
      <c r="AB95" s="78" t="s">
        <v>0</v>
      </c>
      <c r="AC95" s="78" t="s">
        <v>0</v>
      </c>
      <c r="AD95" s="78" t="s">
        <v>0</v>
      </c>
      <c r="AE95" s="78" t="s">
        <v>0</v>
      </c>
      <c r="AF95" s="78" t="s">
        <v>0</v>
      </c>
      <c r="AG95" s="78" t="s">
        <v>0</v>
      </c>
      <c r="AH95" s="78" t="s">
        <v>0</v>
      </c>
      <c r="AI95" s="78" t="s">
        <v>0</v>
      </c>
      <c r="AJ95" s="78" t="s">
        <v>0</v>
      </c>
      <c r="AK95" s="78" t="s">
        <v>0</v>
      </c>
      <c r="AL95" s="78" t="s">
        <v>0</v>
      </c>
      <c r="AM95" s="78" t="s">
        <v>0</v>
      </c>
      <c r="AN95" s="78" t="s">
        <v>0</v>
      </c>
      <c r="AO95" s="78" t="s">
        <v>0</v>
      </c>
      <c r="AP95" s="78" t="s">
        <v>0</v>
      </c>
      <c r="AQ95" s="78" t="s">
        <v>0</v>
      </c>
      <c r="AR95" s="78" t="s">
        <v>0</v>
      </c>
      <c r="AS95" s="78" t="s">
        <v>0</v>
      </c>
      <c r="AT95" s="78" t="s">
        <v>0</v>
      </c>
      <c r="AU95" s="78" t="s">
        <v>0</v>
      </c>
      <c r="AV95" s="78" t="s">
        <v>0</v>
      </c>
      <c r="AW95" s="78" t="s">
        <v>0</v>
      </c>
      <c r="AX95" s="78" t="s">
        <v>0</v>
      </c>
      <c r="AY95" s="78" t="s">
        <v>0</v>
      </c>
      <c r="AZ95" s="78" t="s">
        <v>0</v>
      </c>
      <c r="BA95" s="78" t="s">
        <v>0</v>
      </c>
      <c r="BB95" s="78" t="s">
        <v>0</v>
      </c>
      <c r="BC95" s="78" t="s">
        <v>0</v>
      </c>
      <c r="BD95" s="78" t="s">
        <v>0</v>
      </c>
      <c r="BE95" s="78" t="s">
        <v>0</v>
      </c>
      <c r="BF95" s="78" t="s">
        <v>0</v>
      </c>
      <c r="BG95" s="78" t="s">
        <v>0</v>
      </c>
      <c r="BH95" s="78" t="s">
        <v>0</v>
      </c>
      <c r="BI95" s="78" t="s">
        <v>0</v>
      </c>
      <c r="BJ95" s="78" t="s">
        <v>0</v>
      </c>
    </row>
    <row r="96" spans="1:62" ht="12.75">
      <c r="A96" s="710">
        <v>499</v>
      </c>
      <c r="B96" s="44" t="s">
        <v>2273</v>
      </c>
      <c r="C96" s="325">
        <f>MOD(G$1,A96)</f>
        <v>392</v>
      </c>
      <c r="D96" s="82">
        <f>A96-C96</f>
        <v>107</v>
      </c>
      <c r="E96" s="76">
        <f>MOD(G$2,A96)</f>
        <v>234</v>
      </c>
      <c r="F96" s="78" t="s">
        <v>2294</v>
      </c>
      <c r="G96" s="78" t="s">
        <v>0</v>
      </c>
      <c r="H96" s="78" t="s">
        <v>0</v>
      </c>
      <c r="I96" s="78" t="s">
        <v>0</v>
      </c>
      <c r="J96" s="78" t="s">
        <v>0</v>
      </c>
      <c r="K96" s="78" t="s">
        <v>0</v>
      </c>
      <c r="L96" s="78" t="s">
        <v>0</v>
      </c>
      <c r="M96" s="78" t="s">
        <v>0</v>
      </c>
      <c r="N96" s="78" t="s">
        <v>0</v>
      </c>
      <c r="O96" s="78" t="s">
        <v>0</v>
      </c>
      <c r="P96" s="78" t="s">
        <v>0</v>
      </c>
      <c r="Q96" s="78" t="s">
        <v>0</v>
      </c>
      <c r="R96" s="78" t="s">
        <v>0</v>
      </c>
      <c r="S96" s="78" t="s">
        <v>0</v>
      </c>
      <c r="T96" s="78" t="s">
        <v>0</v>
      </c>
      <c r="U96" s="78" t="s">
        <v>0</v>
      </c>
      <c r="V96" s="78" t="s">
        <v>0</v>
      </c>
      <c r="W96" s="78" t="s">
        <v>0</v>
      </c>
      <c r="X96" s="78" t="s">
        <v>0</v>
      </c>
      <c r="Y96" s="78" t="s">
        <v>0</v>
      </c>
      <c r="Z96" s="78" t="s">
        <v>0</v>
      </c>
      <c r="AA96" s="78" t="s">
        <v>0</v>
      </c>
      <c r="AB96" s="78" t="s">
        <v>0</v>
      </c>
      <c r="AC96" s="78" t="s">
        <v>0</v>
      </c>
      <c r="AD96" s="78" t="s">
        <v>0</v>
      </c>
      <c r="AE96" s="78" t="s">
        <v>0</v>
      </c>
      <c r="AF96" s="78" t="s">
        <v>0</v>
      </c>
      <c r="AG96" s="78" t="s">
        <v>0</v>
      </c>
      <c r="AH96" s="78" t="s">
        <v>0</v>
      </c>
      <c r="AI96" s="78" t="s">
        <v>0</v>
      </c>
      <c r="AJ96" s="78" t="s">
        <v>0</v>
      </c>
      <c r="AK96" s="78" t="s">
        <v>0</v>
      </c>
      <c r="AL96" s="78" t="s">
        <v>0</v>
      </c>
      <c r="AM96" s="78" t="s">
        <v>0</v>
      </c>
      <c r="AN96" s="78" t="s">
        <v>0</v>
      </c>
      <c r="AO96" s="78" t="s">
        <v>0</v>
      </c>
      <c r="AP96" s="78" t="s">
        <v>0</v>
      </c>
      <c r="AQ96" s="78" t="s">
        <v>0</v>
      </c>
      <c r="AR96" s="78" t="s">
        <v>0</v>
      </c>
      <c r="AS96" s="78" t="s">
        <v>0</v>
      </c>
      <c r="AT96" s="78" t="s">
        <v>0</v>
      </c>
      <c r="AU96" s="78" t="s">
        <v>0</v>
      </c>
      <c r="AV96" s="78" t="s">
        <v>0</v>
      </c>
      <c r="AW96" s="78" t="s">
        <v>0</v>
      </c>
      <c r="AX96" s="78" t="s">
        <v>0</v>
      </c>
      <c r="AY96" s="78" t="s">
        <v>0</v>
      </c>
      <c r="AZ96" s="78" t="s">
        <v>0</v>
      </c>
      <c r="BA96" s="78" t="s">
        <v>0</v>
      </c>
      <c r="BB96" s="78" t="s">
        <v>0</v>
      </c>
      <c r="BC96" s="78" t="s">
        <v>0</v>
      </c>
      <c r="BD96" s="78" t="s">
        <v>0</v>
      </c>
      <c r="BE96" s="78" t="s">
        <v>0</v>
      </c>
      <c r="BF96" s="78" t="s">
        <v>0</v>
      </c>
      <c r="BG96" s="78" t="s">
        <v>0</v>
      </c>
      <c r="BH96" s="78" t="s">
        <v>0</v>
      </c>
      <c r="BI96" s="78" t="s">
        <v>0</v>
      </c>
      <c r="BJ96" s="78" t="s">
        <v>0</v>
      </c>
    </row>
    <row r="97" spans="1:62" ht="12.75">
      <c r="A97" s="710">
        <v>503</v>
      </c>
      <c r="B97" s="44" t="s">
        <v>2275</v>
      </c>
      <c r="C97" s="325">
        <f>MOD(G$1,A97)</f>
        <v>205</v>
      </c>
      <c r="D97" s="82">
        <f>A97-C97</f>
        <v>298</v>
      </c>
      <c r="E97" s="76">
        <f>MOD(G$2,A97)</f>
        <v>39</v>
      </c>
      <c r="F97" s="78" t="s">
        <v>2426</v>
      </c>
      <c r="G97" s="78" t="s">
        <v>0</v>
      </c>
      <c r="H97" s="78" t="s">
        <v>0</v>
      </c>
      <c r="I97" s="78" t="s">
        <v>0</v>
      </c>
      <c r="J97" s="78" t="s">
        <v>0</v>
      </c>
      <c r="K97" s="78" t="s">
        <v>0</v>
      </c>
      <c r="L97" s="78" t="s">
        <v>0</v>
      </c>
      <c r="M97" s="78" t="s">
        <v>0</v>
      </c>
      <c r="N97" s="78" t="s">
        <v>0</v>
      </c>
      <c r="O97" s="78" t="s">
        <v>0</v>
      </c>
      <c r="P97" s="78" t="s">
        <v>0</v>
      </c>
      <c r="Q97" s="78" t="s">
        <v>0</v>
      </c>
      <c r="R97" s="78" t="s">
        <v>0</v>
      </c>
      <c r="S97" s="78" t="s">
        <v>0</v>
      </c>
      <c r="T97" s="78" t="s">
        <v>0</v>
      </c>
      <c r="U97" s="78" t="s">
        <v>0</v>
      </c>
      <c r="V97" s="78" t="s">
        <v>0</v>
      </c>
      <c r="W97" s="78" t="s">
        <v>0</v>
      </c>
      <c r="X97" s="78" t="s">
        <v>0</v>
      </c>
      <c r="Y97" s="78" t="s">
        <v>0</v>
      </c>
      <c r="Z97" s="78" t="s">
        <v>0</v>
      </c>
      <c r="AA97" s="78" t="s">
        <v>0</v>
      </c>
      <c r="AB97" s="78" t="s">
        <v>0</v>
      </c>
      <c r="AC97" s="78" t="s">
        <v>0</v>
      </c>
      <c r="AD97" s="78" t="s">
        <v>0</v>
      </c>
      <c r="AE97" s="78" t="s">
        <v>0</v>
      </c>
      <c r="AF97" s="78" t="s">
        <v>0</v>
      </c>
      <c r="AG97" s="78" t="s">
        <v>0</v>
      </c>
      <c r="AH97" s="78" t="s">
        <v>0</v>
      </c>
      <c r="AI97" s="78" t="s">
        <v>0</v>
      </c>
      <c r="AJ97" s="78" t="s">
        <v>0</v>
      </c>
      <c r="AK97" s="78" t="s">
        <v>0</v>
      </c>
      <c r="AL97" s="78" t="s">
        <v>0</v>
      </c>
      <c r="AM97" s="78" t="s">
        <v>0</v>
      </c>
      <c r="AN97" s="78" t="s">
        <v>0</v>
      </c>
      <c r="AO97" s="78" t="s">
        <v>0</v>
      </c>
      <c r="AP97" s="78" t="s">
        <v>0</v>
      </c>
      <c r="AQ97" s="78" t="s">
        <v>0</v>
      </c>
      <c r="AR97" s="78" t="s">
        <v>0</v>
      </c>
      <c r="AS97" s="78" t="s">
        <v>0</v>
      </c>
      <c r="AT97" s="78" t="s">
        <v>0</v>
      </c>
      <c r="AU97" s="78" t="s">
        <v>0</v>
      </c>
      <c r="AV97" s="78" t="s">
        <v>0</v>
      </c>
      <c r="AW97" s="78" t="s">
        <v>0</v>
      </c>
      <c r="AX97" s="78" t="s">
        <v>0</v>
      </c>
      <c r="AY97" s="78" t="s">
        <v>0</v>
      </c>
      <c r="AZ97" s="78" t="s">
        <v>0</v>
      </c>
      <c r="BA97" s="78" t="s">
        <v>0</v>
      </c>
      <c r="BB97" s="78" t="s">
        <v>0</v>
      </c>
      <c r="BC97" s="78" t="s">
        <v>0</v>
      </c>
      <c r="BD97" s="78" t="s">
        <v>0</v>
      </c>
      <c r="BE97" s="78" t="s">
        <v>0</v>
      </c>
      <c r="BF97" s="78" t="s">
        <v>0</v>
      </c>
      <c r="BG97" s="78" t="s">
        <v>0</v>
      </c>
      <c r="BH97" s="78" t="s">
        <v>0</v>
      </c>
      <c r="BI97" s="78" t="s">
        <v>0</v>
      </c>
      <c r="BJ97" s="78" t="s">
        <v>0</v>
      </c>
    </row>
    <row r="98" spans="1:62" ht="12.75">
      <c r="A98" s="710">
        <v>509</v>
      </c>
      <c r="B98" s="44" t="s">
        <v>2276</v>
      </c>
      <c r="C98" s="325">
        <f>MOD(G$1,A98)</f>
        <v>322</v>
      </c>
      <c r="D98" s="82">
        <f>A98-C98</f>
        <v>187</v>
      </c>
      <c r="E98" s="76">
        <f>MOD(G$2,A98)</f>
        <v>144</v>
      </c>
      <c r="F98" s="78" t="s">
        <v>2223</v>
      </c>
      <c r="G98" s="78" t="s">
        <v>0</v>
      </c>
      <c r="H98" s="78" t="s">
        <v>0</v>
      </c>
      <c r="I98" s="78" t="s">
        <v>0</v>
      </c>
      <c r="J98" s="78" t="s">
        <v>0</v>
      </c>
      <c r="K98" s="78" t="s">
        <v>0</v>
      </c>
      <c r="L98" s="78" t="s">
        <v>0</v>
      </c>
      <c r="M98" s="78" t="s">
        <v>0</v>
      </c>
      <c r="N98" s="78" t="s">
        <v>0</v>
      </c>
      <c r="O98" s="78" t="s">
        <v>0</v>
      </c>
      <c r="P98" s="78" t="s">
        <v>0</v>
      </c>
      <c r="Q98" s="78" t="s">
        <v>0</v>
      </c>
      <c r="R98" s="78" t="s">
        <v>0</v>
      </c>
      <c r="S98" s="78" t="s">
        <v>0</v>
      </c>
      <c r="T98" s="78" t="s">
        <v>0</v>
      </c>
      <c r="U98" s="78" t="s">
        <v>0</v>
      </c>
      <c r="V98" s="78" t="s">
        <v>0</v>
      </c>
      <c r="W98" s="78" t="s">
        <v>0</v>
      </c>
      <c r="X98" s="78" t="s">
        <v>0</v>
      </c>
      <c r="Y98" s="78" t="s">
        <v>0</v>
      </c>
      <c r="Z98" s="78" t="s">
        <v>0</v>
      </c>
      <c r="AA98" s="78" t="s">
        <v>0</v>
      </c>
      <c r="AB98" s="78" t="s">
        <v>0</v>
      </c>
      <c r="AC98" s="78" t="s">
        <v>0</v>
      </c>
      <c r="AD98" s="78" t="s">
        <v>0</v>
      </c>
      <c r="AE98" s="78" t="s">
        <v>0</v>
      </c>
      <c r="AF98" s="78" t="s">
        <v>0</v>
      </c>
      <c r="AG98" s="78" t="s">
        <v>0</v>
      </c>
      <c r="AH98" s="78" t="s">
        <v>0</v>
      </c>
      <c r="AI98" s="78" t="s">
        <v>0</v>
      </c>
      <c r="AJ98" s="78" t="s">
        <v>0</v>
      </c>
      <c r="AK98" s="78" t="s">
        <v>0</v>
      </c>
      <c r="AL98" s="78" t="s">
        <v>0</v>
      </c>
      <c r="AM98" s="78" t="s">
        <v>0</v>
      </c>
      <c r="AN98" s="78" t="s">
        <v>0</v>
      </c>
      <c r="AO98" s="78" t="s">
        <v>0</v>
      </c>
      <c r="AP98" s="78" t="s">
        <v>0</v>
      </c>
      <c r="AQ98" s="78" t="s">
        <v>0</v>
      </c>
      <c r="AR98" s="78" t="s">
        <v>0</v>
      </c>
      <c r="AS98" s="78" t="s">
        <v>0</v>
      </c>
      <c r="AT98" s="78" t="s">
        <v>0</v>
      </c>
      <c r="AU98" s="78" t="s">
        <v>0</v>
      </c>
      <c r="AV98" s="78" t="s">
        <v>0</v>
      </c>
      <c r="AW98" s="78" t="s">
        <v>0</v>
      </c>
      <c r="AX98" s="78" t="s">
        <v>0</v>
      </c>
      <c r="AY98" s="78" t="s">
        <v>0</v>
      </c>
      <c r="AZ98" s="78" t="s">
        <v>0</v>
      </c>
      <c r="BA98" s="78" t="s">
        <v>0</v>
      </c>
      <c r="BB98" s="78" t="s">
        <v>0</v>
      </c>
      <c r="BC98" s="78" t="s">
        <v>0</v>
      </c>
      <c r="BD98" s="78" t="s">
        <v>0</v>
      </c>
      <c r="BE98" s="78" t="s">
        <v>0</v>
      </c>
      <c r="BF98" s="78" t="s">
        <v>0</v>
      </c>
      <c r="BG98" s="78" t="s">
        <v>0</v>
      </c>
      <c r="BH98" s="78" t="s">
        <v>0</v>
      </c>
      <c r="BI98" s="78" t="s">
        <v>0</v>
      </c>
      <c r="BJ98" s="78" t="s">
        <v>0</v>
      </c>
    </row>
    <row r="99" spans="1:62" ht="12.75">
      <c r="A99" s="710">
        <v>521</v>
      </c>
      <c r="B99" s="44" t="s">
        <v>2280</v>
      </c>
      <c r="C99" s="325">
        <f>MOD(G$1,A99)</f>
        <v>272</v>
      </c>
      <c r="D99" s="82">
        <f>A99-C99</f>
        <v>249</v>
      </c>
      <c r="E99" s="76">
        <f>MOD(G$2,A99)</f>
        <v>70</v>
      </c>
      <c r="F99" s="78" t="s">
        <v>2381</v>
      </c>
      <c r="G99" s="78" t="s">
        <v>0</v>
      </c>
      <c r="H99" s="78" t="s">
        <v>0</v>
      </c>
      <c r="I99" s="78" t="s">
        <v>0</v>
      </c>
      <c r="J99" s="78" t="s">
        <v>0</v>
      </c>
      <c r="K99" s="78" t="s">
        <v>0</v>
      </c>
      <c r="L99" s="78" t="s">
        <v>0</v>
      </c>
      <c r="M99" s="78" t="s">
        <v>0</v>
      </c>
      <c r="N99" s="78" t="s">
        <v>0</v>
      </c>
      <c r="O99" s="78" t="s">
        <v>0</v>
      </c>
      <c r="P99" s="78" t="s">
        <v>0</v>
      </c>
      <c r="Q99" s="78" t="s">
        <v>0</v>
      </c>
      <c r="R99" s="78" t="s">
        <v>0</v>
      </c>
      <c r="S99" s="78" t="s">
        <v>0</v>
      </c>
      <c r="T99" s="78" t="s">
        <v>0</v>
      </c>
      <c r="U99" s="78" t="s">
        <v>0</v>
      </c>
      <c r="V99" s="78" t="s">
        <v>0</v>
      </c>
      <c r="W99" s="78" t="s">
        <v>0</v>
      </c>
      <c r="X99" s="78" t="s">
        <v>0</v>
      </c>
      <c r="Y99" s="78" t="s">
        <v>0</v>
      </c>
      <c r="Z99" s="78" t="s">
        <v>0</v>
      </c>
      <c r="AA99" s="78" t="s">
        <v>0</v>
      </c>
      <c r="AB99" s="78" t="s">
        <v>0</v>
      </c>
      <c r="AC99" s="78" t="s">
        <v>0</v>
      </c>
      <c r="AD99" s="78" t="s">
        <v>0</v>
      </c>
      <c r="AE99" s="78" t="s">
        <v>0</v>
      </c>
      <c r="AF99" s="78" t="s">
        <v>0</v>
      </c>
      <c r="AG99" s="78" t="s">
        <v>0</v>
      </c>
      <c r="AH99" s="78" t="s">
        <v>0</v>
      </c>
      <c r="AI99" s="78" t="s">
        <v>0</v>
      </c>
      <c r="AJ99" s="78" t="s">
        <v>0</v>
      </c>
      <c r="AK99" s="78" t="s">
        <v>0</v>
      </c>
      <c r="AL99" s="78" t="s">
        <v>0</v>
      </c>
      <c r="AM99" s="78" t="s">
        <v>0</v>
      </c>
      <c r="AN99" s="78" t="s">
        <v>0</v>
      </c>
      <c r="AO99" s="78" t="s">
        <v>0</v>
      </c>
      <c r="AP99" s="78" t="s">
        <v>0</v>
      </c>
      <c r="AQ99" s="78" t="s">
        <v>0</v>
      </c>
      <c r="AR99" s="78" t="s">
        <v>0</v>
      </c>
      <c r="AS99" s="78" t="s">
        <v>0</v>
      </c>
      <c r="AT99" s="78" t="s">
        <v>0</v>
      </c>
      <c r="AU99" s="78" t="s">
        <v>0</v>
      </c>
      <c r="AV99" s="78" t="s">
        <v>0</v>
      </c>
      <c r="AW99" s="78" t="s">
        <v>0</v>
      </c>
      <c r="AX99" s="78" t="s">
        <v>0</v>
      </c>
      <c r="AY99" s="78" t="s">
        <v>0</v>
      </c>
      <c r="AZ99" s="78" t="s">
        <v>0</v>
      </c>
      <c r="BA99" s="78" t="s">
        <v>0</v>
      </c>
      <c r="BB99" s="78" t="s">
        <v>0</v>
      </c>
      <c r="BC99" s="78" t="s">
        <v>0</v>
      </c>
      <c r="BD99" s="78" t="s">
        <v>0</v>
      </c>
      <c r="BE99" s="78" t="s">
        <v>0</v>
      </c>
      <c r="BF99" s="78" t="s">
        <v>0</v>
      </c>
      <c r="BG99" s="78" t="s">
        <v>0</v>
      </c>
      <c r="BH99" s="78" t="s">
        <v>0</v>
      </c>
      <c r="BI99" s="78" t="s">
        <v>0</v>
      </c>
      <c r="BJ99" s="78" t="s">
        <v>0</v>
      </c>
    </row>
    <row r="100" spans="1:62" ht="12.75">
      <c r="A100" s="710">
        <v>523</v>
      </c>
      <c r="B100" s="44" t="s">
        <v>2282</v>
      </c>
      <c r="C100" s="325">
        <f>MOD(G$1,A100)</f>
        <v>181</v>
      </c>
      <c r="D100" s="82">
        <f>A100-C100</f>
        <v>342</v>
      </c>
      <c r="E100" s="76">
        <f>MOD(G$2,A100)</f>
        <v>498</v>
      </c>
      <c r="F100" s="78" t="s">
        <v>2450</v>
      </c>
      <c r="G100" s="78" t="s">
        <v>0</v>
      </c>
      <c r="H100" s="78" t="s">
        <v>0</v>
      </c>
      <c r="I100" s="78" t="s">
        <v>0</v>
      </c>
      <c r="J100" s="78" t="s">
        <v>0</v>
      </c>
      <c r="K100" s="78" t="s">
        <v>0</v>
      </c>
      <c r="L100" s="78" t="s">
        <v>0</v>
      </c>
      <c r="M100" s="78" t="s">
        <v>0</v>
      </c>
      <c r="N100" s="78" t="s">
        <v>0</v>
      </c>
      <c r="O100" s="78" t="s">
        <v>0</v>
      </c>
      <c r="P100" s="78" t="s">
        <v>0</v>
      </c>
      <c r="Q100" s="78" t="s">
        <v>0</v>
      </c>
      <c r="R100" s="78" t="s">
        <v>0</v>
      </c>
      <c r="S100" s="78" t="s">
        <v>0</v>
      </c>
      <c r="T100" s="78" t="s">
        <v>0</v>
      </c>
      <c r="U100" s="78" t="s">
        <v>0</v>
      </c>
      <c r="V100" s="78" t="s">
        <v>0</v>
      </c>
      <c r="W100" s="78" t="s">
        <v>0</v>
      </c>
      <c r="X100" s="78" t="s">
        <v>0</v>
      </c>
      <c r="Y100" s="78" t="s">
        <v>0</v>
      </c>
      <c r="Z100" s="78" t="s">
        <v>0</v>
      </c>
      <c r="AA100" s="78" t="s">
        <v>0</v>
      </c>
      <c r="AB100" s="78" t="s">
        <v>0</v>
      </c>
      <c r="AC100" s="78" t="s">
        <v>0</v>
      </c>
      <c r="AD100" s="78" t="s">
        <v>0</v>
      </c>
      <c r="AE100" s="78" t="s">
        <v>0</v>
      </c>
      <c r="AF100" s="78" t="s">
        <v>0</v>
      </c>
      <c r="AG100" s="78" t="s">
        <v>0</v>
      </c>
      <c r="AH100" s="78" t="s">
        <v>0</v>
      </c>
      <c r="AI100" s="78" t="s">
        <v>0</v>
      </c>
      <c r="AJ100" s="78" t="s">
        <v>0</v>
      </c>
      <c r="AK100" s="78" t="s">
        <v>0</v>
      </c>
      <c r="AL100" s="78" t="s">
        <v>0</v>
      </c>
      <c r="AM100" s="78" t="s">
        <v>0</v>
      </c>
      <c r="AN100" s="78" t="s">
        <v>0</v>
      </c>
      <c r="AO100" s="78" t="s">
        <v>0</v>
      </c>
      <c r="AP100" s="78" t="s">
        <v>0</v>
      </c>
      <c r="AQ100" s="78" t="s">
        <v>0</v>
      </c>
      <c r="AR100" s="78" t="s">
        <v>0</v>
      </c>
      <c r="AS100" s="78" t="s">
        <v>0</v>
      </c>
      <c r="AT100" s="78" t="s">
        <v>0</v>
      </c>
      <c r="AU100" s="78" t="s">
        <v>0</v>
      </c>
      <c r="AV100" s="78" t="s">
        <v>0</v>
      </c>
      <c r="AW100" s="78" t="s">
        <v>0</v>
      </c>
      <c r="AX100" s="78" t="s">
        <v>0</v>
      </c>
      <c r="AY100" s="78" t="s">
        <v>0</v>
      </c>
      <c r="AZ100" s="78" t="s">
        <v>0</v>
      </c>
      <c r="BA100" s="78" t="s">
        <v>0</v>
      </c>
      <c r="BB100" s="78" t="s">
        <v>0</v>
      </c>
      <c r="BC100" s="78" t="s">
        <v>0</v>
      </c>
      <c r="BD100" s="78" t="s">
        <v>0</v>
      </c>
      <c r="BE100" s="78" t="s">
        <v>0</v>
      </c>
      <c r="BF100" s="78" t="s">
        <v>0</v>
      </c>
      <c r="BG100" s="78" t="s">
        <v>0</v>
      </c>
      <c r="BH100" s="78" t="s">
        <v>0</v>
      </c>
      <c r="BI100" s="78" t="s">
        <v>0</v>
      </c>
      <c r="BJ100" s="78" t="s">
        <v>0</v>
      </c>
    </row>
    <row r="101" spans="1:62" ht="12.75">
      <c r="A101" s="710">
        <v>541</v>
      </c>
      <c r="B101" s="44" t="s">
        <v>2285</v>
      </c>
      <c r="C101" s="325">
        <f>MOD(G$1,A101)</f>
        <v>29</v>
      </c>
      <c r="D101" s="82">
        <f>A101-C101</f>
        <v>512</v>
      </c>
      <c r="E101" s="76">
        <f>MOD(G$2,A101)</f>
        <v>328</v>
      </c>
      <c r="F101" s="78" t="s">
        <v>2187</v>
      </c>
      <c r="G101" s="78" t="s">
        <v>0</v>
      </c>
      <c r="H101" s="78" t="s">
        <v>0</v>
      </c>
      <c r="I101" s="78" t="s">
        <v>0</v>
      </c>
      <c r="J101" s="78" t="s">
        <v>0</v>
      </c>
      <c r="K101" s="78" t="s">
        <v>0</v>
      </c>
      <c r="L101" s="78" t="s">
        <v>0</v>
      </c>
      <c r="M101" s="78" t="s">
        <v>0</v>
      </c>
      <c r="N101" s="78" t="s">
        <v>0</v>
      </c>
      <c r="O101" s="78" t="s">
        <v>0</v>
      </c>
      <c r="P101" s="78" t="s">
        <v>0</v>
      </c>
      <c r="Q101" s="78" t="s">
        <v>0</v>
      </c>
      <c r="R101" s="78" t="s">
        <v>0</v>
      </c>
      <c r="S101" s="78" t="s">
        <v>0</v>
      </c>
      <c r="T101" s="78" t="s">
        <v>0</v>
      </c>
      <c r="U101" s="78" t="s">
        <v>0</v>
      </c>
      <c r="V101" s="78" t="s">
        <v>0</v>
      </c>
      <c r="W101" s="78" t="s">
        <v>0</v>
      </c>
      <c r="X101" s="78" t="s">
        <v>0</v>
      </c>
      <c r="Y101" s="78" t="s">
        <v>0</v>
      </c>
      <c r="Z101" s="78" t="s">
        <v>0</v>
      </c>
      <c r="AA101" s="78" t="s">
        <v>0</v>
      </c>
      <c r="AB101" s="78" t="s">
        <v>0</v>
      </c>
      <c r="AC101" s="78" t="s">
        <v>0</v>
      </c>
      <c r="AD101" s="78" t="s">
        <v>0</v>
      </c>
      <c r="AE101" s="78" t="s">
        <v>0</v>
      </c>
      <c r="AF101" s="78" t="s">
        <v>0</v>
      </c>
      <c r="AG101" s="78" t="s">
        <v>0</v>
      </c>
      <c r="AH101" s="78" t="s">
        <v>0</v>
      </c>
      <c r="AI101" s="78" t="s">
        <v>0</v>
      </c>
      <c r="AJ101" s="78" t="s">
        <v>0</v>
      </c>
      <c r="AK101" s="78" t="s">
        <v>0</v>
      </c>
      <c r="AL101" s="78" t="s">
        <v>0</v>
      </c>
      <c r="AM101" s="78" t="s">
        <v>0</v>
      </c>
      <c r="AN101" s="78" t="s">
        <v>0</v>
      </c>
      <c r="AO101" s="78" t="s">
        <v>0</v>
      </c>
      <c r="AP101" s="78" t="s">
        <v>0</v>
      </c>
      <c r="AQ101" s="78" t="s">
        <v>0</v>
      </c>
      <c r="AR101" s="78" t="s">
        <v>0</v>
      </c>
      <c r="AS101" s="78" t="s">
        <v>0</v>
      </c>
      <c r="AT101" s="78" t="s">
        <v>0</v>
      </c>
      <c r="AU101" s="78" t="s">
        <v>0</v>
      </c>
      <c r="AV101" s="78" t="s">
        <v>0</v>
      </c>
      <c r="AW101" s="78" t="s">
        <v>0</v>
      </c>
      <c r="AX101" s="78" t="s">
        <v>0</v>
      </c>
      <c r="AY101" s="78" t="s">
        <v>0</v>
      </c>
      <c r="AZ101" s="78" t="s">
        <v>0</v>
      </c>
      <c r="BA101" s="78" t="s">
        <v>0</v>
      </c>
      <c r="BB101" s="78" t="s">
        <v>0</v>
      </c>
      <c r="BC101" s="78" t="s">
        <v>0</v>
      </c>
      <c r="BD101" s="78" t="s">
        <v>0</v>
      </c>
      <c r="BE101" s="78" t="s">
        <v>0</v>
      </c>
      <c r="BF101" s="78" t="s">
        <v>0</v>
      </c>
      <c r="BG101" s="78" t="s">
        <v>0</v>
      </c>
      <c r="BH101" s="78" t="s">
        <v>0</v>
      </c>
      <c r="BI101" s="78" t="s">
        <v>0</v>
      </c>
      <c r="BJ101" s="78" t="s">
        <v>0</v>
      </c>
    </row>
    <row r="102" spans="1:62" ht="12.75">
      <c r="A102" s="710">
        <v>547</v>
      </c>
      <c r="B102" s="44" t="s">
        <v>2288</v>
      </c>
      <c r="C102" s="325">
        <f>MOD(G$1,A102)</f>
        <v>217</v>
      </c>
      <c r="D102" s="82">
        <f>A102-C102</f>
        <v>330</v>
      </c>
      <c r="E102" s="76">
        <f>MOD(G$2,A102)</f>
        <v>510</v>
      </c>
      <c r="F102" s="78" t="s">
        <v>2436</v>
      </c>
      <c r="G102" s="78" t="s">
        <v>0</v>
      </c>
      <c r="H102" s="78" t="s">
        <v>0</v>
      </c>
      <c r="I102" s="78" t="s">
        <v>0</v>
      </c>
      <c r="J102" s="78" t="s">
        <v>0</v>
      </c>
      <c r="K102" s="78" t="s">
        <v>0</v>
      </c>
      <c r="L102" s="78" t="s">
        <v>0</v>
      </c>
      <c r="M102" s="78" t="s">
        <v>0</v>
      </c>
      <c r="N102" s="78" t="s">
        <v>0</v>
      </c>
      <c r="O102" s="78" t="s">
        <v>0</v>
      </c>
      <c r="P102" s="78" t="s">
        <v>0</v>
      </c>
      <c r="Q102" s="78" t="s">
        <v>0</v>
      </c>
      <c r="R102" s="78" t="s">
        <v>0</v>
      </c>
      <c r="S102" s="78" t="s">
        <v>0</v>
      </c>
      <c r="T102" s="78" t="s">
        <v>0</v>
      </c>
      <c r="U102" s="78" t="s">
        <v>0</v>
      </c>
      <c r="V102" s="78" t="s">
        <v>0</v>
      </c>
      <c r="W102" s="78" t="s">
        <v>0</v>
      </c>
      <c r="X102" s="78" t="s">
        <v>0</v>
      </c>
      <c r="Y102" s="78" t="s">
        <v>0</v>
      </c>
      <c r="Z102" s="78" t="s">
        <v>0</v>
      </c>
      <c r="AA102" s="78" t="s">
        <v>0</v>
      </c>
      <c r="AB102" s="78" t="s">
        <v>0</v>
      </c>
      <c r="AC102" s="78" t="s">
        <v>0</v>
      </c>
      <c r="AD102" s="78" t="s">
        <v>0</v>
      </c>
      <c r="AE102" s="78" t="s">
        <v>0</v>
      </c>
      <c r="AF102" s="78" t="s">
        <v>0</v>
      </c>
      <c r="AG102" s="78" t="s">
        <v>0</v>
      </c>
      <c r="AH102" s="78" t="s">
        <v>0</v>
      </c>
      <c r="AI102" s="78" t="s">
        <v>0</v>
      </c>
      <c r="AJ102" s="78" t="s">
        <v>0</v>
      </c>
      <c r="AK102" s="78" t="s">
        <v>0</v>
      </c>
      <c r="AL102" s="78" t="s">
        <v>0</v>
      </c>
      <c r="AM102" s="78" t="s">
        <v>0</v>
      </c>
      <c r="AN102" s="78" t="s">
        <v>0</v>
      </c>
      <c r="AO102" s="78" t="s">
        <v>0</v>
      </c>
      <c r="AP102" s="78" t="s">
        <v>0</v>
      </c>
      <c r="AQ102" s="78" t="s">
        <v>0</v>
      </c>
      <c r="AR102" s="78" t="s">
        <v>0</v>
      </c>
      <c r="AS102" s="78" t="s">
        <v>0</v>
      </c>
      <c r="AT102" s="78" t="s">
        <v>0</v>
      </c>
      <c r="AU102" s="78" t="s">
        <v>0</v>
      </c>
      <c r="AV102" s="78" t="s">
        <v>0</v>
      </c>
      <c r="AW102" s="78" t="s">
        <v>0</v>
      </c>
      <c r="AX102" s="78" t="s">
        <v>0</v>
      </c>
      <c r="AY102" s="78" t="s">
        <v>0</v>
      </c>
      <c r="AZ102" s="78" t="s">
        <v>0</v>
      </c>
      <c r="BA102" s="78" t="s">
        <v>0</v>
      </c>
      <c r="BB102" s="78" t="s">
        <v>0</v>
      </c>
      <c r="BC102" s="78" t="s">
        <v>0</v>
      </c>
      <c r="BD102" s="78" t="s">
        <v>0</v>
      </c>
      <c r="BE102" s="78" t="s">
        <v>0</v>
      </c>
      <c r="BF102" s="78" t="s">
        <v>0</v>
      </c>
      <c r="BG102" s="78" t="s">
        <v>0</v>
      </c>
      <c r="BH102" s="78" t="s">
        <v>0</v>
      </c>
      <c r="BI102" s="78" t="s">
        <v>0</v>
      </c>
      <c r="BJ102" s="78" t="s">
        <v>0</v>
      </c>
    </row>
    <row r="103" spans="1:62" ht="12.75">
      <c r="A103" s="710">
        <v>557</v>
      </c>
      <c r="B103" s="44" t="s">
        <v>2290</v>
      </c>
      <c r="C103" s="325">
        <f>MOD(G$1,A103)</f>
        <v>429</v>
      </c>
      <c r="D103" s="82">
        <f>A103-C103</f>
        <v>128</v>
      </c>
      <c r="E103" s="76">
        <f>MOD(G$2,A103)</f>
        <v>155</v>
      </c>
      <c r="F103" s="78" t="s">
        <v>2341</v>
      </c>
      <c r="G103" s="78" t="s">
        <v>0</v>
      </c>
      <c r="H103" s="78" t="s">
        <v>0</v>
      </c>
      <c r="I103" s="78" t="s">
        <v>0</v>
      </c>
      <c r="J103" s="78" t="s">
        <v>0</v>
      </c>
      <c r="K103" s="78" t="s">
        <v>0</v>
      </c>
      <c r="L103" s="78" t="s">
        <v>0</v>
      </c>
      <c r="M103" s="78" t="s">
        <v>0</v>
      </c>
      <c r="N103" s="78" t="s">
        <v>0</v>
      </c>
      <c r="O103" s="78" t="s">
        <v>0</v>
      </c>
      <c r="P103" s="78" t="s">
        <v>0</v>
      </c>
      <c r="Q103" s="78" t="s">
        <v>0</v>
      </c>
      <c r="R103" s="78" t="s">
        <v>0</v>
      </c>
      <c r="S103" s="78" t="s">
        <v>0</v>
      </c>
      <c r="T103" s="78" t="s">
        <v>0</v>
      </c>
      <c r="U103" s="78" t="s">
        <v>0</v>
      </c>
      <c r="V103" s="78" t="s">
        <v>0</v>
      </c>
      <c r="W103" s="78" t="s">
        <v>0</v>
      </c>
      <c r="X103" s="78" t="s">
        <v>0</v>
      </c>
      <c r="Y103" s="78" t="s">
        <v>0</v>
      </c>
      <c r="Z103" s="78" t="s">
        <v>0</v>
      </c>
      <c r="AA103" s="78" t="s">
        <v>0</v>
      </c>
      <c r="AB103" s="78" t="s">
        <v>0</v>
      </c>
      <c r="AC103" s="78" t="s">
        <v>0</v>
      </c>
      <c r="AD103" s="78" t="s">
        <v>0</v>
      </c>
      <c r="AE103" s="78" t="s">
        <v>0</v>
      </c>
      <c r="AF103" s="78" t="s">
        <v>0</v>
      </c>
      <c r="AG103" s="78" t="s">
        <v>0</v>
      </c>
      <c r="AH103" s="78" t="s">
        <v>0</v>
      </c>
      <c r="AI103" s="78" t="s">
        <v>0</v>
      </c>
      <c r="AJ103" s="78" t="s">
        <v>0</v>
      </c>
      <c r="AK103" s="78" t="s">
        <v>0</v>
      </c>
      <c r="AL103" s="78" t="s">
        <v>0</v>
      </c>
      <c r="AM103" s="78" t="s">
        <v>0</v>
      </c>
      <c r="AN103" s="78" t="s">
        <v>0</v>
      </c>
      <c r="AO103" s="78" t="s">
        <v>0</v>
      </c>
      <c r="AP103" s="78" t="s">
        <v>0</v>
      </c>
      <c r="AQ103" s="78" t="s">
        <v>0</v>
      </c>
      <c r="AR103" s="78" t="s">
        <v>0</v>
      </c>
      <c r="AS103" s="78" t="s">
        <v>0</v>
      </c>
      <c r="AT103" s="78" t="s">
        <v>0</v>
      </c>
      <c r="AU103" s="78" t="s">
        <v>0</v>
      </c>
      <c r="AV103" s="78" t="s">
        <v>0</v>
      </c>
      <c r="AW103" s="78" t="s">
        <v>0</v>
      </c>
      <c r="AX103" s="78" t="s">
        <v>0</v>
      </c>
      <c r="AY103" s="78" t="s">
        <v>0</v>
      </c>
      <c r="AZ103" s="78" t="s">
        <v>0</v>
      </c>
      <c r="BA103" s="78" t="s">
        <v>0</v>
      </c>
      <c r="BB103" s="78" t="s">
        <v>0</v>
      </c>
      <c r="BC103" s="78" t="s">
        <v>0</v>
      </c>
      <c r="BD103" s="78" t="s">
        <v>0</v>
      </c>
      <c r="BE103" s="78" t="s">
        <v>0</v>
      </c>
      <c r="BF103" s="78" t="s">
        <v>0</v>
      </c>
      <c r="BG103" s="78" t="s">
        <v>0</v>
      </c>
      <c r="BH103" s="78" t="s">
        <v>0</v>
      </c>
      <c r="BI103" s="78" t="s">
        <v>0</v>
      </c>
      <c r="BJ103" s="78" t="s">
        <v>0</v>
      </c>
    </row>
    <row r="104" spans="1:62" ht="12.75">
      <c r="A104" s="710">
        <v>563</v>
      </c>
      <c r="B104" s="44" t="s">
        <v>2291</v>
      </c>
      <c r="C104" s="325">
        <f>MOD(G$1,A104)</f>
        <v>40</v>
      </c>
      <c r="D104" s="82">
        <f>A104-C104</f>
        <v>523</v>
      </c>
      <c r="E104" s="76">
        <f>MOD(G$2,A104)</f>
        <v>317</v>
      </c>
      <c r="F104" s="78" t="s">
        <v>2147</v>
      </c>
      <c r="G104" s="78" t="s">
        <v>0</v>
      </c>
      <c r="H104" s="78" t="s">
        <v>0</v>
      </c>
      <c r="I104" s="78" t="s">
        <v>0</v>
      </c>
      <c r="J104" s="78" t="s">
        <v>0</v>
      </c>
      <c r="K104" s="78" t="s">
        <v>0</v>
      </c>
      <c r="L104" s="78" t="s">
        <v>0</v>
      </c>
      <c r="M104" s="78" t="s">
        <v>0</v>
      </c>
      <c r="N104" s="78" t="s">
        <v>0</v>
      </c>
      <c r="O104" s="78" t="s">
        <v>0</v>
      </c>
      <c r="P104" s="78" t="s">
        <v>0</v>
      </c>
      <c r="Q104" s="78" t="s">
        <v>0</v>
      </c>
      <c r="R104" s="78" t="s">
        <v>0</v>
      </c>
      <c r="S104" s="78" t="s">
        <v>0</v>
      </c>
      <c r="T104" s="78" t="s">
        <v>0</v>
      </c>
      <c r="U104" s="78" t="s">
        <v>0</v>
      </c>
      <c r="V104" s="78" t="s">
        <v>0</v>
      </c>
      <c r="W104" s="78" t="s">
        <v>0</v>
      </c>
      <c r="X104" s="78" t="s">
        <v>0</v>
      </c>
      <c r="Y104" s="78" t="s">
        <v>0</v>
      </c>
      <c r="Z104" s="78" t="s">
        <v>0</v>
      </c>
      <c r="AA104" s="78" t="s">
        <v>0</v>
      </c>
      <c r="AB104" s="78" t="s">
        <v>0</v>
      </c>
      <c r="AC104" s="78" t="s">
        <v>0</v>
      </c>
      <c r="AD104" s="78" t="s">
        <v>0</v>
      </c>
      <c r="AE104" s="78" t="s">
        <v>0</v>
      </c>
      <c r="AF104" s="78" t="s">
        <v>0</v>
      </c>
      <c r="AG104" s="78" t="s">
        <v>0</v>
      </c>
      <c r="AH104" s="78" t="s">
        <v>0</v>
      </c>
      <c r="AI104" s="78" t="s">
        <v>0</v>
      </c>
      <c r="AJ104" s="78" t="s">
        <v>0</v>
      </c>
      <c r="AK104" s="78" t="s">
        <v>0</v>
      </c>
      <c r="AL104" s="78" t="s">
        <v>0</v>
      </c>
      <c r="AM104" s="78" t="s">
        <v>0</v>
      </c>
      <c r="AN104" s="78" t="s">
        <v>0</v>
      </c>
      <c r="AO104" s="78" t="s">
        <v>0</v>
      </c>
      <c r="AP104" s="78" t="s">
        <v>0</v>
      </c>
      <c r="AQ104" s="78" t="s">
        <v>0</v>
      </c>
      <c r="AR104" s="78" t="s">
        <v>0</v>
      </c>
      <c r="AS104" s="78" t="s">
        <v>0</v>
      </c>
      <c r="AT104" s="78" t="s">
        <v>0</v>
      </c>
      <c r="AU104" s="78" t="s">
        <v>0</v>
      </c>
      <c r="AV104" s="78" t="s">
        <v>0</v>
      </c>
      <c r="AW104" s="78" t="s">
        <v>0</v>
      </c>
      <c r="AX104" s="78" t="s">
        <v>0</v>
      </c>
      <c r="AY104" s="78" t="s">
        <v>0</v>
      </c>
      <c r="AZ104" s="78" t="s">
        <v>0</v>
      </c>
      <c r="BA104" s="78" t="s">
        <v>0</v>
      </c>
      <c r="BB104" s="78" t="s">
        <v>0</v>
      </c>
      <c r="BC104" s="78" t="s">
        <v>0</v>
      </c>
      <c r="BD104" s="78" t="s">
        <v>0</v>
      </c>
      <c r="BE104" s="78" t="s">
        <v>0</v>
      </c>
      <c r="BF104" s="78" t="s">
        <v>0</v>
      </c>
      <c r="BG104" s="78" t="s">
        <v>0</v>
      </c>
      <c r="BH104" s="78" t="s">
        <v>0</v>
      </c>
      <c r="BI104" s="78" t="s">
        <v>0</v>
      </c>
      <c r="BJ104" s="78" t="s">
        <v>0</v>
      </c>
    </row>
    <row r="105" spans="1:62" ht="12.75">
      <c r="A105" s="710">
        <v>569</v>
      </c>
      <c r="B105" s="44" t="s">
        <v>2292</v>
      </c>
      <c r="C105" s="325">
        <f>MOD(G$1,A105)</f>
        <v>265</v>
      </c>
      <c r="D105" s="82">
        <f>A105-C105</f>
        <v>304</v>
      </c>
      <c r="E105" s="76">
        <f>MOD(G$2,A105)</f>
        <v>536</v>
      </c>
      <c r="F105" s="78" t="s">
        <v>2417</v>
      </c>
      <c r="G105" s="78" t="s">
        <v>0</v>
      </c>
      <c r="H105" s="78" t="s">
        <v>0</v>
      </c>
      <c r="I105" s="78" t="s">
        <v>0</v>
      </c>
      <c r="J105" s="78" t="s">
        <v>0</v>
      </c>
      <c r="K105" s="78" t="s">
        <v>0</v>
      </c>
      <c r="L105" s="78" t="s">
        <v>0</v>
      </c>
      <c r="M105" s="78" t="s">
        <v>0</v>
      </c>
      <c r="N105" s="78" t="s">
        <v>0</v>
      </c>
      <c r="O105" s="78" t="s">
        <v>0</v>
      </c>
      <c r="P105" s="78" t="s">
        <v>0</v>
      </c>
      <c r="Q105" s="78" t="s">
        <v>0</v>
      </c>
      <c r="R105" s="78" t="s">
        <v>0</v>
      </c>
      <c r="S105" s="78" t="s">
        <v>0</v>
      </c>
      <c r="T105" s="78" t="s">
        <v>0</v>
      </c>
      <c r="U105" s="78" t="s">
        <v>0</v>
      </c>
      <c r="V105" s="78" t="s">
        <v>0</v>
      </c>
      <c r="W105" s="78" t="s">
        <v>0</v>
      </c>
      <c r="X105" s="78" t="s">
        <v>0</v>
      </c>
      <c r="Y105" s="78" t="s">
        <v>0</v>
      </c>
      <c r="Z105" s="78" t="s">
        <v>0</v>
      </c>
      <c r="AA105" s="78" t="s">
        <v>0</v>
      </c>
      <c r="AB105" s="78" t="s">
        <v>0</v>
      </c>
      <c r="AC105" s="78" t="s">
        <v>0</v>
      </c>
      <c r="AD105" s="78" t="s">
        <v>0</v>
      </c>
      <c r="AE105" s="78" t="s">
        <v>0</v>
      </c>
      <c r="AF105" s="78" t="s">
        <v>0</v>
      </c>
      <c r="AG105" s="78" t="s">
        <v>0</v>
      </c>
      <c r="AH105" s="78" t="s">
        <v>0</v>
      </c>
      <c r="AI105" s="78" t="s">
        <v>0</v>
      </c>
      <c r="AJ105" s="78" t="s">
        <v>0</v>
      </c>
      <c r="AK105" s="78" t="s">
        <v>0</v>
      </c>
      <c r="AL105" s="78" t="s">
        <v>0</v>
      </c>
      <c r="AM105" s="78" t="s">
        <v>0</v>
      </c>
      <c r="AN105" s="78" t="s">
        <v>0</v>
      </c>
      <c r="AO105" s="78" t="s">
        <v>0</v>
      </c>
      <c r="AP105" s="78" t="s">
        <v>0</v>
      </c>
      <c r="AQ105" s="78" t="s">
        <v>0</v>
      </c>
      <c r="AR105" s="78" t="s">
        <v>0</v>
      </c>
      <c r="AS105" s="78" t="s">
        <v>0</v>
      </c>
      <c r="AT105" s="78" t="s">
        <v>0</v>
      </c>
      <c r="AU105" s="78" t="s">
        <v>0</v>
      </c>
      <c r="AV105" s="78" t="s">
        <v>0</v>
      </c>
      <c r="AW105" s="78" t="s">
        <v>0</v>
      </c>
      <c r="AX105" s="78" t="s">
        <v>0</v>
      </c>
      <c r="AY105" s="78" t="s">
        <v>0</v>
      </c>
      <c r="AZ105" s="78" t="s">
        <v>0</v>
      </c>
      <c r="BA105" s="78" t="s">
        <v>0</v>
      </c>
      <c r="BB105" s="78" t="s">
        <v>0</v>
      </c>
      <c r="BC105" s="78" t="s">
        <v>0</v>
      </c>
      <c r="BD105" s="78" t="s">
        <v>0</v>
      </c>
      <c r="BE105" s="78" t="s">
        <v>0</v>
      </c>
      <c r="BF105" s="78" t="s">
        <v>0</v>
      </c>
      <c r="BG105" s="78" t="s">
        <v>0</v>
      </c>
      <c r="BH105" s="78" t="s">
        <v>0</v>
      </c>
      <c r="BI105" s="78" t="s">
        <v>0</v>
      </c>
      <c r="BJ105" s="78" t="s">
        <v>0</v>
      </c>
    </row>
    <row r="106" spans="1:62" ht="12.75">
      <c r="A106" s="710">
        <v>571</v>
      </c>
      <c r="B106" s="44" t="s">
        <v>2295</v>
      </c>
      <c r="C106" s="325">
        <f>MOD(G$1,A106)</f>
        <v>373</v>
      </c>
      <c r="D106" s="82">
        <f>A106-C106</f>
        <v>198</v>
      </c>
      <c r="E106" s="76">
        <f>MOD(G$2,A106)</f>
        <v>71</v>
      </c>
      <c r="F106" s="78" t="s">
        <v>2196</v>
      </c>
      <c r="G106" s="78" t="s">
        <v>0</v>
      </c>
      <c r="H106" s="78" t="s">
        <v>0</v>
      </c>
      <c r="I106" s="78" t="s">
        <v>0</v>
      </c>
      <c r="J106" s="78" t="s">
        <v>0</v>
      </c>
      <c r="K106" s="78" t="s">
        <v>0</v>
      </c>
      <c r="L106" s="78" t="s">
        <v>0</v>
      </c>
      <c r="M106" s="78" t="s">
        <v>0</v>
      </c>
      <c r="N106" s="78" t="s">
        <v>0</v>
      </c>
      <c r="O106" s="78" t="s">
        <v>0</v>
      </c>
      <c r="P106" s="78" t="s">
        <v>0</v>
      </c>
      <c r="Q106" s="78" t="s">
        <v>0</v>
      </c>
      <c r="R106" s="78" t="s">
        <v>0</v>
      </c>
      <c r="S106" s="78" t="s">
        <v>0</v>
      </c>
      <c r="T106" s="78" t="s">
        <v>0</v>
      </c>
      <c r="U106" s="78" t="s">
        <v>0</v>
      </c>
      <c r="V106" s="78" t="s">
        <v>0</v>
      </c>
      <c r="W106" s="78" t="s">
        <v>0</v>
      </c>
      <c r="X106" s="78" t="s">
        <v>0</v>
      </c>
      <c r="Y106" s="78" t="s">
        <v>0</v>
      </c>
      <c r="Z106" s="78" t="s">
        <v>0</v>
      </c>
      <c r="AA106" s="78" t="s">
        <v>0</v>
      </c>
      <c r="AB106" s="78" t="s">
        <v>0</v>
      </c>
      <c r="AC106" s="78" t="s">
        <v>0</v>
      </c>
      <c r="AD106" s="78" t="s">
        <v>0</v>
      </c>
      <c r="AE106" s="78" t="s">
        <v>0</v>
      </c>
      <c r="AF106" s="78" t="s">
        <v>0</v>
      </c>
      <c r="AG106" s="78" t="s">
        <v>0</v>
      </c>
      <c r="AH106" s="78" t="s">
        <v>0</v>
      </c>
      <c r="AI106" s="78" t="s">
        <v>0</v>
      </c>
      <c r="AJ106" s="78" t="s">
        <v>0</v>
      </c>
      <c r="AK106" s="78" t="s">
        <v>0</v>
      </c>
      <c r="AL106" s="78" t="s">
        <v>0</v>
      </c>
      <c r="AM106" s="78" t="s">
        <v>0</v>
      </c>
      <c r="AN106" s="78" t="s">
        <v>0</v>
      </c>
      <c r="AO106" s="78" t="s">
        <v>0</v>
      </c>
      <c r="AP106" s="78" t="s">
        <v>0</v>
      </c>
      <c r="AQ106" s="78" t="s">
        <v>0</v>
      </c>
      <c r="AR106" s="78" t="s">
        <v>0</v>
      </c>
      <c r="AS106" s="78" t="s">
        <v>0</v>
      </c>
      <c r="AT106" s="78" t="s">
        <v>0</v>
      </c>
      <c r="AU106" s="78" t="s">
        <v>0</v>
      </c>
      <c r="AV106" s="78" t="s">
        <v>0</v>
      </c>
      <c r="AW106" s="78" t="s">
        <v>0</v>
      </c>
      <c r="AX106" s="78" t="s">
        <v>0</v>
      </c>
      <c r="AY106" s="78" t="s">
        <v>0</v>
      </c>
      <c r="AZ106" s="78" t="s">
        <v>0</v>
      </c>
      <c r="BA106" s="78" t="s">
        <v>0</v>
      </c>
      <c r="BB106" s="78" t="s">
        <v>0</v>
      </c>
      <c r="BC106" s="78" t="s">
        <v>0</v>
      </c>
      <c r="BD106" s="78" t="s">
        <v>0</v>
      </c>
      <c r="BE106" s="78" t="s">
        <v>0</v>
      </c>
      <c r="BF106" s="78" t="s">
        <v>0</v>
      </c>
      <c r="BG106" s="78" t="s">
        <v>0</v>
      </c>
      <c r="BH106" s="78" t="s">
        <v>0</v>
      </c>
      <c r="BI106" s="78" t="s">
        <v>0</v>
      </c>
      <c r="BJ106" s="78" t="s">
        <v>0</v>
      </c>
    </row>
    <row r="107" spans="1:62" ht="12.75">
      <c r="A107" s="710">
        <v>577</v>
      </c>
      <c r="B107" s="44" t="s">
        <v>2297</v>
      </c>
      <c r="C107" s="325">
        <f>MOD(G$1,A107)</f>
        <v>102</v>
      </c>
      <c r="D107" s="82">
        <f>A107-C107</f>
        <v>475</v>
      </c>
      <c r="E107" s="76">
        <f>MOD(G$2,A107)</f>
        <v>365</v>
      </c>
      <c r="F107" s="78" t="s">
        <v>2336</v>
      </c>
      <c r="G107" s="78" t="s">
        <v>0</v>
      </c>
      <c r="H107" s="78" t="s">
        <v>0</v>
      </c>
      <c r="I107" s="78" t="s">
        <v>0</v>
      </c>
      <c r="J107" s="78" t="s">
        <v>0</v>
      </c>
      <c r="K107" s="78" t="s">
        <v>0</v>
      </c>
      <c r="L107" s="78" t="s">
        <v>0</v>
      </c>
      <c r="M107" s="78" t="s">
        <v>0</v>
      </c>
      <c r="N107" s="78" t="s">
        <v>0</v>
      </c>
      <c r="O107" s="78" t="s">
        <v>0</v>
      </c>
      <c r="P107" s="78" t="s">
        <v>0</v>
      </c>
      <c r="Q107" s="78" t="s">
        <v>0</v>
      </c>
      <c r="R107" s="78" t="s">
        <v>0</v>
      </c>
      <c r="S107" s="78" t="s">
        <v>0</v>
      </c>
      <c r="T107" s="78" t="s">
        <v>0</v>
      </c>
      <c r="U107" s="78" t="s">
        <v>0</v>
      </c>
      <c r="V107" s="78" t="s">
        <v>0</v>
      </c>
      <c r="W107" s="78" t="s">
        <v>0</v>
      </c>
      <c r="X107" s="78" t="s">
        <v>0</v>
      </c>
      <c r="Y107" s="78" t="s">
        <v>0</v>
      </c>
      <c r="Z107" s="78" t="s">
        <v>0</v>
      </c>
      <c r="AA107" s="78" t="s">
        <v>0</v>
      </c>
      <c r="AB107" s="78" t="s">
        <v>0</v>
      </c>
      <c r="AC107" s="78" t="s">
        <v>0</v>
      </c>
      <c r="AD107" s="78" t="s">
        <v>0</v>
      </c>
      <c r="AE107" s="78" t="s">
        <v>0</v>
      </c>
      <c r="AF107" s="78" t="s">
        <v>0</v>
      </c>
      <c r="AG107" s="78" t="s">
        <v>0</v>
      </c>
      <c r="AH107" s="78" t="s">
        <v>0</v>
      </c>
      <c r="AI107" s="78" t="s">
        <v>0</v>
      </c>
      <c r="AJ107" s="78" t="s">
        <v>0</v>
      </c>
      <c r="AK107" s="78" t="s">
        <v>0</v>
      </c>
      <c r="AL107" s="78" t="s">
        <v>0</v>
      </c>
      <c r="AM107" s="78" t="s">
        <v>0</v>
      </c>
      <c r="AN107" s="78" t="s">
        <v>0</v>
      </c>
      <c r="AO107" s="78" t="s">
        <v>0</v>
      </c>
      <c r="AP107" s="78" t="s">
        <v>0</v>
      </c>
      <c r="AQ107" s="78" t="s">
        <v>0</v>
      </c>
      <c r="AR107" s="78" t="s">
        <v>0</v>
      </c>
      <c r="AS107" s="78" t="s">
        <v>0</v>
      </c>
      <c r="AT107" s="78" t="s">
        <v>0</v>
      </c>
      <c r="AU107" s="78" t="s">
        <v>0</v>
      </c>
      <c r="AV107" s="78" t="s">
        <v>0</v>
      </c>
      <c r="AW107" s="78" t="s">
        <v>0</v>
      </c>
      <c r="AX107" s="78" t="s">
        <v>0</v>
      </c>
      <c r="AY107" s="78" t="s">
        <v>0</v>
      </c>
      <c r="AZ107" s="78" t="s">
        <v>0</v>
      </c>
      <c r="BA107" s="78" t="s">
        <v>0</v>
      </c>
      <c r="BB107" s="78" t="s">
        <v>0</v>
      </c>
      <c r="BC107" s="78" t="s">
        <v>0</v>
      </c>
      <c r="BD107" s="78" t="s">
        <v>0</v>
      </c>
      <c r="BE107" s="78" t="s">
        <v>0</v>
      </c>
      <c r="BF107" s="78" t="s">
        <v>0</v>
      </c>
      <c r="BG107" s="78" t="s">
        <v>0</v>
      </c>
      <c r="BH107" s="78" t="s">
        <v>0</v>
      </c>
      <c r="BI107" s="78" t="s">
        <v>0</v>
      </c>
      <c r="BJ107" s="78" t="s">
        <v>0</v>
      </c>
    </row>
    <row r="108" spans="1:62" ht="12.75">
      <c r="A108" s="710">
        <v>587</v>
      </c>
      <c r="B108" s="44" t="s">
        <v>2301</v>
      </c>
      <c r="C108" s="325">
        <f>MOD(G$1,A108)</f>
        <v>571</v>
      </c>
      <c r="D108" s="82">
        <f>A108-C108</f>
        <v>16</v>
      </c>
      <c r="E108" s="76">
        <f>MOD(G$2,A108)</f>
        <v>237</v>
      </c>
      <c r="F108" s="78" t="s">
        <v>2347</v>
      </c>
      <c r="G108" s="78" t="s">
        <v>0</v>
      </c>
      <c r="H108" s="78" t="s">
        <v>0</v>
      </c>
      <c r="I108" s="78" t="s">
        <v>0</v>
      </c>
      <c r="J108" s="78" t="s">
        <v>0</v>
      </c>
      <c r="K108" s="78" t="s">
        <v>0</v>
      </c>
      <c r="L108" s="78" t="s">
        <v>0</v>
      </c>
      <c r="M108" s="78" t="s">
        <v>0</v>
      </c>
      <c r="N108" s="78" t="s">
        <v>0</v>
      </c>
      <c r="O108" s="78" t="s">
        <v>0</v>
      </c>
      <c r="P108" s="78" t="s">
        <v>0</v>
      </c>
      <c r="Q108" s="78" t="s">
        <v>0</v>
      </c>
      <c r="R108" s="78" t="s">
        <v>0</v>
      </c>
      <c r="S108" s="78" t="s">
        <v>0</v>
      </c>
      <c r="T108" s="78" t="s">
        <v>0</v>
      </c>
      <c r="U108" s="78" t="s">
        <v>0</v>
      </c>
      <c r="V108" s="78" t="s">
        <v>0</v>
      </c>
      <c r="W108" s="78" t="s">
        <v>0</v>
      </c>
      <c r="X108" s="78" t="s">
        <v>0</v>
      </c>
      <c r="Y108" s="78" t="s">
        <v>0</v>
      </c>
      <c r="Z108" s="78" t="s">
        <v>0</v>
      </c>
      <c r="AA108" s="78" t="s">
        <v>0</v>
      </c>
      <c r="AB108" s="78" t="s">
        <v>0</v>
      </c>
      <c r="AC108" s="78" t="s">
        <v>0</v>
      </c>
      <c r="AD108" s="78" t="s">
        <v>0</v>
      </c>
      <c r="AE108" s="78" t="s">
        <v>0</v>
      </c>
      <c r="AF108" s="78" t="s">
        <v>0</v>
      </c>
      <c r="AG108" s="78" t="s">
        <v>0</v>
      </c>
      <c r="AH108" s="78" t="s">
        <v>0</v>
      </c>
      <c r="AI108" s="78" t="s">
        <v>0</v>
      </c>
      <c r="AJ108" s="78" t="s">
        <v>0</v>
      </c>
      <c r="AK108" s="78" t="s">
        <v>0</v>
      </c>
      <c r="AL108" s="78" t="s">
        <v>0</v>
      </c>
      <c r="AM108" s="78" t="s">
        <v>0</v>
      </c>
      <c r="AN108" s="78" t="s">
        <v>0</v>
      </c>
      <c r="AO108" s="78" t="s">
        <v>0</v>
      </c>
      <c r="AP108" s="78" t="s">
        <v>0</v>
      </c>
      <c r="AQ108" s="78" t="s">
        <v>0</v>
      </c>
      <c r="AR108" s="78" t="s">
        <v>0</v>
      </c>
      <c r="AS108" s="78" t="s">
        <v>0</v>
      </c>
      <c r="AT108" s="78" t="s">
        <v>0</v>
      </c>
      <c r="AU108" s="78" t="s">
        <v>0</v>
      </c>
      <c r="AV108" s="78" t="s">
        <v>0</v>
      </c>
      <c r="AW108" s="78" t="s">
        <v>0</v>
      </c>
      <c r="AX108" s="78" t="s">
        <v>0</v>
      </c>
      <c r="AY108" s="78" t="s">
        <v>0</v>
      </c>
      <c r="AZ108" s="78" t="s">
        <v>0</v>
      </c>
      <c r="BA108" s="78" t="s">
        <v>0</v>
      </c>
      <c r="BB108" s="78" t="s">
        <v>0</v>
      </c>
      <c r="BC108" s="78" t="s">
        <v>0</v>
      </c>
      <c r="BD108" s="78" t="s">
        <v>0</v>
      </c>
      <c r="BE108" s="78" t="s">
        <v>0</v>
      </c>
      <c r="BF108" s="78" t="s">
        <v>0</v>
      </c>
      <c r="BG108" s="78" t="s">
        <v>0</v>
      </c>
      <c r="BH108" s="78" t="s">
        <v>0</v>
      </c>
      <c r="BI108" s="78" t="s">
        <v>0</v>
      </c>
      <c r="BJ108" s="78" t="s">
        <v>0</v>
      </c>
    </row>
    <row r="109" spans="1:62" ht="12.75">
      <c r="A109" s="710">
        <v>593</v>
      </c>
      <c r="B109" s="44" t="s">
        <v>2303</v>
      </c>
      <c r="C109" s="325">
        <f>MOD(G$1,A109)</f>
        <v>247</v>
      </c>
      <c r="D109" s="82">
        <f>A109-C109</f>
        <v>346</v>
      </c>
      <c r="E109" s="76">
        <f>MOD(G$2,A109)</f>
        <v>494</v>
      </c>
      <c r="F109" s="78" t="s">
        <v>2438</v>
      </c>
      <c r="G109" s="78" t="s">
        <v>0</v>
      </c>
      <c r="H109" s="78" t="s">
        <v>0</v>
      </c>
      <c r="I109" s="78" t="s">
        <v>0</v>
      </c>
      <c r="J109" s="78" t="s">
        <v>0</v>
      </c>
      <c r="K109" s="78" t="s">
        <v>0</v>
      </c>
      <c r="L109" s="78" t="s">
        <v>0</v>
      </c>
      <c r="M109" s="78" t="s">
        <v>0</v>
      </c>
      <c r="N109" s="78" t="s">
        <v>0</v>
      </c>
      <c r="O109" s="78" t="s">
        <v>0</v>
      </c>
      <c r="P109" s="78" t="s">
        <v>0</v>
      </c>
      <c r="Q109" s="78" t="s">
        <v>0</v>
      </c>
      <c r="R109" s="78" t="s">
        <v>0</v>
      </c>
      <c r="S109" s="78" t="s">
        <v>0</v>
      </c>
      <c r="T109" s="78" t="s">
        <v>0</v>
      </c>
      <c r="U109" s="78" t="s">
        <v>0</v>
      </c>
      <c r="V109" s="78" t="s">
        <v>0</v>
      </c>
      <c r="W109" s="78" t="s">
        <v>0</v>
      </c>
      <c r="X109" s="78" t="s">
        <v>0</v>
      </c>
      <c r="Y109" s="78" t="s">
        <v>0</v>
      </c>
      <c r="Z109" s="78" t="s">
        <v>0</v>
      </c>
      <c r="AA109" s="78" t="s">
        <v>0</v>
      </c>
      <c r="AB109" s="78" t="s">
        <v>0</v>
      </c>
      <c r="AC109" s="78" t="s">
        <v>0</v>
      </c>
      <c r="AD109" s="78" t="s">
        <v>0</v>
      </c>
      <c r="AE109" s="78" t="s">
        <v>0</v>
      </c>
      <c r="AF109" s="78" t="s">
        <v>0</v>
      </c>
      <c r="AG109" s="78" t="s">
        <v>0</v>
      </c>
      <c r="AH109" s="78" t="s">
        <v>0</v>
      </c>
      <c r="AI109" s="78" t="s">
        <v>0</v>
      </c>
      <c r="AJ109" s="78" t="s">
        <v>0</v>
      </c>
      <c r="AK109" s="78" t="s">
        <v>0</v>
      </c>
      <c r="AL109" s="78" t="s">
        <v>0</v>
      </c>
      <c r="AM109" s="78" t="s">
        <v>0</v>
      </c>
      <c r="AN109" s="78" t="s">
        <v>0</v>
      </c>
      <c r="AO109" s="78" t="s">
        <v>0</v>
      </c>
      <c r="AP109" s="78" t="s">
        <v>0</v>
      </c>
      <c r="AQ109" s="78" t="s">
        <v>0</v>
      </c>
      <c r="AR109" s="78" t="s">
        <v>0</v>
      </c>
      <c r="AS109" s="78" t="s">
        <v>0</v>
      </c>
      <c r="AT109" s="78" t="s">
        <v>0</v>
      </c>
      <c r="AU109" s="78" t="s">
        <v>0</v>
      </c>
      <c r="AV109" s="78" t="s">
        <v>0</v>
      </c>
      <c r="AW109" s="78" t="s">
        <v>0</v>
      </c>
      <c r="AX109" s="78" t="s">
        <v>0</v>
      </c>
      <c r="AY109" s="78" t="s">
        <v>0</v>
      </c>
      <c r="AZ109" s="78" t="s">
        <v>0</v>
      </c>
      <c r="BA109" s="78" t="s">
        <v>0</v>
      </c>
      <c r="BB109" s="78" t="s">
        <v>0</v>
      </c>
      <c r="BC109" s="78" t="s">
        <v>0</v>
      </c>
      <c r="BD109" s="78" t="s">
        <v>0</v>
      </c>
      <c r="BE109" s="78" t="s">
        <v>0</v>
      </c>
      <c r="BF109" s="78" t="s">
        <v>0</v>
      </c>
      <c r="BG109" s="78" t="s">
        <v>0</v>
      </c>
      <c r="BH109" s="78" t="s">
        <v>0</v>
      </c>
      <c r="BI109" s="78" t="s">
        <v>0</v>
      </c>
      <c r="BJ109" s="78" t="s">
        <v>0</v>
      </c>
    </row>
    <row r="110" spans="1:62" ht="12.75">
      <c r="A110" s="710">
        <v>599</v>
      </c>
      <c r="B110" s="44" t="s">
        <v>2307</v>
      </c>
      <c r="C110" s="325">
        <f>MOD(G$1,A110)</f>
        <v>269</v>
      </c>
      <c r="D110" s="82">
        <f>A110-C110</f>
        <v>330</v>
      </c>
      <c r="E110" s="76">
        <f>MOD(G$2,A110)</f>
        <v>510</v>
      </c>
      <c r="F110" s="78" t="s">
        <v>2429</v>
      </c>
      <c r="G110" s="78" t="s">
        <v>0</v>
      </c>
      <c r="H110" s="78" t="s">
        <v>0</v>
      </c>
      <c r="I110" s="78" t="s">
        <v>0</v>
      </c>
      <c r="J110" s="78" t="s">
        <v>0</v>
      </c>
      <c r="K110" s="78" t="s">
        <v>0</v>
      </c>
      <c r="L110" s="78" t="s">
        <v>0</v>
      </c>
      <c r="M110" s="78" t="s">
        <v>0</v>
      </c>
      <c r="N110" s="78" t="s">
        <v>0</v>
      </c>
      <c r="O110" s="78" t="s">
        <v>0</v>
      </c>
      <c r="P110" s="78" t="s">
        <v>0</v>
      </c>
      <c r="Q110" s="78" t="s">
        <v>0</v>
      </c>
      <c r="R110" s="78" t="s">
        <v>0</v>
      </c>
      <c r="S110" s="78" t="s">
        <v>0</v>
      </c>
      <c r="T110" s="78" t="s">
        <v>0</v>
      </c>
      <c r="U110" s="78" t="s">
        <v>0</v>
      </c>
      <c r="V110" s="78" t="s">
        <v>0</v>
      </c>
      <c r="W110" s="78" t="s">
        <v>0</v>
      </c>
      <c r="X110" s="78" t="s">
        <v>0</v>
      </c>
      <c r="Y110" s="78" t="s">
        <v>0</v>
      </c>
      <c r="Z110" s="78" t="s">
        <v>0</v>
      </c>
      <c r="AA110" s="78" t="s">
        <v>0</v>
      </c>
      <c r="AB110" s="78" t="s">
        <v>0</v>
      </c>
      <c r="AC110" s="78" t="s">
        <v>0</v>
      </c>
      <c r="AD110" s="78" t="s">
        <v>0</v>
      </c>
      <c r="AE110" s="78" t="s">
        <v>0</v>
      </c>
      <c r="AF110" s="78" t="s">
        <v>0</v>
      </c>
      <c r="AG110" s="78" t="s">
        <v>0</v>
      </c>
      <c r="AH110" s="78" t="s">
        <v>0</v>
      </c>
      <c r="AI110" s="78" t="s">
        <v>0</v>
      </c>
      <c r="AJ110" s="78" t="s">
        <v>0</v>
      </c>
      <c r="AK110" s="78" t="s">
        <v>0</v>
      </c>
      <c r="AL110" s="78" t="s">
        <v>0</v>
      </c>
      <c r="AM110" s="78" t="s">
        <v>0</v>
      </c>
      <c r="AN110" s="78" t="s">
        <v>0</v>
      </c>
      <c r="AO110" s="78" t="s">
        <v>0</v>
      </c>
      <c r="AP110" s="78" t="s">
        <v>0</v>
      </c>
      <c r="AQ110" s="78" t="s">
        <v>0</v>
      </c>
      <c r="AR110" s="78" t="s">
        <v>0</v>
      </c>
      <c r="AS110" s="78" t="s">
        <v>0</v>
      </c>
      <c r="AT110" s="78" t="s">
        <v>0</v>
      </c>
      <c r="AU110" s="78" t="s">
        <v>0</v>
      </c>
      <c r="AV110" s="78" t="s">
        <v>0</v>
      </c>
      <c r="AW110" s="78" t="s">
        <v>0</v>
      </c>
      <c r="AX110" s="78" t="s">
        <v>0</v>
      </c>
      <c r="AY110" s="78" t="s">
        <v>0</v>
      </c>
      <c r="AZ110" s="78" t="s">
        <v>0</v>
      </c>
      <c r="BA110" s="78" t="s">
        <v>0</v>
      </c>
      <c r="BB110" s="78" t="s">
        <v>0</v>
      </c>
      <c r="BC110" s="78" t="s">
        <v>0</v>
      </c>
      <c r="BD110" s="78" t="s">
        <v>0</v>
      </c>
      <c r="BE110" s="78" t="s">
        <v>0</v>
      </c>
      <c r="BF110" s="78" t="s">
        <v>0</v>
      </c>
      <c r="BG110" s="78" t="s">
        <v>0</v>
      </c>
      <c r="BH110" s="78" t="s">
        <v>0</v>
      </c>
      <c r="BI110" s="78" t="s">
        <v>0</v>
      </c>
      <c r="BJ110" s="78" t="s">
        <v>0</v>
      </c>
    </row>
    <row r="111" spans="1:62" ht="12.75">
      <c r="A111" s="710">
        <v>601</v>
      </c>
      <c r="B111" s="44" t="s">
        <v>2308</v>
      </c>
      <c r="C111" s="325">
        <f>MOD(G$1,A111)</f>
        <v>74</v>
      </c>
      <c r="D111" s="82">
        <f>A111-C111</f>
        <v>527</v>
      </c>
      <c r="E111" s="76">
        <f>MOD(G$2,A111)</f>
        <v>313</v>
      </c>
      <c r="F111" s="78" t="s">
        <v>2395</v>
      </c>
      <c r="G111" s="78" t="s">
        <v>0</v>
      </c>
      <c r="H111" s="78" t="s">
        <v>0</v>
      </c>
      <c r="I111" s="78" t="s">
        <v>0</v>
      </c>
      <c r="J111" s="78" t="s">
        <v>0</v>
      </c>
      <c r="K111" s="78" t="s">
        <v>0</v>
      </c>
      <c r="L111" s="78" t="s">
        <v>0</v>
      </c>
      <c r="M111" s="78" t="s">
        <v>0</v>
      </c>
      <c r="N111" s="78" t="s">
        <v>0</v>
      </c>
      <c r="O111" s="78" t="s">
        <v>0</v>
      </c>
      <c r="P111" s="78" t="s">
        <v>0</v>
      </c>
      <c r="Q111" s="78" t="s">
        <v>0</v>
      </c>
      <c r="R111" s="78" t="s">
        <v>0</v>
      </c>
      <c r="S111" s="78" t="s">
        <v>0</v>
      </c>
      <c r="T111" s="78" t="s">
        <v>0</v>
      </c>
      <c r="U111" s="78" t="s">
        <v>0</v>
      </c>
      <c r="V111" s="78" t="s">
        <v>0</v>
      </c>
      <c r="W111" s="78" t="s">
        <v>0</v>
      </c>
      <c r="X111" s="78" t="s">
        <v>0</v>
      </c>
      <c r="Y111" s="78" t="s">
        <v>0</v>
      </c>
      <c r="Z111" s="78" t="s">
        <v>0</v>
      </c>
      <c r="AA111" s="78" t="s">
        <v>0</v>
      </c>
      <c r="AB111" s="78" t="s">
        <v>0</v>
      </c>
      <c r="AC111" s="78" t="s">
        <v>0</v>
      </c>
      <c r="AD111" s="78" t="s">
        <v>0</v>
      </c>
      <c r="AE111" s="78" t="s">
        <v>0</v>
      </c>
      <c r="AF111" s="78" t="s">
        <v>0</v>
      </c>
      <c r="AG111" s="78" t="s">
        <v>0</v>
      </c>
      <c r="AH111" s="78" t="s">
        <v>0</v>
      </c>
      <c r="AI111" s="78" t="s">
        <v>0</v>
      </c>
      <c r="AJ111" s="78" t="s">
        <v>0</v>
      </c>
      <c r="AK111" s="78" t="s">
        <v>0</v>
      </c>
      <c r="AL111" s="78" t="s">
        <v>0</v>
      </c>
      <c r="AM111" s="78" t="s">
        <v>0</v>
      </c>
      <c r="AN111" s="78" t="s">
        <v>0</v>
      </c>
      <c r="AO111" s="78" t="s">
        <v>0</v>
      </c>
      <c r="AP111" s="78" t="s">
        <v>0</v>
      </c>
      <c r="AQ111" s="78" t="s">
        <v>0</v>
      </c>
      <c r="AR111" s="78" t="s">
        <v>0</v>
      </c>
      <c r="AS111" s="78" t="s">
        <v>0</v>
      </c>
      <c r="AT111" s="78" t="s">
        <v>0</v>
      </c>
      <c r="AU111" s="78" t="s">
        <v>0</v>
      </c>
      <c r="AV111" s="78" t="s">
        <v>0</v>
      </c>
      <c r="AW111" s="78" t="s">
        <v>0</v>
      </c>
      <c r="AX111" s="78" t="s">
        <v>0</v>
      </c>
      <c r="AY111" s="78" t="s">
        <v>0</v>
      </c>
      <c r="AZ111" s="78" t="s">
        <v>0</v>
      </c>
      <c r="BA111" s="78" t="s">
        <v>0</v>
      </c>
      <c r="BB111" s="78" t="s">
        <v>0</v>
      </c>
      <c r="BC111" s="78" t="s">
        <v>0</v>
      </c>
      <c r="BD111" s="78" t="s">
        <v>0</v>
      </c>
      <c r="BE111" s="78" t="s">
        <v>0</v>
      </c>
      <c r="BF111" s="78" t="s">
        <v>0</v>
      </c>
      <c r="BG111" s="78" t="s">
        <v>0</v>
      </c>
      <c r="BH111" s="78" t="s">
        <v>0</v>
      </c>
      <c r="BI111" s="78" t="s">
        <v>0</v>
      </c>
      <c r="BJ111" s="78" t="s">
        <v>0</v>
      </c>
    </row>
    <row r="112" spans="1:62" ht="12.75">
      <c r="A112" s="710">
        <v>607</v>
      </c>
      <c r="B112" s="44" t="s">
        <v>2310</v>
      </c>
      <c r="C112" s="325">
        <f>MOD(G$1,A112)</f>
        <v>391</v>
      </c>
      <c r="D112" s="82">
        <f>A112-C112</f>
        <v>216</v>
      </c>
      <c r="E112" s="76">
        <f>MOD(G$2,A112)</f>
        <v>17</v>
      </c>
      <c r="F112" s="78" t="s">
        <v>2221</v>
      </c>
      <c r="G112" s="78" t="s">
        <v>0</v>
      </c>
      <c r="H112" s="78" t="s">
        <v>0</v>
      </c>
      <c r="I112" s="78" t="s">
        <v>0</v>
      </c>
      <c r="J112" s="78" t="s">
        <v>0</v>
      </c>
      <c r="K112" s="78" t="s">
        <v>0</v>
      </c>
      <c r="L112" s="78" t="s">
        <v>0</v>
      </c>
      <c r="M112" s="78" t="s">
        <v>0</v>
      </c>
      <c r="N112" s="78" t="s">
        <v>0</v>
      </c>
      <c r="O112" s="78" t="s">
        <v>0</v>
      </c>
      <c r="P112" s="78" t="s">
        <v>0</v>
      </c>
      <c r="Q112" s="78" t="s">
        <v>0</v>
      </c>
      <c r="R112" s="78" t="s">
        <v>0</v>
      </c>
      <c r="S112" s="78" t="s">
        <v>0</v>
      </c>
      <c r="T112" s="78" t="s">
        <v>0</v>
      </c>
      <c r="U112" s="78" t="s">
        <v>0</v>
      </c>
      <c r="V112" s="78" t="s">
        <v>0</v>
      </c>
      <c r="W112" s="78" t="s">
        <v>0</v>
      </c>
      <c r="X112" s="78" t="s">
        <v>0</v>
      </c>
      <c r="Y112" s="78" t="s">
        <v>0</v>
      </c>
      <c r="Z112" s="78" t="s">
        <v>0</v>
      </c>
      <c r="AA112" s="78" t="s">
        <v>0</v>
      </c>
      <c r="AB112" s="78" t="s">
        <v>0</v>
      </c>
      <c r="AC112" s="78" t="s">
        <v>0</v>
      </c>
      <c r="AD112" s="78" t="s">
        <v>0</v>
      </c>
      <c r="AE112" s="78" t="s">
        <v>0</v>
      </c>
      <c r="AF112" s="78" t="s">
        <v>0</v>
      </c>
      <c r="AG112" s="78" t="s">
        <v>0</v>
      </c>
      <c r="AH112" s="78" t="s">
        <v>0</v>
      </c>
      <c r="AI112" s="78" t="s">
        <v>0</v>
      </c>
      <c r="AJ112" s="78" t="s">
        <v>0</v>
      </c>
      <c r="AK112" s="78" t="s">
        <v>0</v>
      </c>
      <c r="AL112" s="78" t="s">
        <v>0</v>
      </c>
      <c r="AM112" s="78" t="s">
        <v>0</v>
      </c>
      <c r="AN112" s="78" t="s">
        <v>0</v>
      </c>
      <c r="AO112" s="78" t="s">
        <v>0</v>
      </c>
      <c r="AP112" s="78" t="s">
        <v>0</v>
      </c>
      <c r="AQ112" s="78" t="s">
        <v>0</v>
      </c>
      <c r="AR112" s="78" t="s">
        <v>0</v>
      </c>
      <c r="AS112" s="78" t="s">
        <v>0</v>
      </c>
      <c r="AT112" s="78" t="s">
        <v>0</v>
      </c>
      <c r="AU112" s="78" t="s">
        <v>0</v>
      </c>
      <c r="AV112" s="78" t="s">
        <v>0</v>
      </c>
      <c r="AW112" s="78" t="s">
        <v>0</v>
      </c>
      <c r="AX112" s="78" t="s">
        <v>0</v>
      </c>
      <c r="AY112" s="78" t="s">
        <v>0</v>
      </c>
      <c r="AZ112" s="78" t="s">
        <v>0</v>
      </c>
      <c r="BA112" s="78" t="s">
        <v>0</v>
      </c>
      <c r="BB112" s="78" t="s">
        <v>0</v>
      </c>
      <c r="BC112" s="78" t="s">
        <v>0</v>
      </c>
      <c r="BD112" s="78" t="s">
        <v>0</v>
      </c>
      <c r="BE112" s="78" t="s">
        <v>0</v>
      </c>
      <c r="BF112" s="78" t="s">
        <v>0</v>
      </c>
      <c r="BG112" s="78" t="s">
        <v>0</v>
      </c>
      <c r="BH112" s="78" t="s">
        <v>0</v>
      </c>
      <c r="BI112" s="78" t="s">
        <v>0</v>
      </c>
      <c r="BJ112" s="78" t="s">
        <v>0</v>
      </c>
    </row>
    <row r="113" spans="1:62" ht="12.75">
      <c r="A113" s="710">
        <v>613</v>
      </c>
      <c r="B113" s="44" t="s">
        <v>2311</v>
      </c>
      <c r="C113" s="325">
        <f>MOD(G$1,A113)</f>
        <v>535</v>
      </c>
      <c r="D113" s="82">
        <f>A113-C113</f>
        <v>78</v>
      </c>
      <c r="E113" s="76">
        <f>MOD(G$2,A113)</f>
        <v>149</v>
      </c>
      <c r="F113" s="78" t="s">
        <v>2149</v>
      </c>
      <c r="G113" s="78" t="s">
        <v>0</v>
      </c>
      <c r="H113" s="78" t="s">
        <v>0</v>
      </c>
      <c r="I113" s="78" t="s">
        <v>0</v>
      </c>
      <c r="J113" s="78" t="s">
        <v>0</v>
      </c>
      <c r="K113" s="78" t="s">
        <v>0</v>
      </c>
      <c r="L113" s="78" t="s">
        <v>0</v>
      </c>
      <c r="M113" s="78" t="s">
        <v>0</v>
      </c>
      <c r="N113" s="78" t="s">
        <v>0</v>
      </c>
      <c r="O113" s="78" t="s">
        <v>0</v>
      </c>
      <c r="P113" s="78" t="s">
        <v>0</v>
      </c>
      <c r="Q113" s="78" t="s">
        <v>0</v>
      </c>
      <c r="R113" s="78" t="s">
        <v>0</v>
      </c>
      <c r="S113" s="78" t="s">
        <v>0</v>
      </c>
      <c r="T113" s="78" t="s">
        <v>0</v>
      </c>
      <c r="U113" s="78" t="s">
        <v>0</v>
      </c>
      <c r="V113" s="78" t="s">
        <v>0</v>
      </c>
      <c r="W113" s="78" t="s">
        <v>0</v>
      </c>
      <c r="X113" s="78" t="s">
        <v>0</v>
      </c>
      <c r="Y113" s="78" t="s">
        <v>0</v>
      </c>
      <c r="Z113" s="78" t="s">
        <v>0</v>
      </c>
      <c r="AA113" s="78" t="s">
        <v>0</v>
      </c>
      <c r="AB113" s="78" t="s">
        <v>0</v>
      </c>
      <c r="AC113" s="78" t="s">
        <v>0</v>
      </c>
      <c r="AD113" s="78" t="s">
        <v>0</v>
      </c>
      <c r="AE113" s="78" t="s">
        <v>0</v>
      </c>
      <c r="AF113" s="78" t="s">
        <v>0</v>
      </c>
      <c r="AG113" s="78" t="s">
        <v>0</v>
      </c>
      <c r="AH113" s="78" t="s">
        <v>0</v>
      </c>
      <c r="AI113" s="78" t="s">
        <v>0</v>
      </c>
      <c r="AJ113" s="78" t="s">
        <v>0</v>
      </c>
      <c r="AK113" s="78" t="s">
        <v>0</v>
      </c>
      <c r="AL113" s="78" t="s">
        <v>0</v>
      </c>
      <c r="AM113" s="78" t="s">
        <v>0</v>
      </c>
      <c r="AN113" s="78" t="s">
        <v>0</v>
      </c>
      <c r="AO113" s="78" t="s">
        <v>0</v>
      </c>
      <c r="AP113" s="78" t="s">
        <v>0</v>
      </c>
      <c r="AQ113" s="78" t="s">
        <v>0</v>
      </c>
      <c r="AR113" s="78" t="s">
        <v>0</v>
      </c>
      <c r="AS113" s="78" t="s">
        <v>0</v>
      </c>
      <c r="AT113" s="78" t="s">
        <v>0</v>
      </c>
      <c r="AU113" s="78" t="s">
        <v>0</v>
      </c>
      <c r="AV113" s="78" t="s">
        <v>0</v>
      </c>
      <c r="AW113" s="78" t="s">
        <v>0</v>
      </c>
      <c r="AX113" s="78" t="s">
        <v>0</v>
      </c>
      <c r="AY113" s="78" t="s">
        <v>0</v>
      </c>
      <c r="AZ113" s="78" t="s">
        <v>0</v>
      </c>
      <c r="BA113" s="78" t="s">
        <v>0</v>
      </c>
      <c r="BB113" s="78" t="s">
        <v>0</v>
      </c>
      <c r="BC113" s="78" t="s">
        <v>0</v>
      </c>
      <c r="BD113" s="78" t="s">
        <v>0</v>
      </c>
      <c r="BE113" s="78" t="s">
        <v>0</v>
      </c>
      <c r="BF113" s="78" t="s">
        <v>0</v>
      </c>
      <c r="BG113" s="78" t="s">
        <v>0</v>
      </c>
      <c r="BH113" s="78" t="s">
        <v>0</v>
      </c>
      <c r="BI113" s="78" t="s">
        <v>0</v>
      </c>
      <c r="BJ113" s="78" t="s">
        <v>0</v>
      </c>
    </row>
    <row r="114" spans="1:62" ht="12.75">
      <c r="A114" s="710">
        <v>617</v>
      </c>
      <c r="B114" s="44" t="s">
        <v>2312</v>
      </c>
      <c r="C114" s="325">
        <f>MOD(G$1,A114)</f>
        <v>367</v>
      </c>
      <c r="D114" s="82">
        <f>A114-C114</f>
        <v>250</v>
      </c>
      <c r="E114" s="76">
        <f>MOD(G$2,A114)</f>
        <v>590</v>
      </c>
      <c r="F114" s="78" t="s">
        <v>2320</v>
      </c>
      <c r="G114" s="78" t="s">
        <v>0</v>
      </c>
      <c r="H114" s="78" t="s">
        <v>0</v>
      </c>
      <c r="I114" s="78" t="s">
        <v>0</v>
      </c>
      <c r="J114" s="78" t="s">
        <v>0</v>
      </c>
      <c r="K114" s="78" t="s">
        <v>0</v>
      </c>
      <c r="L114" s="78" t="s">
        <v>0</v>
      </c>
      <c r="M114" s="78" t="s">
        <v>0</v>
      </c>
      <c r="N114" s="78" t="s">
        <v>0</v>
      </c>
      <c r="O114" s="78" t="s">
        <v>0</v>
      </c>
      <c r="P114" s="78" t="s">
        <v>0</v>
      </c>
      <c r="Q114" s="78" t="s">
        <v>0</v>
      </c>
      <c r="R114" s="78" t="s">
        <v>0</v>
      </c>
      <c r="S114" s="78" t="s">
        <v>0</v>
      </c>
      <c r="T114" s="78" t="s">
        <v>0</v>
      </c>
      <c r="U114" s="78" t="s">
        <v>0</v>
      </c>
      <c r="V114" s="78" t="s">
        <v>0</v>
      </c>
      <c r="W114" s="78" t="s">
        <v>0</v>
      </c>
      <c r="X114" s="78" t="s">
        <v>0</v>
      </c>
      <c r="Y114" s="78" t="s">
        <v>0</v>
      </c>
      <c r="Z114" s="78" t="s">
        <v>0</v>
      </c>
      <c r="AA114" s="78" t="s">
        <v>0</v>
      </c>
      <c r="AB114" s="78" t="s">
        <v>0</v>
      </c>
      <c r="AC114" s="78" t="s">
        <v>0</v>
      </c>
      <c r="AD114" s="78" t="s">
        <v>0</v>
      </c>
      <c r="AE114" s="78" t="s">
        <v>0</v>
      </c>
      <c r="AF114" s="78" t="s">
        <v>0</v>
      </c>
      <c r="AG114" s="78" t="s">
        <v>0</v>
      </c>
      <c r="AH114" s="78" t="s">
        <v>0</v>
      </c>
      <c r="AI114" s="78" t="s">
        <v>0</v>
      </c>
      <c r="AJ114" s="78" t="s">
        <v>0</v>
      </c>
      <c r="AK114" s="78" t="s">
        <v>0</v>
      </c>
      <c r="AL114" s="78" t="s">
        <v>0</v>
      </c>
      <c r="AM114" s="78" t="s">
        <v>0</v>
      </c>
      <c r="AN114" s="78" t="s">
        <v>0</v>
      </c>
      <c r="AO114" s="78" t="s">
        <v>0</v>
      </c>
      <c r="AP114" s="78" t="s">
        <v>0</v>
      </c>
      <c r="AQ114" s="78" t="s">
        <v>0</v>
      </c>
      <c r="AR114" s="78" t="s">
        <v>0</v>
      </c>
      <c r="AS114" s="78" t="s">
        <v>0</v>
      </c>
      <c r="AT114" s="78" t="s">
        <v>0</v>
      </c>
      <c r="AU114" s="78" t="s">
        <v>0</v>
      </c>
      <c r="AV114" s="78" t="s">
        <v>0</v>
      </c>
      <c r="AW114" s="78" t="s">
        <v>0</v>
      </c>
      <c r="AX114" s="78" t="s">
        <v>0</v>
      </c>
      <c r="AY114" s="78" t="s">
        <v>0</v>
      </c>
      <c r="AZ114" s="78" t="s">
        <v>0</v>
      </c>
      <c r="BA114" s="78" t="s">
        <v>0</v>
      </c>
      <c r="BB114" s="78" t="s">
        <v>0</v>
      </c>
      <c r="BC114" s="78" t="s">
        <v>0</v>
      </c>
      <c r="BD114" s="78" t="s">
        <v>0</v>
      </c>
      <c r="BE114" s="78" t="s">
        <v>0</v>
      </c>
      <c r="BF114" s="78" t="s">
        <v>0</v>
      </c>
      <c r="BG114" s="78" t="s">
        <v>0</v>
      </c>
      <c r="BH114" s="78" t="s">
        <v>0</v>
      </c>
      <c r="BI114" s="78" t="s">
        <v>0</v>
      </c>
      <c r="BJ114" s="78" t="s">
        <v>0</v>
      </c>
    </row>
    <row r="115" spans="1:62" ht="12.75">
      <c r="A115" s="710">
        <v>619</v>
      </c>
      <c r="B115" s="44" t="s">
        <v>2314</v>
      </c>
      <c r="C115" s="325">
        <f>MOD(G$1,A115)</f>
        <v>160</v>
      </c>
      <c r="D115" s="82">
        <f>A115-C115</f>
        <v>459</v>
      </c>
      <c r="E115" s="76">
        <f>MOD(G$2,A115)</f>
        <v>381</v>
      </c>
      <c r="F115" s="78" t="s">
        <v>2190</v>
      </c>
      <c r="G115" s="78" t="s">
        <v>0</v>
      </c>
      <c r="H115" s="78" t="s">
        <v>0</v>
      </c>
      <c r="I115" s="78" t="s">
        <v>0</v>
      </c>
      <c r="J115" s="78" t="s">
        <v>0</v>
      </c>
      <c r="K115" s="78" t="s">
        <v>0</v>
      </c>
      <c r="L115" s="78" t="s">
        <v>0</v>
      </c>
      <c r="M115" s="78" t="s">
        <v>0</v>
      </c>
      <c r="N115" s="78" t="s">
        <v>0</v>
      </c>
      <c r="O115" s="78" t="s">
        <v>0</v>
      </c>
      <c r="P115" s="78" t="s">
        <v>0</v>
      </c>
      <c r="Q115" s="78" t="s">
        <v>0</v>
      </c>
      <c r="R115" s="78" t="s">
        <v>0</v>
      </c>
      <c r="S115" s="78" t="s">
        <v>0</v>
      </c>
      <c r="T115" s="78" t="s">
        <v>0</v>
      </c>
      <c r="U115" s="78" t="s">
        <v>0</v>
      </c>
      <c r="V115" s="78" t="s">
        <v>0</v>
      </c>
      <c r="W115" s="78" t="s">
        <v>0</v>
      </c>
      <c r="X115" s="78" t="s">
        <v>0</v>
      </c>
      <c r="Y115" s="78" t="s">
        <v>0</v>
      </c>
      <c r="Z115" s="78" t="s">
        <v>0</v>
      </c>
      <c r="AA115" s="78" t="s">
        <v>0</v>
      </c>
      <c r="AB115" s="78" t="s">
        <v>0</v>
      </c>
      <c r="AC115" s="78" t="s">
        <v>0</v>
      </c>
      <c r="AD115" s="78" t="s">
        <v>0</v>
      </c>
      <c r="AE115" s="78" t="s">
        <v>0</v>
      </c>
      <c r="AF115" s="78" t="s">
        <v>0</v>
      </c>
      <c r="AG115" s="78" t="s">
        <v>0</v>
      </c>
      <c r="AH115" s="78" t="s">
        <v>0</v>
      </c>
      <c r="AI115" s="78" t="s">
        <v>0</v>
      </c>
      <c r="AJ115" s="78" t="s">
        <v>0</v>
      </c>
      <c r="AK115" s="78" t="s">
        <v>0</v>
      </c>
      <c r="AL115" s="78" t="s">
        <v>0</v>
      </c>
      <c r="AM115" s="78" t="s">
        <v>0</v>
      </c>
      <c r="AN115" s="78" t="s">
        <v>0</v>
      </c>
      <c r="AO115" s="78" t="s">
        <v>0</v>
      </c>
      <c r="AP115" s="78" t="s">
        <v>0</v>
      </c>
      <c r="AQ115" s="78" t="s">
        <v>0</v>
      </c>
      <c r="AR115" s="78" t="s">
        <v>0</v>
      </c>
      <c r="AS115" s="78" t="s">
        <v>0</v>
      </c>
      <c r="AT115" s="78" t="s">
        <v>0</v>
      </c>
      <c r="AU115" s="78" t="s">
        <v>0</v>
      </c>
      <c r="AV115" s="78" t="s">
        <v>0</v>
      </c>
      <c r="AW115" s="78" t="s">
        <v>0</v>
      </c>
      <c r="AX115" s="78" t="s">
        <v>0</v>
      </c>
      <c r="AY115" s="78" t="s">
        <v>0</v>
      </c>
      <c r="AZ115" s="78" t="s">
        <v>0</v>
      </c>
      <c r="BA115" s="78" t="s">
        <v>0</v>
      </c>
      <c r="BB115" s="78" t="s">
        <v>0</v>
      </c>
      <c r="BC115" s="78" t="s">
        <v>0</v>
      </c>
      <c r="BD115" s="78" t="s">
        <v>0</v>
      </c>
      <c r="BE115" s="78" t="s">
        <v>0</v>
      </c>
      <c r="BF115" s="78" t="s">
        <v>0</v>
      </c>
      <c r="BG115" s="78" t="s">
        <v>0</v>
      </c>
      <c r="BH115" s="78" t="s">
        <v>0</v>
      </c>
      <c r="BI115" s="78" t="s">
        <v>0</v>
      </c>
      <c r="BJ115" s="78" t="s">
        <v>0</v>
      </c>
    </row>
    <row r="116" spans="1:62" ht="12.75">
      <c r="A116" s="710">
        <v>631</v>
      </c>
      <c r="B116" s="44" t="s">
        <v>2315</v>
      </c>
      <c r="C116" s="325">
        <f>MOD(G$1,A116)</f>
        <v>569</v>
      </c>
      <c r="D116" s="82">
        <f>A116-C116</f>
        <v>62</v>
      </c>
      <c r="E116" s="76">
        <f>MOD(G$2,A116)</f>
        <v>147</v>
      </c>
      <c r="F116" s="78" t="s">
        <v>2408</v>
      </c>
      <c r="G116" s="78" t="s">
        <v>0</v>
      </c>
      <c r="H116" s="78" t="s">
        <v>0</v>
      </c>
      <c r="I116" s="78" t="s">
        <v>0</v>
      </c>
      <c r="J116" s="78" t="s">
        <v>0</v>
      </c>
      <c r="K116" s="78" t="s">
        <v>0</v>
      </c>
      <c r="L116" s="78" t="s">
        <v>0</v>
      </c>
      <c r="M116" s="78" t="s">
        <v>0</v>
      </c>
      <c r="N116" s="78" t="s">
        <v>0</v>
      </c>
      <c r="O116" s="78" t="s">
        <v>0</v>
      </c>
      <c r="P116" s="78" t="s">
        <v>0</v>
      </c>
      <c r="Q116" s="78" t="s">
        <v>0</v>
      </c>
      <c r="R116" s="78" t="s">
        <v>0</v>
      </c>
      <c r="S116" s="78" t="s">
        <v>0</v>
      </c>
      <c r="T116" s="78" t="s">
        <v>0</v>
      </c>
      <c r="U116" s="78" t="s">
        <v>0</v>
      </c>
      <c r="V116" s="78" t="s">
        <v>0</v>
      </c>
      <c r="W116" s="78" t="s">
        <v>0</v>
      </c>
      <c r="X116" s="78" t="s">
        <v>0</v>
      </c>
      <c r="Y116" s="78" t="s">
        <v>0</v>
      </c>
      <c r="Z116" s="78" t="s">
        <v>0</v>
      </c>
      <c r="AA116" s="78" t="s">
        <v>0</v>
      </c>
      <c r="AB116" s="78" t="s">
        <v>0</v>
      </c>
      <c r="AC116" s="78" t="s">
        <v>0</v>
      </c>
      <c r="AD116" s="78" t="s">
        <v>0</v>
      </c>
      <c r="AE116" s="78" t="s">
        <v>0</v>
      </c>
      <c r="AF116" s="78" t="s">
        <v>0</v>
      </c>
      <c r="AG116" s="78" t="s">
        <v>0</v>
      </c>
      <c r="AH116" s="78" t="s">
        <v>0</v>
      </c>
      <c r="AI116" s="78" t="s">
        <v>0</v>
      </c>
      <c r="AJ116" s="78" t="s">
        <v>0</v>
      </c>
      <c r="AK116" s="78" t="s">
        <v>0</v>
      </c>
      <c r="AL116" s="78" t="s">
        <v>0</v>
      </c>
      <c r="AM116" s="78" t="s">
        <v>0</v>
      </c>
      <c r="AN116" s="78" t="s">
        <v>0</v>
      </c>
      <c r="AO116" s="78" t="s">
        <v>0</v>
      </c>
      <c r="AP116" s="78" t="s">
        <v>0</v>
      </c>
      <c r="AQ116" s="78" t="s">
        <v>0</v>
      </c>
      <c r="AR116" s="78" t="s">
        <v>0</v>
      </c>
      <c r="AS116" s="78" t="s">
        <v>0</v>
      </c>
      <c r="AT116" s="78" t="s">
        <v>0</v>
      </c>
      <c r="AU116" s="78" t="s">
        <v>0</v>
      </c>
      <c r="AV116" s="78" t="s">
        <v>0</v>
      </c>
      <c r="AW116" s="78" t="s">
        <v>0</v>
      </c>
      <c r="AX116" s="78" t="s">
        <v>0</v>
      </c>
      <c r="AY116" s="78" t="s">
        <v>0</v>
      </c>
      <c r="AZ116" s="78" t="s">
        <v>0</v>
      </c>
      <c r="BA116" s="78" t="s">
        <v>0</v>
      </c>
      <c r="BB116" s="78" t="s">
        <v>0</v>
      </c>
      <c r="BC116" s="78" t="s">
        <v>0</v>
      </c>
      <c r="BD116" s="78" t="s">
        <v>0</v>
      </c>
      <c r="BE116" s="78" t="s">
        <v>0</v>
      </c>
      <c r="BF116" s="78" t="s">
        <v>0</v>
      </c>
      <c r="BG116" s="78" t="s">
        <v>0</v>
      </c>
      <c r="BH116" s="78" t="s">
        <v>0</v>
      </c>
      <c r="BI116" s="78" t="s">
        <v>0</v>
      </c>
      <c r="BJ116" s="78" t="s">
        <v>0</v>
      </c>
    </row>
    <row r="117" spans="1:62" ht="12.75">
      <c r="A117" s="710">
        <v>641</v>
      </c>
      <c r="B117" s="44" t="s">
        <v>2317</v>
      </c>
      <c r="C117" s="325">
        <f>MOD(G$1,A117)</f>
        <v>414</v>
      </c>
      <c r="D117" s="82">
        <f>A117-C117</f>
        <v>227</v>
      </c>
      <c r="E117" s="76">
        <f>MOD(G$2,A117)</f>
        <v>613</v>
      </c>
      <c r="F117" s="78" t="s">
        <v>2226</v>
      </c>
      <c r="G117" s="78" t="s">
        <v>0</v>
      </c>
      <c r="H117" s="78" t="s">
        <v>0</v>
      </c>
      <c r="I117" s="78" t="s">
        <v>0</v>
      </c>
      <c r="J117" s="78" t="s">
        <v>0</v>
      </c>
      <c r="K117" s="78" t="s">
        <v>0</v>
      </c>
      <c r="L117" s="78" t="s">
        <v>0</v>
      </c>
      <c r="M117" s="78" t="s">
        <v>0</v>
      </c>
      <c r="N117" s="78" t="s">
        <v>0</v>
      </c>
      <c r="O117" s="78" t="s">
        <v>0</v>
      </c>
      <c r="P117" s="78" t="s">
        <v>0</v>
      </c>
      <c r="Q117" s="78" t="s">
        <v>0</v>
      </c>
      <c r="R117" s="78" t="s">
        <v>0</v>
      </c>
      <c r="S117" s="78" t="s">
        <v>0</v>
      </c>
      <c r="T117" s="78" t="s">
        <v>0</v>
      </c>
      <c r="U117" s="78" t="s">
        <v>0</v>
      </c>
      <c r="V117" s="78" t="s">
        <v>0</v>
      </c>
      <c r="W117" s="78" t="s">
        <v>0</v>
      </c>
      <c r="X117" s="78" t="s">
        <v>0</v>
      </c>
      <c r="Y117" s="78" t="s">
        <v>0</v>
      </c>
      <c r="Z117" s="78" t="s">
        <v>0</v>
      </c>
      <c r="AA117" s="78" t="s">
        <v>0</v>
      </c>
      <c r="AB117" s="78" t="s">
        <v>0</v>
      </c>
      <c r="AC117" s="78" t="s">
        <v>0</v>
      </c>
      <c r="AD117" s="78" t="s">
        <v>0</v>
      </c>
      <c r="AE117" s="78" t="s">
        <v>0</v>
      </c>
      <c r="AF117" s="78" t="s">
        <v>0</v>
      </c>
      <c r="AG117" s="78" t="s">
        <v>0</v>
      </c>
      <c r="AH117" s="78" t="s">
        <v>0</v>
      </c>
      <c r="AI117" s="78" t="s">
        <v>0</v>
      </c>
      <c r="AJ117" s="78" t="s">
        <v>0</v>
      </c>
      <c r="AK117" s="78" t="s">
        <v>0</v>
      </c>
      <c r="AL117" s="78" t="s">
        <v>0</v>
      </c>
      <c r="AM117" s="78" t="s">
        <v>0</v>
      </c>
      <c r="AN117" s="78" t="s">
        <v>0</v>
      </c>
      <c r="AO117" s="78" t="s">
        <v>0</v>
      </c>
      <c r="AP117" s="78" t="s">
        <v>0</v>
      </c>
      <c r="AQ117" s="78" t="s">
        <v>0</v>
      </c>
      <c r="AR117" s="78" t="s">
        <v>0</v>
      </c>
      <c r="AS117" s="78" t="s">
        <v>0</v>
      </c>
      <c r="AT117" s="78" t="s">
        <v>0</v>
      </c>
      <c r="AU117" s="78" t="s">
        <v>0</v>
      </c>
      <c r="AV117" s="78" t="s">
        <v>0</v>
      </c>
      <c r="AW117" s="78" t="s">
        <v>0</v>
      </c>
      <c r="AX117" s="78" t="s">
        <v>0</v>
      </c>
      <c r="AY117" s="78" t="s">
        <v>0</v>
      </c>
      <c r="AZ117" s="78" t="s">
        <v>0</v>
      </c>
      <c r="BA117" s="78" t="s">
        <v>0</v>
      </c>
      <c r="BB117" s="78" t="s">
        <v>0</v>
      </c>
      <c r="BC117" s="78" t="s">
        <v>0</v>
      </c>
      <c r="BD117" s="78" t="s">
        <v>0</v>
      </c>
      <c r="BE117" s="78" t="s">
        <v>0</v>
      </c>
      <c r="BF117" s="78" t="s">
        <v>0</v>
      </c>
      <c r="BG117" s="78" t="s">
        <v>0</v>
      </c>
      <c r="BH117" s="78" t="s">
        <v>0</v>
      </c>
      <c r="BI117" s="78" t="s">
        <v>0</v>
      </c>
      <c r="BJ117" s="78" t="s">
        <v>0</v>
      </c>
    </row>
    <row r="118" spans="1:62" ht="12.75">
      <c r="A118" s="710">
        <v>643</v>
      </c>
      <c r="B118" s="44" t="s">
        <v>2318</v>
      </c>
      <c r="C118" s="325">
        <f>MOD(G$1,A118)</f>
        <v>420</v>
      </c>
      <c r="D118" s="82">
        <f>A118-C118</f>
        <v>223</v>
      </c>
      <c r="E118" s="76">
        <f>MOD(G$2,A118)</f>
        <v>617</v>
      </c>
      <c r="F118" s="78" t="s">
        <v>2208</v>
      </c>
      <c r="G118" s="78" t="s">
        <v>0</v>
      </c>
      <c r="H118" s="78" t="s">
        <v>0</v>
      </c>
      <c r="I118" s="78" t="s">
        <v>0</v>
      </c>
      <c r="J118" s="78" t="s">
        <v>0</v>
      </c>
      <c r="K118" s="78" t="s">
        <v>0</v>
      </c>
      <c r="L118" s="78" t="s">
        <v>0</v>
      </c>
      <c r="M118" s="78" t="s">
        <v>0</v>
      </c>
      <c r="N118" s="78" t="s">
        <v>0</v>
      </c>
      <c r="O118" s="78" t="s">
        <v>0</v>
      </c>
      <c r="P118" s="78" t="s">
        <v>0</v>
      </c>
      <c r="Q118" s="78" t="s">
        <v>0</v>
      </c>
      <c r="R118" s="78" t="s">
        <v>0</v>
      </c>
      <c r="S118" s="78" t="s">
        <v>0</v>
      </c>
      <c r="T118" s="78" t="s">
        <v>0</v>
      </c>
      <c r="U118" s="78" t="s">
        <v>0</v>
      </c>
      <c r="V118" s="78" t="s">
        <v>0</v>
      </c>
      <c r="W118" s="78" t="s">
        <v>0</v>
      </c>
      <c r="X118" s="78" t="s">
        <v>0</v>
      </c>
      <c r="Y118" s="78" t="s">
        <v>0</v>
      </c>
      <c r="Z118" s="78" t="s">
        <v>0</v>
      </c>
      <c r="AA118" s="78" t="s">
        <v>0</v>
      </c>
      <c r="AB118" s="78" t="s">
        <v>0</v>
      </c>
      <c r="AC118" s="78" t="s">
        <v>0</v>
      </c>
      <c r="AD118" s="78" t="s">
        <v>0</v>
      </c>
      <c r="AE118" s="78" t="s">
        <v>0</v>
      </c>
      <c r="AF118" s="78" t="s">
        <v>0</v>
      </c>
      <c r="AG118" s="78" t="s">
        <v>0</v>
      </c>
      <c r="AH118" s="78" t="s">
        <v>0</v>
      </c>
      <c r="AI118" s="78" t="s">
        <v>0</v>
      </c>
      <c r="AJ118" s="78" t="s">
        <v>0</v>
      </c>
      <c r="AK118" s="78" t="s">
        <v>0</v>
      </c>
      <c r="AL118" s="78" t="s">
        <v>0</v>
      </c>
      <c r="AM118" s="78" t="s">
        <v>0</v>
      </c>
      <c r="AN118" s="78" t="s">
        <v>0</v>
      </c>
      <c r="AO118" s="78" t="s">
        <v>0</v>
      </c>
      <c r="AP118" s="78" t="s">
        <v>0</v>
      </c>
      <c r="AQ118" s="78" t="s">
        <v>0</v>
      </c>
      <c r="AR118" s="78" t="s">
        <v>0</v>
      </c>
      <c r="AS118" s="78" t="s">
        <v>0</v>
      </c>
      <c r="AT118" s="78" t="s">
        <v>0</v>
      </c>
      <c r="AU118" s="78" t="s">
        <v>0</v>
      </c>
      <c r="AV118" s="78" t="s">
        <v>0</v>
      </c>
      <c r="AW118" s="78" t="s">
        <v>0</v>
      </c>
      <c r="AX118" s="78" t="s">
        <v>0</v>
      </c>
      <c r="AY118" s="78" t="s">
        <v>0</v>
      </c>
      <c r="AZ118" s="78" t="s">
        <v>0</v>
      </c>
      <c r="BA118" s="78" t="s">
        <v>0</v>
      </c>
      <c r="BB118" s="78" t="s">
        <v>0</v>
      </c>
      <c r="BC118" s="78" t="s">
        <v>0</v>
      </c>
      <c r="BD118" s="78" t="s">
        <v>0</v>
      </c>
      <c r="BE118" s="78" t="s">
        <v>0</v>
      </c>
      <c r="BF118" s="78" t="s">
        <v>0</v>
      </c>
      <c r="BG118" s="78" t="s">
        <v>0</v>
      </c>
      <c r="BH118" s="78" t="s">
        <v>0</v>
      </c>
      <c r="BI118" s="78" t="s">
        <v>0</v>
      </c>
      <c r="BJ118" s="78" t="s">
        <v>0</v>
      </c>
    </row>
    <row r="119" spans="1:62" ht="12.75">
      <c r="A119" s="710">
        <v>647</v>
      </c>
      <c r="B119" s="44" t="s">
        <v>2319</v>
      </c>
      <c r="C119" s="325">
        <f>MOD(G$1,A119)</f>
        <v>61</v>
      </c>
      <c r="D119" s="82">
        <f>A119-C119</f>
        <v>586</v>
      </c>
      <c r="E119" s="76">
        <f>MOD(G$2,A119)</f>
        <v>254</v>
      </c>
      <c r="F119" s="78" t="s">
        <v>2080</v>
      </c>
      <c r="G119" s="78" t="s">
        <v>0</v>
      </c>
      <c r="H119" s="78" t="s">
        <v>0</v>
      </c>
      <c r="I119" s="78" t="s">
        <v>0</v>
      </c>
      <c r="J119" s="78" t="s">
        <v>0</v>
      </c>
      <c r="K119" s="78" t="s">
        <v>0</v>
      </c>
      <c r="L119" s="78" t="s">
        <v>0</v>
      </c>
      <c r="M119" s="78" t="s">
        <v>0</v>
      </c>
      <c r="N119" s="78" t="s">
        <v>0</v>
      </c>
      <c r="O119" s="78" t="s">
        <v>0</v>
      </c>
      <c r="P119" s="78" t="s">
        <v>0</v>
      </c>
      <c r="Q119" s="78" t="s">
        <v>0</v>
      </c>
      <c r="R119" s="78" t="s">
        <v>0</v>
      </c>
      <c r="S119" s="78" t="s">
        <v>0</v>
      </c>
      <c r="T119" s="78" t="s">
        <v>0</v>
      </c>
      <c r="U119" s="78" t="s">
        <v>0</v>
      </c>
      <c r="V119" s="78" t="s">
        <v>0</v>
      </c>
      <c r="W119" s="78" t="s">
        <v>0</v>
      </c>
      <c r="X119" s="78" t="s">
        <v>0</v>
      </c>
      <c r="Y119" s="78" t="s">
        <v>0</v>
      </c>
      <c r="Z119" s="78" t="s">
        <v>0</v>
      </c>
      <c r="AA119" s="78" t="s">
        <v>0</v>
      </c>
      <c r="AB119" s="78" t="s">
        <v>0</v>
      </c>
      <c r="AC119" s="78" t="s">
        <v>0</v>
      </c>
      <c r="AD119" s="78" t="s">
        <v>0</v>
      </c>
      <c r="AE119" s="78" t="s">
        <v>0</v>
      </c>
      <c r="AF119" s="78" t="s">
        <v>0</v>
      </c>
      <c r="AG119" s="78" t="s">
        <v>0</v>
      </c>
      <c r="AH119" s="78" t="s">
        <v>0</v>
      </c>
      <c r="AI119" s="78" t="s">
        <v>0</v>
      </c>
      <c r="AJ119" s="78" t="s">
        <v>0</v>
      </c>
      <c r="AK119" s="78" t="s">
        <v>0</v>
      </c>
      <c r="AL119" s="78" t="s">
        <v>0</v>
      </c>
      <c r="AM119" s="78" t="s">
        <v>0</v>
      </c>
      <c r="AN119" s="78" t="s">
        <v>0</v>
      </c>
      <c r="AO119" s="78" t="s">
        <v>0</v>
      </c>
      <c r="AP119" s="78" t="s">
        <v>0</v>
      </c>
      <c r="AQ119" s="78" t="s">
        <v>0</v>
      </c>
      <c r="AR119" s="78" t="s">
        <v>0</v>
      </c>
      <c r="AS119" s="78" t="s">
        <v>0</v>
      </c>
      <c r="AT119" s="78" t="s">
        <v>0</v>
      </c>
      <c r="AU119" s="78" t="s">
        <v>0</v>
      </c>
      <c r="AV119" s="78" t="s">
        <v>0</v>
      </c>
      <c r="AW119" s="78" t="s">
        <v>0</v>
      </c>
      <c r="AX119" s="78" t="s">
        <v>0</v>
      </c>
      <c r="AY119" s="78" t="s">
        <v>0</v>
      </c>
      <c r="AZ119" s="78" t="s">
        <v>0</v>
      </c>
      <c r="BA119" s="78" t="s">
        <v>0</v>
      </c>
      <c r="BB119" s="78" t="s">
        <v>0</v>
      </c>
      <c r="BC119" s="78" t="s">
        <v>0</v>
      </c>
      <c r="BD119" s="78" t="s">
        <v>0</v>
      </c>
      <c r="BE119" s="78" t="s">
        <v>0</v>
      </c>
      <c r="BF119" s="78" t="s">
        <v>0</v>
      </c>
      <c r="BG119" s="78" t="s">
        <v>0</v>
      </c>
      <c r="BH119" s="78" t="s">
        <v>0</v>
      </c>
      <c r="BI119" s="78" t="s">
        <v>0</v>
      </c>
      <c r="BJ119" s="78" t="s">
        <v>0</v>
      </c>
    </row>
    <row r="120" spans="1:62" ht="12.75">
      <c r="A120" s="710">
        <v>653</v>
      </c>
      <c r="B120" s="44" t="s">
        <v>2322</v>
      </c>
      <c r="C120" s="325">
        <f>MOD(G$1,A120)</f>
        <v>175</v>
      </c>
      <c r="D120" s="82">
        <f>A120-C120</f>
        <v>478</v>
      </c>
      <c r="E120" s="76">
        <f>MOD(G$2,A120)</f>
        <v>362</v>
      </c>
      <c r="F120" s="78" t="s">
        <v>2168</v>
      </c>
      <c r="G120" s="78" t="s">
        <v>0</v>
      </c>
      <c r="H120" s="78" t="s">
        <v>0</v>
      </c>
      <c r="I120" s="78" t="s">
        <v>0</v>
      </c>
      <c r="J120" s="78" t="s">
        <v>0</v>
      </c>
      <c r="K120" s="78" t="s">
        <v>0</v>
      </c>
      <c r="L120" s="78" t="s">
        <v>0</v>
      </c>
      <c r="M120" s="78" t="s">
        <v>0</v>
      </c>
      <c r="N120" s="78" t="s">
        <v>0</v>
      </c>
      <c r="O120" s="78" t="s">
        <v>0</v>
      </c>
      <c r="P120" s="78" t="s">
        <v>0</v>
      </c>
      <c r="Q120" s="78" t="s">
        <v>0</v>
      </c>
      <c r="R120" s="78" t="s">
        <v>0</v>
      </c>
      <c r="S120" s="78" t="s">
        <v>0</v>
      </c>
      <c r="T120" s="78" t="s">
        <v>0</v>
      </c>
      <c r="U120" s="78" t="s">
        <v>0</v>
      </c>
      <c r="V120" s="78" t="s">
        <v>0</v>
      </c>
      <c r="W120" s="78" t="s">
        <v>0</v>
      </c>
      <c r="X120" s="78" t="s">
        <v>0</v>
      </c>
      <c r="Y120" s="78" t="s">
        <v>0</v>
      </c>
      <c r="Z120" s="78" t="s">
        <v>0</v>
      </c>
      <c r="AA120" s="78" t="s">
        <v>0</v>
      </c>
      <c r="AB120" s="78" t="s">
        <v>0</v>
      </c>
      <c r="AC120" s="78" t="s">
        <v>0</v>
      </c>
      <c r="AD120" s="78" t="s">
        <v>0</v>
      </c>
      <c r="AE120" s="78" t="s">
        <v>0</v>
      </c>
      <c r="AF120" s="78" t="s">
        <v>0</v>
      </c>
      <c r="AG120" s="78" t="s">
        <v>0</v>
      </c>
      <c r="AH120" s="78" t="s">
        <v>0</v>
      </c>
      <c r="AI120" s="78" t="s">
        <v>0</v>
      </c>
      <c r="AJ120" s="78" t="s">
        <v>0</v>
      </c>
      <c r="AK120" s="78" t="s">
        <v>0</v>
      </c>
      <c r="AL120" s="78" t="s">
        <v>0</v>
      </c>
      <c r="AM120" s="78" t="s">
        <v>0</v>
      </c>
      <c r="AN120" s="78" t="s">
        <v>0</v>
      </c>
      <c r="AO120" s="78" t="s">
        <v>0</v>
      </c>
      <c r="AP120" s="78" t="s">
        <v>0</v>
      </c>
      <c r="AQ120" s="78" t="s">
        <v>0</v>
      </c>
      <c r="AR120" s="78" t="s">
        <v>0</v>
      </c>
      <c r="AS120" s="78" t="s">
        <v>0</v>
      </c>
      <c r="AT120" s="78" t="s">
        <v>0</v>
      </c>
      <c r="AU120" s="78" t="s">
        <v>0</v>
      </c>
      <c r="AV120" s="78" t="s">
        <v>0</v>
      </c>
      <c r="AW120" s="78" t="s">
        <v>0</v>
      </c>
      <c r="AX120" s="78" t="s">
        <v>0</v>
      </c>
      <c r="AY120" s="78" t="s">
        <v>0</v>
      </c>
      <c r="AZ120" s="78" t="s">
        <v>0</v>
      </c>
      <c r="BA120" s="78" t="s">
        <v>0</v>
      </c>
      <c r="BB120" s="78" t="s">
        <v>0</v>
      </c>
      <c r="BC120" s="78" t="s">
        <v>0</v>
      </c>
      <c r="BD120" s="78" t="s">
        <v>0</v>
      </c>
      <c r="BE120" s="78" t="s">
        <v>0</v>
      </c>
      <c r="BF120" s="78" t="s">
        <v>0</v>
      </c>
      <c r="BG120" s="78" t="s">
        <v>0</v>
      </c>
      <c r="BH120" s="78" t="s">
        <v>0</v>
      </c>
      <c r="BI120" s="78" t="s">
        <v>0</v>
      </c>
      <c r="BJ120" s="78" t="s">
        <v>0</v>
      </c>
    </row>
    <row r="121" spans="1:62" ht="12.75">
      <c r="A121" s="710">
        <v>659</v>
      </c>
      <c r="B121" s="44" t="s">
        <v>2323</v>
      </c>
      <c r="C121" s="325">
        <f>MOD(G$1,A121)</f>
        <v>256</v>
      </c>
      <c r="D121" s="82">
        <f>A121-C121</f>
        <v>403</v>
      </c>
      <c r="E121" s="76">
        <f>MOD(G$2,A121)</f>
        <v>437</v>
      </c>
      <c r="F121" s="78" t="s">
        <v>2463</v>
      </c>
      <c r="G121" s="78" t="s">
        <v>0</v>
      </c>
      <c r="H121" s="78" t="s">
        <v>0</v>
      </c>
      <c r="I121" s="78" t="s">
        <v>0</v>
      </c>
      <c r="J121" s="78" t="s">
        <v>0</v>
      </c>
      <c r="K121" s="78" t="s">
        <v>0</v>
      </c>
      <c r="L121" s="78" t="s">
        <v>0</v>
      </c>
      <c r="M121" s="78" t="s">
        <v>0</v>
      </c>
      <c r="N121" s="78" t="s">
        <v>0</v>
      </c>
      <c r="O121" s="78" t="s">
        <v>0</v>
      </c>
      <c r="P121" s="78" t="s">
        <v>0</v>
      </c>
      <c r="Q121" s="78" t="s">
        <v>0</v>
      </c>
      <c r="R121" s="78" t="s">
        <v>0</v>
      </c>
      <c r="S121" s="78" t="s">
        <v>0</v>
      </c>
      <c r="T121" s="78" t="s">
        <v>0</v>
      </c>
      <c r="U121" s="78" t="s">
        <v>0</v>
      </c>
      <c r="V121" s="78" t="s">
        <v>0</v>
      </c>
      <c r="W121" s="78" t="s">
        <v>0</v>
      </c>
      <c r="X121" s="78" t="s">
        <v>0</v>
      </c>
      <c r="Y121" s="78" t="s">
        <v>0</v>
      </c>
      <c r="Z121" s="78" t="s">
        <v>0</v>
      </c>
      <c r="AA121" s="78" t="s">
        <v>0</v>
      </c>
      <c r="AB121" s="78" t="s">
        <v>0</v>
      </c>
      <c r="AC121" s="78" t="s">
        <v>0</v>
      </c>
      <c r="AD121" s="78" t="s">
        <v>0</v>
      </c>
      <c r="AE121" s="78" t="s">
        <v>0</v>
      </c>
      <c r="AF121" s="78" t="s">
        <v>0</v>
      </c>
      <c r="AG121" s="78" t="s">
        <v>0</v>
      </c>
      <c r="AH121" s="78" t="s">
        <v>0</v>
      </c>
      <c r="AI121" s="78" t="s">
        <v>0</v>
      </c>
      <c r="AJ121" s="78" t="s">
        <v>0</v>
      </c>
      <c r="AK121" s="78" t="s">
        <v>0</v>
      </c>
      <c r="AL121" s="78" t="s">
        <v>0</v>
      </c>
      <c r="AM121" s="78" t="s">
        <v>0</v>
      </c>
      <c r="AN121" s="78" t="s">
        <v>0</v>
      </c>
      <c r="AO121" s="78" t="s">
        <v>0</v>
      </c>
      <c r="AP121" s="78" t="s">
        <v>0</v>
      </c>
      <c r="AQ121" s="78" t="s">
        <v>0</v>
      </c>
      <c r="AR121" s="78" t="s">
        <v>0</v>
      </c>
      <c r="AS121" s="78" t="s">
        <v>0</v>
      </c>
      <c r="AT121" s="78" t="s">
        <v>0</v>
      </c>
      <c r="AU121" s="78" t="s">
        <v>0</v>
      </c>
      <c r="AV121" s="78" t="s">
        <v>0</v>
      </c>
      <c r="AW121" s="78" t="s">
        <v>0</v>
      </c>
      <c r="AX121" s="78" t="s">
        <v>0</v>
      </c>
      <c r="AY121" s="78" t="s">
        <v>0</v>
      </c>
      <c r="AZ121" s="78" t="s">
        <v>0</v>
      </c>
      <c r="BA121" s="78" t="s">
        <v>0</v>
      </c>
      <c r="BB121" s="78" t="s">
        <v>0</v>
      </c>
      <c r="BC121" s="78" t="s">
        <v>0</v>
      </c>
      <c r="BD121" s="78" t="s">
        <v>0</v>
      </c>
      <c r="BE121" s="78" t="s">
        <v>0</v>
      </c>
      <c r="BF121" s="78" t="s">
        <v>0</v>
      </c>
      <c r="BG121" s="78" t="s">
        <v>0</v>
      </c>
      <c r="BH121" s="78" t="s">
        <v>0</v>
      </c>
      <c r="BI121" s="78" t="s">
        <v>0</v>
      </c>
      <c r="BJ121" s="78" t="s">
        <v>0</v>
      </c>
    </row>
    <row r="122" spans="1:62" ht="12.75">
      <c r="A122" s="710">
        <v>661</v>
      </c>
      <c r="B122" s="44" t="s">
        <v>2324</v>
      </c>
      <c r="C122" s="325">
        <f>MOD(G$1,A122)</f>
        <v>139</v>
      </c>
      <c r="D122" s="82">
        <f>A122-C122</f>
        <v>522</v>
      </c>
      <c r="E122" s="76">
        <f>MOD(G$2,A122)</f>
        <v>318</v>
      </c>
      <c r="F122" s="78" t="s">
        <v>2304</v>
      </c>
      <c r="G122" s="78" t="s">
        <v>0</v>
      </c>
      <c r="H122" s="78" t="s">
        <v>0</v>
      </c>
      <c r="I122" s="78" t="s">
        <v>0</v>
      </c>
      <c r="J122" s="78" t="s">
        <v>0</v>
      </c>
      <c r="K122" s="78" t="s">
        <v>0</v>
      </c>
      <c r="L122" s="78" t="s">
        <v>0</v>
      </c>
      <c r="M122" s="78" t="s">
        <v>0</v>
      </c>
      <c r="N122" s="78" t="s">
        <v>0</v>
      </c>
      <c r="O122" s="78" t="s">
        <v>0</v>
      </c>
      <c r="P122" s="78" t="s">
        <v>0</v>
      </c>
      <c r="Q122" s="78" t="s">
        <v>0</v>
      </c>
      <c r="R122" s="78" t="s">
        <v>0</v>
      </c>
      <c r="S122" s="78" t="s">
        <v>0</v>
      </c>
      <c r="T122" s="78" t="s">
        <v>0</v>
      </c>
      <c r="U122" s="78" t="s">
        <v>0</v>
      </c>
      <c r="V122" s="78" t="s">
        <v>0</v>
      </c>
      <c r="W122" s="78" t="s">
        <v>0</v>
      </c>
      <c r="X122" s="78" t="s">
        <v>0</v>
      </c>
      <c r="Y122" s="78" t="s">
        <v>0</v>
      </c>
      <c r="Z122" s="78" t="s">
        <v>0</v>
      </c>
      <c r="AA122" s="78" t="s">
        <v>0</v>
      </c>
      <c r="AB122" s="78" t="s">
        <v>0</v>
      </c>
      <c r="AC122" s="78" t="s">
        <v>0</v>
      </c>
      <c r="AD122" s="78" t="s">
        <v>0</v>
      </c>
      <c r="AE122" s="78" t="s">
        <v>0</v>
      </c>
      <c r="AF122" s="78" t="s">
        <v>0</v>
      </c>
      <c r="AG122" s="78" t="s">
        <v>0</v>
      </c>
      <c r="AH122" s="78" t="s">
        <v>0</v>
      </c>
      <c r="AI122" s="78" t="s">
        <v>0</v>
      </c>
      <c r="AJ122" s="78" t="s">
        <v>0</v>
      </c>
      <c r="AK122" s="78" t="s">
        <v>0</v>
      </c>
      <c r="AL122" s="78" t="s">
        <v>0</v>
      </c>
      <c r="AM122" s="78" t="s">
        <v>0</v>
      </c>
      <c r="AN122" s="78" t="s">
        <v>0</v>
      </c>
      <c r="AO122" s="78" t="s">
        <v>0</v>
      </c>
      <c r="AP122" s="78" t="s">
        <v>0</v>
      </c>
      <c r="AQ122" s="78" t="s">
        <v>0</v>
      </c>
      <c r="AR122" s="78" t="s">
        <v>0</v>
      </c>
      <c r="AS122" s="78" t="s">
        <v>0</v>
      </c>
      <c r="AT122" s="78" t="s">
        <v>0</v>
      </c>
      <c r="AU122" s="78" t="s">
        <v>0</v>
      </c>
      <c r="AV122" s="78" t="s">
        <v>0</v>
      </c>
      <c r="AW122" s="78" t="s">
        <v>0</v>
      </c>
      <c r="AX122" s="78" t="s">
        <v>0</v>
      </c>
      <c r="AY122" s="78" t="s">
        <v>0</v>
      </c>
      <c r="AZ122" s="78" t="s">
        <v>0</v>
      </c>
      <c r="BA122" s="78" t="s">
        <v>0</v>
      </c>
      <c r="BB122" s="78" t="s">
        <v>0</v>
      </c>
      <c r="BC122" s="78" t="s">
        <v>0</v>
      </c>
      <c r="BD122" s="78" t="s">
        <v>0</v>
      </c>
      <c r="BE122" s="78" t="s">
        <v>0</v>
      </c>
      <c r="BF122" s="78" t="s">
        <v>0</v>
      </c>
      <c r="BG122" s="78" t="s">
        <v>0</v>
      </c>
      <c r="BH122" s="78" t="s">
        <v>0</v>
      </c>
      <c r="BI122" s="78" t="s">
        <v>0</v>
      </c>
      <c r="BJ122" s="78" t="s">
        <v>0</v>
      </c>
    </row>
    <row r="123" spans="1:62" ht="12.75">
      <c r="A123" s="710">
        <v>673</v>
      </c>
      <c r="B123" s="44" t="s">
        <v>2326</v>
      </c>
      <c r="C123" s="325">
        <f>MOD(G$1,A123)</f>
        <v>660</v>
      </c>
      <c r="D123" s="82">
        <f>A123-C123</f>
        <v>13</v>
      </c>
      <c r="E123" s="76">
        <f>MOD(G$2,A123)</f>
        <v>154</v>
      </c>
      <c r="F123" s="78" t="s">
        <v>2362</v>
      </c>
      <c r="G123" s="78" t="s">
        <v>0</v>
      </c>
      <c r="H123" s="78" t="s">
        <v>0</v>
      </c>
      <c r="I123" s="78" t="s">
        <v>0</v>
      </c>
      <c r="J123" s="78" t="s">
        <v>0</v>
      </c>
      <c r="K123" s="78" t="s">
        <v>0</v>
      </c>
      <c r="L123" s="78" t="s">
        <v>0</v>
      </c>
      <c r="M123" s="78" t="s">
        <v>0</v>
      </c>
      <c r="N123" s="78" t="s">
        <v>0</v>
      </c>
      <c r="O123" s="78" t="s">
        <v>0</v>
      </c>
      <c r="P123" s="78" t="s">
        <v>0</v>
      </c>
      <c r="Q123" s="78" t="s">
        <v>0</v>
      </c>
      <c r="R123" s="78" t="s">
        <v>0</v>
      </c>
      <c r="S123" s="78" t="s">
        <v>0</v>
      </c>
      <c r="T123" s="78" t="s">
        <v>0</v>
      </c>
      <c r="U123" s="78" t="s">
        <v>0</v>
      </c>
      <c r="V123" s="78" t="s">
        <v>0</v>
      </c>
      <c r="W123" s="78" t="s">
        <v>0</v>
      </c>
      <c r="X123" s="78" t="s">
        <v>0</v>
      </c>
      <c r="Y123" s="78" t="s">
        <v>0</v>
      </c>
      <c r="Z123" s="78" t="s">
        <v>0</v>
      </c>
      <c r="AA123" s="78" t="s">
        <v>0</v>
      </c>
      <c r="AB123" s="78" t="s">
        <v>0</v>
      </c>
      <c r="AC123" s="78" t="s">
        <v>0</v>
      </c>
      <c r="AD123" s="78" t="s">
        <v>0</v>
      </c>
      <c r="AE123" s="78" t="s">
        <v>0</v>
      </c>
      <c r="AF123" s="78" t="s">
        <v>0</v>
      </c>
      <c r="AG123" s="78" t="s">
        <v>0</v>
      </c>
      <c r="AH123" s="78" t="s">
        <v>0</v>
      </c>
      <c r="AI123" s="78" t="s">
        <v>0</v>
      </c>
      <c r="AJ123" s="78" t="s">
        <v>0</v>
      </c>
      <c r="AK123" s="78" t="s">
        <v>0</v>
      </c>
      <c r="AL123" s="78" t="s">
        <v>0</v>
      </c>
      <c r="AM123" s="78" t="s">
        <v>0</v>
      </c>
      <c r="AN123" s="78" t="s">
        <v>0</v>
      </c>
      <c r="AO123" s="78" t="s">
        <v>0</v>
      </c>
      <c r="AP123" s="78" t="s">
        <v>0</v>
      </c>
      <c r="AQ123" s="78" t="s">
        <v>0</v>
      </c>
      <c r="AR123" s="78" t="s">
        <v>0</v>
      </c>
      <c r="AS123" s="78" t="s">
        <v>0</v>
      </c>
      <c r="AT123" s="78" t="s">
        <v>0</v>
      </c>
      <c r="AU123" s="78" t="s">
        <v>0</v>
      </c>
      <c r="AV123" s="78" t="s">
        <v>0</v>
      </c>
      <c r="AW123" s="78" t="s">
        <v>0</v>
      </c>
      <c r="AX123" s="78" t="s">
        <v>0</v>
      </c>
      <c r="AY123" s="78" t="s">
        <v>0</v>
      </c>
      <c r="AZ123" s="78" t="s">
        <v>0</v>
      </c>
      <c r="BA123" s="78" t="s">
        <v>0</v>
      </c>
      <c r="BB123" s="78" t="s">
        <v>0</v>
      </c>
      <c r="BC123" s="78" t="s">
        <v>0</v>
      </c>
      <c r="BD123" s="78" t="s">
        <v>0</v>
      </c>
      <c r="BE123" s="78" t="s">
        <v>0</v>
      </c>
      <c r="BF123" s="78" t="s">
        <v>0</v>
      </c>
      <c r="BG123" s="78" t="s">
        <v>0</v>
      </c>
      <c r="BH123" s="78" t="s">
        <v>0</v>
      </c>
      <c r="BI123" s="78" t="s">
        <v>0</v>
      </c>
      <c r="BJ123" s="78" t="s">
        <v>0</v>
      </c>
    </row>
    <row r="124" spans="1:62" ht="12.75">
      <c r="A124" s="710">
        <v>677</v>
      </c>
      <c r="B124" s="44" t="s">
        <v>2327</v>
      </c>
      <c r="C124" s="325">
        <f>MOD(G$1,A124)</f>
        <v>570</v>
      </c>
      <c r="D124" s="82">
        <f>A124-C124</f>
        <v>107</v>
      </c>
      <c r="E124" s="76">
        <f>MOD(G$2,A124)</f>
        <v>56</v>
      </c>
      <c r="F124" s="78" t="s">
        <v>2241</v>
      </c>
      <c r="G124" s="78" t="s">
        <v>0</v>
      </c>
      <c r="H124" s="78" t="s">
        <v>0</v>
      </c>
      <c r="I124" s="78" t="s">
        <v>0</v>
      </c>
      <c r="J124" s="78" t="s">
        <v>0</v>
      </c>
      <c r="K124" s="78" t="s">
        <v>0</v>
      </c>
      <c r="L124" s="78" t="s">
        <v>0</v>
      </c>
      <c r="M124" s="78" t="s">
        <v>0</v>
      </c>
      <c r="N124" s="78" t="s">
        <v>0</v>
      </c>
      <c r="O124" s="78" t="s">
        <v>0</v>
      </c>
      <c r="P124" s="78" t="s">
        <v>0</v>
      </c>
      <c r="Q124" s="78" t="s">
        <v>0</v>
      </c>
      <c r="R124" s="78" t="s">
        <v>0</v>
      </c>
      <c r="S124" s="78" t="s">
        <v>0</v>
      </c>
      <c r="T124" s="78" t="s">
        <v>0</v>
      </c>
      <c r="U124" s="78" t="s">
        <v>0</v>
      </c>
      <c r="V124" s="78" t="s">
        <v>0</v>
      </c>
      <c r="W124" s="78" t="s">
        <v>0</v>
      </c>
      <c r="X124" s="78" t="s">
        <v>0</v>
      </c>
      <c r="Y124" s="78" t="s">
        <v>0</v>
      </c>
      <c r="Z124" s="78" t="s">
        <v>0</v>
      </c>
      <c r="AA124" s="78" t="s">
        <v>0</v>
      </c>
      <c r="AB124" s="78" t="s">
        <v>0</v>
      </c>
      <c r="AC124" s="78" t="s">
        <v>0</v>
      </c>
      <c r="AD124" s="78" t="s">
        <v>0</v>
      </c>
      <c r="AE124" s="78" t="s">
        <v>0</v>
      </c>
      <c r="AF124" s="78" t="s">
        <v>0</v>
      </c>
      <c r="AG124" s="78" t="s">
        <v>0</v>
      </c>
      <c r="AH124" s="78" t="s">
        <v>0</v>
      </c>
      <c r="AI124" s="78" t="s">
        <v>0</v>
      </c>
      <c r="AJ124" s="78" t="s">
        <v>0</v>
      </c>
      <c r="AK124" s="78" t="s">
        <v>0</v>
      </c>
      <c r="AL124" s="78" t="s">
        <v>0</v>
      </c>
      <c r="AM124" s="78" t="s">
        <v>0</v>
      </c>
      <c r="AN124" s="78" t="s">
        <v>0</v>
      </c>
      <c r="AO124" s="78" t="s">
        <v>0</v>
      </c>
      <c r="AP124" s="78" t="s">
        <v>0</v>
      </c>
      <c r="AQ124" s="78" t="s">
        <v>0</v>
      </c>
      <c r="AR124" s="78" t="s">
        <v>0</v>
      </c>
      <c r="AS124" s="78" t="s">
        <v>0</v>
      </c>
      <c r="AT124" s="78" t="s">
        <v>0</v>
      </c>
      <c r="AU124" s="78" t="s">
        <v>0</v>
      </c>
      <c r="AV124" s="78" t="s">
        <v>0</v>
      </c>
      <c r="AW124" s="78" t="s">
        <v>0</v>
      </c>
      <c r="AX124" s="78" t="s">
        <v>0</v>
      </c>
      <c r="AY124" s="78" t="s">
        <v>0</v>
      </c>
      <c r="AZ124" s="78" t="s">
        <v>0</v>
      </c>
      <c r="BA124" s="78" t="s">
        <v>0</v>
      </c>
      <c r="BB124" s="78" t="s">
        <v>0</v>
      </c>
      <c r="BC124" s="78" t="s">
        <v>0</v>
      </c>
      <c r="BD124" s="78" t="s">
        <v>0</v>
      </c>
      <c r="BE124" s="78" t="s">
        <v>0</v>
      </c>
      <c r="BF124" s="78" t="s">
        <v>0</v>
      </c>
      <c r="BG124" s="78" t="s">
        <v>0</v>
      </c>
      <c r="BH124" s="78" t="s">
        <v>0</v>
      </c>
      <c r="BI124" s="78" t="s">
        <v>0</v>
      </c>
      <c r="BJ124" s="78" t="s">
        <v>0</v>
      </c>
    </row>
    <row r="125" spans="1:62" ht="12.75">
      <c r="A125" s="710">
        <v>683</v>
      </c>
      <c r="B125" s="44" t="s">
        <v>2329</v>
      </c>
      <c r="C125" s="325">
        <f>MOD(G$1,A125)</f>
        <v>333</v>
      </c>
      <c r="D125" s="82">
        <f>A125-C125</f>
        <v>350</v>
      </c>
      <c r="E125" s="76">
        <f>MOD(G$2,A125)</f>
        <v>490</v>
      </c>
      <c r="F125" s="78" t="s">
        <v>2424</v>
      </c>
      <c r="G125" s="78" t="s">
        <v>0</v>
      </c>
      <c r="H125" s="78" t="s">
        <v>0</v>
      </c>
      <c r="I125" s="78" t="s">
        <v>0</v>
      </c>
      <c r="J125" s="78" t="s">
        <v>0</v>
      </c>
      <c r="K125" s="78" t="s">
        <v>0</v>
      </c>
      <c r="L125" s="78" t="s">
        <v>0</v>
      </c>
      <c r="M125" s="78" t="s">
        <v>0</v>
      </c>
      <c r="N125" s="78" t="s">
        <v>0</v>
      </c>
      <c r="O125" s="78" t="s">
        <v>0</v>
      </c>
      <c r="P125" s="78" t="s">
        <v>0</v>
      </c>
      <c r="Q125" s="78" t="s">
        <v>0</v>
      </c>
      <c r="R125" s="78" t="s">
        <v>0</v>
      </c>
      <c r="S125" s="78" t="s">
        <v>0</v>
      </c>
      <c r="T125" s="78" t="s">
        <v>0</v>
      </c>
      <c r="U125" s="78" t="s">
        <v>0</v>
      </c>
      <c r="V125" s="78" t="s">
        <v>0</v>
      </c>
      <c r="W125" s="78" t="s">
        <v>0</v>
      </c>
      <c r="X125" s="78" t="s">
        <v>0</v>
      </c>
      <c r="Y125" s="78" t="s">
        <v>0</v>
      </c>
      <c r="Z125" s="78" t="s">
        <v>0</v>
      </c>
      <c r="AA125" s="78" t="s">
        <v>0</v>
      </c>
      <c r="AB125" s="78" t="s">
        <v>0</v>
      </c>
      <c r="AC125" s="78" t="s">
        <v>0</v>
      </c>
      <c r="AD125" s="78" t="s">
        <v>0</v>
      </c>
      <c r="AE125" s="78" t="s">
        <v>0</v>
      </c>
      <c r="AF125" s="78" t="s">
        <v>0</v>
      </c>
      <c r="AG125" s="78" t="s">
        <v>0</v>
      </c>
      <c r="AH125" s="78" t="s">
        <v>0</v>
      </c>
      <c r="AI125" s="78" t="s">
        <v>0</v>
      </c>
      <c r="AJ125" s="78" t="s">
        <v>0</v>
      </c>
      <c r="AK125" s="78" t="s">
        <v>0</v>
      </c>
      <c r="AL125" s="78" t="s">
        <v>0</v>
      </c>
      <c r="AM125" s="78" t="s">
        <v>0</v>
      </c>
      <c r="AN125" s="78" t="s">
        <v>0</v>
      </c>
      <c r="AO125" s="78" t="s">
        <v>0</v>
      </c>
      <c r="AP125" s="78" t="s">
        <v>0</v>
      </c>
      <c r="AQ125" s="78" t="s">
        <v>0</v>
      </c>
      <c r="AR125" s="78" t="s">
        <v>0</v>
      </c>
      <c r="AS125" s="78" t="s">
        <v>0</v>
      </c>
      <c r="AT125" s="78" t="s">
        <v>0</v>
      </c>
      <c r="AU125" s="78" t="s">
        <v>0</v>
      </c>
      <c r="AV125" s="78" t="s">
        <v>0</v>
      </c>
      <c r="AW125" s="78" t="s">
        <v>0</v>
      </c>
      <c r="AX125" s="78" t="s">
        <v>0</v>
      </c>
      <c r="AY125" s="78" t="s">
        <v>0</v>
      </c>
      <c r="AZ125" s="78" t="s">
        <v>0</v>
      </c>
      <c r="BA125" s="78" t="s">
        <v>0</v>
      </c>
      <c r="BB125" s="78" t="s">
        <v>0</v>
      </c>
      <c r="BC125" s="78" t="s">
        <v>0</v>
      </c>
      <c r="BD125" s="78" t="s">
        <v>0</v>
      </c>
      <c r="BE125" s="78" t="s">
        <v>0</v>
      </c>
      <c r="BF125" s="78" t="s">
        <v>0</v>
      </c>
      <c r="BG125" s="78" t="s">
        <v>0</v>
      </c>
      <c r="BH125" s="78" t="s">
        <v>0</v>
      </c>
      <c r="BI125" s="78" t="s">
        <v>0</v>
      </c>
      <c r="BJ125" s="78" t="s">
        <v>0</v>
      </c>
    </row>
    <row r="126" spans="1:62" ht="12.75">
      <c r="A126" s="710">
        <v>691</v>
      </c>
      <c r="B126" s="44" t="s">
        <v>2331</v>
      </c>
      <c r="C126" s="325">
        <f>MOD(G$1,A126)</f>
        <v>152</v>
      </c>
      <c r="D126" s="82">
        <f>A126-C126</f>
        <v>539</v>
      </c>
      <c r="E126" s="76">
        <f>MOD(G$2,A126)</f>
        <v>301</v>
      </c>
      <c r="F126" s="78" t="s">
        <v>2289</v>
      </c>
      <c r="G126" s="78" t="s">
        <v>0</v>
      </c>
      <c r="H126" s="78" t="s">
        <v>0</v>
      </c>
      <c r="I126" s="78" t="s">
        <v>0</v>
      </c>
      <c r="J126" s="78" t="s">
        <v>0</v>
      </c>
      <c r="K126" s="78" t="s">
        <v>0</v>
      </c>
      <c r="L126" s="78" t="s">
        <v>0</v>
      </c>
      <c r="M126" s="78" t="s">
        <v>0</v>
      </c>
      <c r="N126" s="78" t="s">
        <v>0</v>
      </c>
      <c r="O126" s="78" t="s">
        <v>0</v>
      </c>
      <c r="P126" s="78" t="s">
        <v>0</v>
      </c>
      <c r="Q126" s="78" t="s">
        <v>0</v>
      </c>
      <c r="R126" s="78" t="s">
        <v>0</v>
      </c>
      <c r="S126" s="78" t="s">
        <v>0</v>
      </c>
      <c r="T126" s="78" t="s">
        <v>0</v>
      </c>
      <c r="U126" s="78" t="s">
        <v>0</v>
      </c>
      <c r="V126" s="78" t="s">
        <v>0</v>
      </c>
      <c r="W126" s="78" t="s">
        <v>0</v>
      </c>
      <c r="X126" s="78" t="s">
        <v>0</v>
      </c>
      <c r="Y126" s="78" t="s">
        <v>0</v>
      </c>
      <c r="Z126" s="78" t="s">
        <v>0</v>
      </c>
      <c r="AA126" s="78" t="s">
        <v>0</v>
      </c>
      <c r="AB126" s="78" t="s">
        <v>0</v>
      </c>
      <c r="AC126" s="78" t="s">
        <v>0</v>
      </c>
      <c r="AD126" s="78" t="s">
        <v>0</v>
      </c>
      <c r="AE126" s="78" t="s">
        <v>0</v>
      </c>
      <c r="AF126" s="78" t="s">
        <v>0</v>
      </c>
      <c r="AG126" s="78" t="s">
        <v>0</v>
      </c>
      <c r="AH126" s="78" t="s">
        <v>0</v>
      </c>
      <c r="AI126" s="78" t="s">
        <v>0</v>
      </c>
      <c r="AJ126" s="78" t="s">
        <v>0</v>
      </c>
      <c r="AK126" s="78" t="s">
        <v>0</v>
      </c>
      <c r="AL126" s="78" t="s">
        <v>0</v>
      </c>
      <c r="AM126" s="78" t="s">
        <v>0</v>
      </c>
      <c r="AN126" s="78" t="s">
        <v>0</v>
      </c>
      <c r="AO126" s="78" t="s">
        <v>0</v>
      </c>
      <c r="AP126" s="78" t="s">
        <v>0</v>
      </c>
      <c r="AQ126" s="78" t="s">
        <v>0</v>
      </c>
      <c r="AR126" s="78" t="s">
        <v>0</v>
      </c>
      <c r="AS126" s="78" t="s">
        <v>0</v>
      </c>
      <c r="AT126" s="78" t="s">
        <v>0</v>
      </c>
      <c r="AU126" s="78" t="s">
        <v>0</v>
      </c>
      <c r="AV126" s="78" t="s">
        <v>0</v>
      </c>
      <c r="AW126" s="78" t="s">
        <v>0</v>
      </c>
      <c r="AX126" s="78" t="s">
        <v>0</v>
      </c>
      <c r="AY126" s="78" t="s">
        <v>0</v>
      </c>
      <c r="AZ126" s="78" t="s">
        <v>0</v>
      </c>
      <c r="BA126" s="78" t="s">
        <v>0</v>
      </c>
      <c r="BB126" s="78" t="s">
        <v>0</v>
      </c>
      <c r="BC126" s="78" t="s">
        <v>0</v>
      </c>
      <c r="BD126" s="78" t="s">
        <v>0</v>
      </c>
      <c r="BE126" s="78" t="s">
        <v>0</v>
      </c>
      <c r="BF126" s="78" t="s">
        <v>0</v>
      </c>
      <c r="BG126" s="78" t="s">
        <v>0</v>
      </c>
      <c r="BH126" s="78" t="s">
        <v>0</v>
      </c>
      <c r="BI126" s="78" t="s">
        <v>0</v>
      </c>
      <c r="BJ126" s="78" t="s">
        <v>0</v>
      </c>
    </row>
    <row r="127" spans="1:62" ht="12.75">
      <c r="A127" s="710">
        <v>701</v>
      </c>
      <c r="B127" s="44" t="s">
        <v>2333</v>
      </c>
      <c r="C127" s="325">
        <f>MOD(G$1,A127)</f>
        <v>199</v>
      </c>
      <c r="D127" s="82">
        <f>A127-C127</f>
        <v>502</v>
      </c>
      <c r="E127" s="76">
        <f>MOD(G$2,A127)</f>
        <v>338</v>
      </c>
      <c r="F127" s="78" t="s">
        <v>2122</v>
      </c>
      <c r="G127" s="78" t="s">
        <v>0</v>
      </c>
      <c r="H127" s="78" t="s">
        <v>0</v>
      </c>
      <c r="I127" s="78" t="s">
        <v>0</v>
      </c>
      <c r="J127" s="78" t="s">
        <v>0</v>
      </c>
      <c r="K127" s="78" t="s">
        <v>0</v>
      </c>
      <c r="L127" s="78" t="s">
        <v>0</v>
      </c>
      <c r="M127" s="78" t="s">
        <v>0</v>
      </c>
      <c r="N127" s="78" t="s">
        <v>0</v>
      </c>
      <c r="O127" s="78" t="s">
        <v>0</v>
      </c>
      <c r="P127" s="78" t="s">
        <v>0</v>
      </c>
      <c r="Q127" s="78" t="s">
        <v>0</v>
      </c>
      <c r="R127" s="78" t="s">
        <v>0</v>
      </c>
      <c r="S127" s="78" t="s">
        <v>0</v>
      </c>
      <c r="T127" s="78" t="s">
        <v>0</v>
      </c>
      <c r="U127" s="78" t="s">
        <v>0</v>
      </c>
      <c r="V127" s="78" t="s">
        <v>0</v>
      </c>
      <c r="W127" s="78" t="s">
        <v>0</v>
      </c>
      <c r="X127" s="78" t="s">
        <v>0</v>
      </c>
      <c r="Y127" s="78" t="s">
        <v>0</v>
      </c>
      <c r="Z127" s="78" t="s">
        <v>0</v>
      </c>
      <c r="AA127" s="78" t="s">
        <v>0</v>
      </c>
      <c r="AB127" s="78" t="s">
        <v>0</v>
      </c>
      <c r="AC127" s="78" t="s">
        <v>0</v>
      </c>
      <c r="AD127" s="78" t="s">
        <v>0</v>
      </c>
      <c r="AE127" s="78" t="s">
        <v>0</v>
      </c>
      <c r="AF127" s="78" t="s">
        <v>0</v>
      </c>
      <c r="AG127" s="78" t="s">
        <v>0</v>
      </c>
      <c r="AH127" s="78" t="s">
        <v>0</v>
      </c>
      <c r="AI127" s="78" t="s">
        <v>0</v>
      </c>
      <c r="AJ127" s="78" t="s">
        <v>0</v>
      </c>
      <c r="AK127" s="78" t="s">
        <v>0</v>
      </c>
      <c r="AL127" s="78" t="s">
        <v>0</v>
      </c>
      <c r="AM127" s="78" t="s">
        <v>0</v>
      </c>
      <c r="AN127" s="78" t="s">
        <v>0</v>
      </c>
      <c r="AO127" s="78" t="s">
        <v>0</v>
      </c>
      <c r="AP127" s="78" t="s">
        <v>0</v>
      </c>
      <c r="AQ127" s="78" t="s">
        <v>0</v>
      </c>
      <c r="AR127" s="78" t="s">
        <v>0</v>
      </c>
      <c r="AS127" s="78" t="s">
        <v>0</v>
      </c>
      <c r="AT127" s="78" t="s">
        <v>0</v>
      </c>
      <c r="AU127" s="78" t="s">
        <v>0</v>
      </c>
      <c r="AV127" s="78" t="s">
        <v>0</v>
      </c>
      <c r="AW127" s="78" t="s">
        <v>0</v>
      </c>
      <c r="AX127" s="78" t="s">
        <v>0</v>
      </c>
      <c r="AY127" s="78" t="s">
        <v>0</v>
      </c>
      <c r="AZ127" s="78" t="s">
        <v>0</v>
      </c>
      <c r="BA127" s="78" t="s">
        <v>0</v>
      </c>
      <c r="BB127" s="78" t="s">
        <v>0</v>
      </c>
      <c r="BC127" s="78" t="s">
        <v>0</v>
      </c>
      <c r="BD127" s="78" t="s">
        <v>0</v>
      </c>
      <c r="BE127" s="78" t="s">
        <v>0</v>
      </c>
      <c r="BF127" s="78" t="s">
        <v>0</v>
      </c>
      <c r="BG127" s="78" t="s">
        <v>0</v>
      </c>
      <c r="BH127" s="78" t="s">
        <v>0</v>
      </c>
      <c r="BI127" s="78" t="s">
        <v>0</v>
      </c>
      <c r="BJ127" s="78" t="s">
        <v>0</v>
      </c>
    </row>
    <row r="128" spans="1:62" ht="12.75">
      <c r="A128" s="710">
        <v>709</v>
      </c>
      <c r="B128" s="44" t="s">
        <v>2335</v>
      </c>
      <c r="C128" s="325">
        <f>MOD(G$1,A128)</f>
        <v>573</v>
      </c>
      <c r="D128" s="82">
        <f>A128-C128</f>
        <v>136</v>
      </c>
      <c r="E128" s="76">
        <f>MOD(G$2,A128)</f>
        <v>704</v>
      </c>
      <c r="F128" s="78" t="s">
        <v>2321</v>
      </c>
      <c r="G128" s="78" t="s">
        <v>0</v>
      </c>
      <c r="H128" s="78" t="s">
        <v>0</v>
      </c>
      <c r="I128" s="78" t="s">
        <v>0</v>
      </c>
      <c r="J128" s="78" t="s">
        <v>0</v>
      </c>
      <c r="K128" s="78" t="s">
        <v>0</v>
      </c>
      <c r="L128" s="78" t="s">
        <v>0</v>
      </c>
      <c r="M128" s="78" t="s">
        <v>0</v>
      </c>
      <c r="N128" s="78" t="s">
        <v>0</v>
      </c>
      <c r="O128" s="78" t="s">
        <v>0</v>
      </c>
      <c r="P128" s="78" t="s">
        <v>0</v>
      </c>
      <c r="Q128" s="78" t="s">
        <v>0</v>
      </c>
      <c r="R128" s="78" t="s">
        <v>0</v>
      </c>
      <c r="S128" s="78" t="s">
        <v>0</v>
      </c>
      <c r="T128" s="78" t="s">
        <v>0</v>
      </c>
      <c r="U128" s="78" t="s">
        <v>0</v>
      </c>
      <c r="V128" s="78" t="s">
        <v>0</v>
      </c>
      <c r="W128" s="78" t="s">
        <v>0</v>
      </c>
      <c r="X128" s="78" t="s">
        <v>0</v>
      </c>
      <c r="Y128" s="78" t="s">
        <v>0</v>
      </c>
      <c r="Z128" s="78" t="s">
        <v>0</v>
      </c>
      <c r="AA128" s="78" t="s">
        <v>0</v>
      </c>
      <c r="AB128" s="78" t="s">
        <v>0</v>
      </c>
      <c r="AC128" s="78" t="s">
        <v>0</v>
      </c>
      <c r="AD128" s="78" t="s">
        <v>0</v>
      </c>
      <c r="AE128" s="78" t="s">
        <v>0</v>
      </c>
      <c r="AF128" s="78" t="s">
        <v>0</v>
      </c>
      <c r="AG128" s="78" t="s">
        <v>0</v>
      </c>
      <c r="AH128" s="78" t="s">
        <v>0</v>
      </c>
      <c r="AI128" s="78" t="s">
        <v>0</v>
      </c>
      <c r="AJ128" s="78" t="s">
        <v>0</v>
      </c>
      <c r="AK128" s="78" t="s">
        <v>0</v>
      </c>
      <c r="AL128" s="78" t="s">
        <v>0</v>
      </c>
      <c r="AM128" s="78" t="s">
        <v>0</v>
      </c>
      <c r="AN128" s="78" t="s">
        <v>0</v>
      </c>
      <c r="AO128" s="78" t="s">
        <v>0</v>
      </c>
      <c r="AP128" s="78" t="s">
        <v>0</v>
      </c>
      <c r="AQ128" s="78" t="s">
        <v>0</v>
      </c>
      <c r="AR128" s="78" t="s">
        <v>0</v>
      </c>
      <c r="AS128" s="78" t="s">
        <v>0</v>
      </c>
      <c r="AT128" s="78" t="s">
        <v>0</v>
      </c>
      <c r="AU128" s="78" t="s">
        <v>0</v>
      </c>
      <c r="AV128" s="78" t="s">
        <v>0</v>
      </c>
      <c r="AW128" s="78" t="s">
        <v>0</v>
      </c>
      <c r="AX128" s="78" t="s">
        <v>0</v>
      </c>
      <c r="AY128" s="78" t="s">
        <v>0</v>
      </c>
      <c r="AZ128" s="78" t="s">
        <v>0</v>
      </c>
      <c r="BA128" s="78" t="s">
        <v>0</v>
      </c>
      <c r="BB128" s="78" t="s">
        <v>0</v>
      </c>
      <c r="BC128" s="78" t="s">
        <v>0</v>
      </c>
      <c r="BD128" s="78" t="s">
        <v>0</v>
      </c>
      <c r="BE128" s="78" t="s">
        <v>0</v>
      </c>
      <c r="BF128" s="78" t="s">
        <v>0</v>
      </c>
      <c r="BG128" s="78" t="s">
        <v>0</v>
      </c>
      <c r="BH128" s="78" t="s">
        <v>0</v>
      </c>
      <c r="BI128" s="78" t="s">
        <v>0</v>
      </c>
      <c r="BJ128" s="78" t="s">
        <v>0</v>
      </c>
    </row>
    <row r="129" spans="1:62" ht="12.75">
      <c r="A129" s="710">
        <v>719</v>
      </c>
      <c r="B129" s="44" t="s">
        <v>2338</v>
      </c>
      <c r="C129" s="325">
        <f>MOD(G$1,A129)</f>
        <v>15</v>
      </c>
      <c r="D129" s="82">
        <f>A129-C129</f>
        <v>704</v>
      </c>
      <c r="E129" s="76">
        <f>MOD(G$2,A129)</f>
        <v>136</v>
      </c>
      <c r="F129" s="78" t="s">
        <v>2293</v>
      </c>
      <c r="G129" s="78" t="s">
        <v>0</v>
      </c>
      <c r="H129" s="78" t="s">
        <v>0</v>
      </c>
      <c r="I129" s="78" t="s">
        <v>0</v>
      </c>
      <c r="J129" s="78" t="s">
        <v>0</v>
      </c>
      <c r="K129" s="78" t="s">
        <v>0</v>
      </c>
      <c r="L129" s="78" t="s">
        <v>0</v>
      </c>
      <c r="M129" s="78" t="s">
        <v>0</v>
      </c>
      <c r="N129" s="78" t="s">
        <v>0</v>
      </c>
      <c r="O129" s="78" t="s">
        <v>0</v>
      </c>
      <c r="P129" s="78" t="s">
        <v>0</v>
      </c>
      <c r="Q129" s="78" t="s">
        <v>0</v>
      </c>
      <c r="R129" s="78" t="s">
        <v>0</v>
      </c>
      <c r="S129" s="78" t="s">
        <v>0</v>
      </c>
      <c r="T129" s="78" t="s">
        <v>0</v>
      </c>
      <c r="U129" s="78" t="s">
        <v>0</v>
      </c>
      <c r="V129" s="78" t="s">
        <v>0</v>
      </c>
      <c r="W129" s="78" t="s">
        <v>0</v>
      </c>
      <c r="X129" s="78" t="s">
        <v>0</v>
      </c>
      <c r="Y129" s="78" t="s">
        <v>0</v>
      </c>
      <c r="Z129" s="78" t="s">
        <v>0</v>
      </c>
      <c r="AA129" s="78" t="s">
        <v>0</v>
      </c>
      <c r="AB129" s="78" t="s">
        <v>0</v>
      </c>
      <c r="AC129" s="78" t="s">
        <v>0</v>
      </c>
      <c r="AD129" s="78" t="s">
        <v>0</v>
      </c>
      <c r="AE129" s="78" t="s">
        <v>0</v>
      </c>
      <c r="AF129" s="78" t="s">
        <v>0</v>
      </c>
      <c r="AG129" s="78" t="s">
        <v>0</v>
      </c>
      <c r="AH129" s="78" t="s">
        <v>0</v>
      </c>
      <c r="AI129" s="78" t="s">
        <v>0</v>
      </c>
      <c r="AJ129" s="78" t="s">
        <v>0</v>
      </c>
      <c r="AK129" s="78" t="s">
        <v>0</v>
      </c>
      <c r="AL129" s="78" t="s">
        <v>0</v>
      </c>
      <c r="AM129" s="78" t="s">
        <v>0</v>
      </c>
      <c r="AN129" s="78" t="s">
        <v>0</v>
      </c>
      <c r="AO129" s="78" t="s">
        <v>0</v>
      </c>
      <c r="AP129" s="78" t="s">
        <v>0</v>
      </c>
      <c r="AQ129" s="78" t="s">
        <v>0</v>
      </c>
      <c r="AR129" s="78" t="s">
        <v>0</v>
      </c>
      <c r="AS129" s="78" t="s">
        <v>0</v>
      </c>
      <c r="AT129" s="78" t="s">
        <v>0</v>
      </c>
      <c r="AU129" s="78" t="s">
        <v>0</v>
      </c>
      <c r="AV129" s="78" t="s">
        <v>0</v>
      </c>
      <c r="AW129" s="78" t="s">
        <v>0</v>
      </c>
      <c r="AX129" s="78" t="s">
        <v>0</v>
      </c>
      <c r="AY129" s="78" t="s">
        <v>0</v>
      </c>
      <c r="AZ129" s="78" t="s">
        <v>0</v>
      </c>
      <c r="BA129" s="78" t="s">
        <v>0</v>
      </c>
      <c r="BB129" s="78" t="s">
        <v>0</v>
      </c>
      <c r="BC129" s="78" t="s">
        <v>0</v>
      </c>
      <c r="BD129" s="78" t="s">
        <v>0</v>
      </c>
      <c r="BE129" s="78" t="s">
        <v>0</v>
      </c>
      <c r="BF129" s="78" t="s">
        <v>0</v>
      </c>
      <c r="BG129" s="78" t="s">
        <v>0</v>
      </c>
      <c r="BH129" s="78" t="s">
        <v>0</v>
      </c>
      <c r="BI129" s="78" t="s">
        <v>0</v>
      </c>
      <c r="BJ129" s="78" t="s">
        <v>0</v>
      </c>
    </row>
    <row r="130" spans="1:62" ht="12.75">
      <c r="A130" s="710">
        <v>727</v>
      </c>
      <c r="B130" s="44" t="s">
        <v>2342</v>
      </c>
      <c r="C130" s="325">
        <f>MOD(G$1,A130)</f>
        <v>431</v>
      </c>
      <c r="D130" s="82">
        <f>A130-C130</f>
        <v>296</v>
      </c>
      <c r="E130" s="76">
        <f>MOD(G$2,A130)</f>
        <v>544</v>
      </c>
      <c r="F130" s="78" t="s">
        <v>2355</v>
      </c>
      <c r="G130" s="78" t="s">
        <v>0</v>
      </c>
      <c r="H130" s="78" t="s">
        <v>0</v>
      </c>
      <c r="I130" s="78" t="s">
        <v>0</v>
      </c>
      <c r="J130" s="78" t="s">
        <v>0</v>
      </c>
      <c r="K130" s="78" t="s">
        <v>0</v>
      </c>
      <c r="L130" s="78" t="s">
        <v>0</v>
      </c>
      <c r="M130" s="78" t="s">
        <v>0</v>
      </c>
      <c r="N130" s="78" t="s">
        <v>0</v>
      </c>
      <c r="O130" s="78" t="s">
        <v>0</v>
      </c>
      <c r="P130" s="78" t="s">
        <v>0</v>
      </c>
      <c r="Q130" s="78" t="s">
        <v>0</v>
      </c>
      <c r="R130" s="78" t="s">
        <v>0</v>
      </c>
      <c r="S130" s="78" t="s">
        <v>0</v>
      </c>
      <c r="T130" s="78" t="s">
        <v>0</v>
      </c>
      <c r="U130" s="78" t="s">
        <v>0</v>
      </c>
      <c r="V130" s="78" t="s">
        <v>0</v>
      </c>
      <c r="W130" s="78" t="s">
        <v>0</v>
      </c>
      <c r="X130" s="78" t="s">
        <v>0</v>
      </c>
      <c r="Y130" s="78" t="s">
        <v>0</v>
      </c>
      <c r="Z130" s="78" t="s">
        <v>0</v>
      </c>
      <c r="AA130" s="78" t="s">
        <v>0</v>
      </c>
      <c r="AB130" s="78" t="s">
        <v>0</v>
      </c>
      <c r="AC130" s="78" t="s">
        <v>0</v>
      </c>
      <c r="AD130" s="78" t="s">
        <v>0</v>
      </c>
      <c r="AE130" s="78" t="s">
        <v>0</v>
      </c>
      <c r="AF130" s="78" t="s">
        <v>0</v>
      </c>
      <c r="AG130" s="78" t="s">
        <v>0</v>
      </c>
      <c r="AH130" s="78" t="s">
        <v>0</v>
      </c>
      <c r="AI130" s="78" t="s">
        <v>0</v>
      </c>
      <c r="AJ130" s="78" t="s">
        <v>0</v>
      </c>
      <c r="AK130" s="78" t="s">
        <v>0</v>
      </c>
      <c r="AL130" s="78" t="s">
        <v>0</v>
      </c>
      <c r="AM130" s="78" t="s">
        <v>0</v>
      </c>
      <c r="AN130" s="78" t="s">
        <v>0</v>
      </c>
      <c r="AO130" s="78" t="s">
        <v>0</v>
      </c>
      <c r="AP130" s="78" t="s">
        <v>0</v>
      </c>
      <c r="AQ130" s="78" t="s">
        <v>0</v>
      </c>
      <c r="AR130" s="78" t="s">
        <v>0</v>
      </c>
      <c r="AS130" s="78" t="s">
        <v>0</v>
      </c>
      <c r="AT130" s="78" t="s">
        <v>0</v>
      </c>
      <c r="AU130" s="78" t="s">
        <v>0</v>
      </c>
      <c r="AV130" s="78" t="s">
        <v>0</v>
      </c>
      <c r="AW130" s="78" t="s">
        <v>0</v>
      </c>
      <c r="AX130" s="78" t="s">
        <v>0</v>
      </c>
      <c r="AY130" s="78" t="s">
        <v>0</v>
      </c>
      <c r="AZ130" s="78" t="s">
        <v>0</v>
      </c>
      <c r="BA130" s="78" t="s">
        <v>0</v>
      </c>
      <c r="BB130" s="78" t="s">
        <v>0</v>
      </c>
      <c r="BC130" s="78" t="s">
        <v>0</v>
      </c>
      <c r="BD130" s="78" t="s">
        <v>0</v>
      </c>
      <c r="BE130" s="78" t="s">
        <v>0</v>
      </c>
      <c r="BF130" s="78" t="s">
        <v>0</v>
      </c>
      <c r="BG130" s="78" t="s">
        <v>0</v>
      </c>
      <c r="BH130" s="78" t="s">
        <v>0</v>
      </c>
      <c r="BI130" s="78" t="s">
        <v>0</v>
      </c>
      <c r="BJ130" s="78" t="s">
        <v>0</v>
      </c>
    </row>
    <row r="131" spans="1:62" ht="12.75">
      <c r="A131" s="710">
        <v>733</v>
      </c>
      <c r="B131" s="44" t="s">
        <v>2344</v>
      </c>
      <c r="C131" s="325">
        <f>MOD(G$1,A131)</f>
        <v>96</v>
      </c>
      <c r="D131" s="82">
        <f>A131-C131</f>
        <v>637</v>
      </c>
      <c r="E131" s="76">
        <f>MOD(G$2,A131)</f>
        <v>203</v>
      </c>
      <c r="F131" s="78" t="s">
        <v>2407</v>
      </c>
      <c r="G131" s="78" t="s">
        <v>0</v>
      </c>
      <c r="H131" s="78" t="s">
        <v>0</v>
      </c>
      <c r="I131" s="78" t="s">
        <v>0</v>
      </c>
      <c r="J131" s="78" t="s">
        <v>0</v>
      </c>
      <c r="K131" s="78" t="s">
        <v>0</v>
      </c>
      <c r="L131" s="78" t="s">
        <v>0</v>
      </c>
      <c r="M131" s="78" t="s">
        <v>0</v>
      </c>
      <c r="N131" s="78" t="s">
        <v>0</v>
      </c>
      <c r="O131" s="78" t="s">
        <v>0</v>
      </c>
      <c r="P131" s="78" t="s">
        <v>0</v>
      </c>
      <c r="Q131" s="78" t="s">
        <v>0</v>
      </c>
      <c r="R131" s="78" t="s">
        <v>0</v>
      </c>
      <c r="S131" s="78" t="s">
        <v>0</v>
      </c>
      <c r="T131" s="78" t="s">
        <v>0</v>
      </c>
      <c r="U131" s="78" t="s">
        <v>0</v>
      </c>
      <c r="V131" s="78" t="s">
        <v>0</v>
      </c>
      <c r="W131" s="78" t="s">
        <v>0</v>
      </c>
      <c r="X131" s="78" t="s">
        <v>0</v>
      </c>
      <c r="Y131" s="78" t="s">
        <v>0</v>
      </c>
      <c r="Z131" s="78" t="s">
        <v>0</v>
      </c>
      <c r="AA131" s="78" t="s">
        <v>0</v>
      </c>
      <c r="AB131" s="78" t="s">
        <v>0</v>
      </c>
      <c r="AC131" s="78" t="s">
        <v>0</v>
      </c>
      <c r="AD131" s="78" t="s">
        <v>0</v>
      </c>
      <c r="AE131" s="78" t="s">
        <v>0</v>
      </c>
      <c r="AF131" s="78" t="s">
        <v>0</v>
      </c>
      <c r="AG131" s="78" t="s">
        <v>0</v>
      </c>
      <c r="AH131" s="78" t="s">
        <v>0</v>
      </c>
      <c r="AI131" s="78" t="s">
        <v>0</v>
      </c>
      <c r="AJ131" s="78" t="s">
        <v>0</v>
      </c>
      <c r="AK131" s="78" t="s">
        <v>0</v>
      </c>
      <c r="AL131" s="78" t="s">
        <v>0</v>
      </c>
      <c r="AM131" s="78" t="s">
        <v>0</v>
      </c>
      <c r="AN131" s="78" t="s">
        <v>0</v>
      </c>
      <c r="AO131" s="78" t="s">
        <v>0</v>
      </c>
      <c r="AP131" s="78" t="s">
        <v>0</v>
      </c>
      <c r="AQ131" s="78" t="s">
        <v>0</v>
      </c>
      <c r="AR131" s="78" t="s">
        <v>0</v>
      </c>
      <c r="AS131" s="78" t="s">
        <v>0</v>
      </c>
      <c r="AT131" s="78" t="s">
        <v>0</v>
      </c>
      <c r="AU131" s="78" t="s">
        <v>0</v>
      </c>
      <c r="AV131" s="78" t="s">
        <v>0</v>
      </c>
      <c r="AW131" s="78" t="s">
        <v>0</v>
      </c>
      <c r="AX131" s="78" t="s">
        <v>0</v>
      </c>
      <c r="AY131" s="78" t="s">
        <v>0</v>
      </c>
      <c r="AZ131" s="78" t="s">
        <v>0</v>
      </c>
      <c r="BA131" s="78" t="s">
        <v>0</v>
      </c>
      <c r="BB131" s="78" t="s">
        <v>0</v>
      </c>
      <c r="BC131" s="78" t="s">
        <v>0</v>
      </c>
      <c r="BD131" s="78" t="s">
        <v>0</v>
      </c>
      <c r="BE131" s="78" t="s">
        <v>0</v>
      </c>
      <c r="BF131" s="78" t="s">
        <v>0</v>
      </c>
      <c r="BG131" s="78" t="s">
        <v>0</v>
      </c>
      <c r="BH131" s="78" t="s">
        <v>0</v>
      </c>
      <c r="BI131" s="78" t="s">
        <v>0</v>
      </c>
      <c r="BJ131" s="78" t="s">
        <v>0</v>
      </c>
    </row>
    <row r="132" spans="1:62" ht="12.75">
      <c r="A132" s="710">
        <v>739</v>
      </c>
      <c r="B132" s="44" t="s">
        <v>2345</v>
      </c>
      <c r="C132" s="325">
        <f>MOD(G$1,A132)</f>
        <v>95</v>
      </c>
      <c r="D132" s="82">
        <f>A132-C132</f>
        <v>644</v>
      </c>
      <c r="E132" s="76">
        <f>MOD(G$2,A132)</f>
        <v>196</v>
      </c>
      <c r="F132" s="78" t="s">
        <v>2411</v>
      </c>
      <c r="G132" s="78" t="s">
        <v>0</v>
      </c>
      <c r="H132" s="78" t="s">
        <v>0</v>
      </c>
      <c r="I132" s="78" t="s">
        <v>0</v>
      </c>
      <c r="J132" s="78" t="s">
        <v>0</v>
      </c>
      <c r="K132" s="78" t="s">
        <v>0</v>
      </c>
      <c r="L132" s="78" t="s">
        <v>0</v>
      </c>
      <c r="M132" s="78" t="s">
        <v>0</v>
      </c>
      <c r="N132" s="78" t="s">
        <v>0</v>
      </c>
      <c r="O132" s="78" t="s">
        <v>0</v>
      </c>
      <c r="P132" s="78" t="s">
        <v>0</v>
      </c>
      <c r="Q132" s="78" t="s">
        <v>0</v>
      </c>
      <c r="R132" s="78" t="s">
        <v>0</v>
      </c>
      <c r="S132" s="78" t="s">
        <v>0</v>
      </c>
      <c r="T132" s="78" t="s">
        <v>0</v>
      </c>
      <c r="U132" s="78" t="s">
        <v>0</v>
      </c>
      <c r="V132" s="78" t="s">
        <v>0</v>
      </c>
      <c r="W132" s="78" t="s">
        <v>0</v>
      </c>
      <c r="X132" s="78" t="s">
        <v>0</v>
      </c>
      <c r="Y132" s="78" t="s">
        <v>0</v>
      </c>
      <c r="Z132" s="78" t="s">
        <v>0</v>
      </c>
      <c r="AA132" s="78" t="s">
        <v>0</v>
      </c>
      <c r="AB132" s="78" t="s">
        <v>0</v>
      </c>
      <c r="AC132" s="78" t="s">
        <v>0</v>
      </c>
      <c r="AD132" s="78" t="s">
        <v>0</v>
      </c>
      <c r="AE132" s="78" t="s">
        <v>0</v>
      </c>
      <c r="AF132" s="78" t="s">
        <v>0</v>
      </c>
      <c r="AG132" s="78" t="s">
        <v>0</v>
      </c>
      <c r="AH132" s="78" t="s">
        <v>0</v>
      </c>
      <c r="AI132" s="78" t="s">
        <v>0</v>
      </c>
      <c r="AJ132" s="78" t="s">
        <v>0</v>
      </c>
      <c r="AK132" s="78" t="s">
        <v>0</v>
      </c>
      <c r="AL132" s="78" t="s">
        <v>0</v>
      </c>
      <c r="AM132" s="78" t="s">
        <v>0</v>
      </c>
      <c r="AN132" s="78" t="s">
        <v>0</v>
      </c>
      <c r="AO132" s="78" t="s">
        <v>0</v>
      </c>
      <c r="AP132" s="78" t="s">
        <v>0</v>
      </c>
      <c r="AQ132" s="78" t="s">
        <v>0</v>
      </c>
      <c r="AR132" s="78" t="s">
        <v>0</v>
      </c>
      <c r="AS132" s="78" t="s">
        <v>0</v>
      </c>
      <c r="AT132" s="78" t="s">
        <v>0</v>
      </c>
      <c r="AU132" s="78" t="s">
        <v>0</v>
      </c>
      <c r="AV132" s="78" t="s">
        <v>0</v>
      </c>
      <c r="AW132" s="78" t="s">
        <v>0</v>
      </c>
      <c r="AX132" s="78" t="s">
        <v>0</v>
      </c>
      <c r="AY132" s="78" t="s">
        <v>0</v>
      </c>
      <c r="AZ132" s="78" t="s">
        <v>0</v>
      </c>
      <c r="BA132" s="78" t="s">
        <v>0</v>
      </c>
      <c r="BB132" s="78" t="s">
        <v>0</v>
      </c>
      <c r="BC132" s="78" t="s">
        <v>0</v>
      </c>
      <c r="BD132" s="78" t="s">
        <v>0</v>
      </c>
      <c r="BE132" s="78" t="s">
        <v>0</v>
      </c>
      <c r="BF132" s="78" t="s">
        <v>0</v>
      </c>
      <c r="BG132" s="78" t="s">
        <v>0</v>
      </c>
      <c r="BH132" s="78" t="s">
        <v>0</v>
      </c>
      <c r="BI132" s="78" t="s">
        <v>0</v>
      </c>
      <c r="BJ132" s="78" t="s">
        <v>0</v>
      </c>
    </row>
    <row r="133" spans="1:62" ht="12.75">
      <c r="A133" s="710">
        <v>743</v>
      </c>
      <c r="B133" s="44" t="s">
        <v>2346</v>
      </c>
      <c r="C133" s="325">
        <f>MOD(G$1,A133)</f>
        <v>150</v>
      </c>
      <c r="D133" s="82">
        <f>A133-C133</f>
        <v>593</v>
      </c>
      <c r="E133" s="76">
        <f>MOD(G$2,A133)</f>
        <v>247</v>
      </c>
      <c r="F133" s="78" t="s">
        <v>2343</v>
      </c>
      <c r="G133" s="78" t="s">
        <v>0</v>
      </c>
      <c r="H133" s="78" t="s">
        <v>0</v>
      </c>
      <c r="I133" s="78" t="s">
        <v>0</v>
      </c>
      <c r="J133" s="78" t="s">
        <v>0</v>
      </c>
      <c r="K133" s="78" t="s">
        <v>0</v>
      </c>
      <c r="L133" s="78" t="s">
        <v>0</v>
      </c>
      <c r="M133" s="78" t="s">
        <v>0</v>
      </c>
      <c r="N133" s="78" t="s">
        <v>0</v>
      </c>
      <c r="O133" s="78" t="s">
        <v>0</v>
      </c>
      <c r="P133" s="78" t="s">
        <v>0</v>
      </c>
      <c r="Q133" s="78" t="s">
        <v>0</v>
      </c>
      <c r="R133" s="78" t="s">
        <v>0</v>
      </c>
      <c r="S133" s="78" t="s">
        <v>0</v>
      </c>
      <c r="T133" s="78" t="s">
        <v>0</v>
      </c>
      <c r="U133" s="78" t="s">
        <v>0</v>
      </c>
      <c r="V133" s="78" t="s">
        <v>0</v>
      </c>
      <c r="W133" s="78" t="s">
        <v>0</v>
      </c>
      <c r="X133" s="78" t="s">
        <v>0</v>
      </c>
      <c r="Y133" s="78" t="s">
        <v>0</v>
      </c>
      <c r="Z133" s="78" t="s">
        <v>0</v>
      </c>
      <c r="AA133" s="78" t="s">
        <v>0</v>
      </c>
      <c r="AB133" s="78" t="s">
        <v>0</v>
      </c>
      <c r="AC133" s="78" t="s">
        <v>0</v>
      </c>
      <c r="AD133" s="78" t="s">
        <v>0</v>
      </c>
      <c r="AE133" s="78" t="s">
        <v>0</v>
      </c>
      <c r="AF133" s="78" t="s">
        <v>0</v>
      </c>
      <c r="AG133" s="78" t="s">
        <v>0</v>
      </c>
      <c r="AH133" s="78" t="s">
        <v>0</v>
      </c>
      <c r="AI133" s="78" t="s">
        <v>0</v>
      </c>
      <c r="AJ133" s="78" t="s">
        <v>0</v>
      </c>
      <c r="AK133" s="78" t="s">
        <v>0</v>
      </c>
      <c r="AL133" s="78" t="s">
        <v>0</v>
      </c>
      <c r="AM133" s="78" t="s">
        <v>0</v>
      </c>
      <c r="AN133" s="78" t="s">
        <v>0</v>
      </c>
      <c r="AO133" s="78" t="s">
        <v>0</v>
      </c>
      <c r="AP133" s="78" t="s">
        <v>0</v>
      </c>
      <c r="AQ133" s="78" t="s">
        <v>0</v>
      </c>
      <c r="AR133" s="78" t="s">
        <v>0</v>
      </c>
      <c r="AS133" s="78" t="s">
        <v>0</v>
      </c>
      <c r="AT133" s="78" t="s">
        <v>0</v>
      </c>
      <c r="AU133" s="78" t="s">
        <v>0</v>
      </c>
      <c r="AV133" s="78" t="s">
        <v>0</v>
      </c>
      <c r="AW133" s="78" t="s">
        <v>0</v>
      </c>
      <c r="AX133" s="78" t="s">
        <v>0</v>
      </c>
      <c r="AY133" s="78" t="s">
        <v>0</v>
      </c>
      <c r="AZ133" s="78" t="s">
        <v>0</v>
      </c>
      <c r="BA133" s="78" t="s">
        <v>0</v>
      </c>
      <c r="BB133" s="78" t="s">
        <v>0</v>
      </c>
      <c r="BC133" s="78" t="s">
        <v>0</v>
      </c>
      <c r="BD133" s="78" t="s">
        <v>0</v>
      </c>
      <c r="BE133" s="78" t="s">
        <v>0</v>
      </c>
      <c r="BF133" s="78" t="s">
        <v>0</v>
      </c>
      <c r="BG133" s="78" t="s">
        <v>0</v>
      </c>
      <c r="BH133" s="78" t="s">
        <v>0</v>
      </c>
      <c r="BI133" s="78" t="s">
        <v>0</v>
      </c>
      <c r="BJ133" s="78" t="s">
        <v>0</v>
      </c>
    </row>
    <row r="134" spans="1:62" ht="12.75">
      <c r="A134" s="710">
        <v>751</v>
      </c>
      <c r="B134" s="44" t="s">
        <v>2348</v>
      </c>
      <c r="C134" s="325">
        <f>MOD(G$1,A134)</f>
        <v>31</v>
      </c>
      <c r="D134" s="82">
        <f>A134-C134</f>
        <v>720</v>
      </c>
      <c r="E134" s="76">
        <f>MOD(G$2,A134)</f>
        <v>120</v>
      </c>
      <c r="F134" s="78" t="s">
        <v>2256</v>
      </c>
      <c r="G134" s="78" t="s">
        <v>0</v>
      </c>
      <c r="H134" s="78" t="s">
        <v>0</v>
      </c>
      <c r="I134" s="78" t="s">
        <v>0</v>
      </c>
      <c r="J134" s="78" t="s">
        <v>0</v>
      </c>
      <c r="K134" s="78" t="s">
        <v>0</v>
      </c>
      <c r="L134" s="78" t="s">
        <v>0</v>
      </c>
      <c r="M134" s="78" t="s">
        <v>0</v>
      </c>
      <c r="N134" s="78" t="s">
        <v>0</v>
      </c>
      <c r="O134" s="78" t="s">
        <v>0</v>
      </c>
      <c r="P134" s="78" t="s">
        <v>0</v>
      </c>
      <c r="Q134" s="78" t="s">
        <v>0</v>
      </c>
      <c r="R134" s="78" t="s">
        <v>0</v>
      </c>
      <c r="S134" s="78" t="s">
        <v>0</v>
      </c>
      <c r="T134" s="78" t="s">
        <v>0</v>
      </c>
      <c r="U134" s="78" t="s">
        <v>0</v>
      </c>
      <c r="V134" s="78" t="s">
        <v>0</v>
      </c>
      <c r="W134" s="78" t="s">
        <v>0</v>
      </c>
      <c r="X134" s="78" t="s">
        <v>0</v>
      </c>
      <c r="Y134" s="78" t="s">
        <v>0</v>
      </c>
      <c r="Z134" s="78" t="s">
        <v>0</v>
      </c>
      <c r="AA134" s="78" t="s">
        <v>0</v>
      </c>
      <c r="AB134" s="78" t="s">
        <v>0</v>
      </c>
      <c r="AC134" s="78" t="s">
        <v>0</v>
      </c>
      <c r="AD134" s="78" t="s">
        <v>0</v>
      </c>
      <c r="AE134" s="78" t="s">
        <v>0</v>
      </c>
      <c r="AF134" s="78" t="s">
        <v>0</v>
      </c>
      <c r="AG134" s="78" t="s">
        <v>0</v>
      </c>
      <c r="AH134" s="78" t="s">
        <v>0</v>
      </c>
      <c r="AI134" s="78" t="s">
        <v>0</v>
      </c>
      <c r="AJ134" s="78" t="s">
        <v>0</v>
      </c>
      <c r="AK134" s="78" t="s">
        <v>0</v>
      </c>
      <c r="AL134" s="78" t="s">
        <v>0</v>
      </c>
      <c r="AM134" s="78" t="s">
        <v>0</v>
      </c>
      <c r="AN134" s="78" t="s">
        <v>0</v>
      </c>
      <c r="AO134" s="78" t="s">
        <v>0</v>
      </c>
      <c r="AP134" s="78" t="s">
        <v>0</v>
      </c>
      <c r="AQ134" s="78" t="s">
        <v>0</v>
      </c>
      <c r="AR134" s="78" t="s">
        <v>0</v>
      </c>
      <c r="AS134" s="78" t="s">
        <v>0</v>
      </c>
      <c r="AT134" s="78" t="s">
        <v>0</v>
      </c>
      <c r="AU134" s="78" t="s">
        <v>0</v>
      </c>
      <c r="AV134" s="78" t="s">
        <v>0</v>
      </c>
      <c r="AW134" s="78" t="s">
        <v>0</v>
      </c>
      <c r="AX134" s="78" t="s">
        <v>0</v>
      </c>
      <c r="AY134" s="78" t="s">
        <v>0</v>
      </c>
      <c r="AZ134" s="78" t="s">
        <v>0</v>
      </c>
      <c r="BA134" s="78" t="s">
        <v>0</v>
      </c>
      <c r="BB134" s="78" t="s">
        <v>0</v>
      </c>
      <c r="BC134" s="78" t="s">
        <v>0</v>
      </c>
      <c r="BD134" s="78" t="s">
        <v>0</v>
      </c>
      <c r="BE134" s="78" t="s">
        <v>0</v>
      </c>
      <c r="BF134" s="78" t="s">
        <v>0</v>
      </c>
      <c r="BG134" s="78" t="s">
        <v>0</v>
      </c>
      <c r="BH134" s="78" t="s">
        <v>0</v>
      </c>
      <c r="BI134" s="78" t="s">
        <v>0</v>
      </c>
      <c r="BJ134" s="78" t="s">
        <v>0</v>
      </c>
    </row>
    <row r="135" spans="1:62" ht="12.75">
      <c r="A135" s="710">
        <v>757</v>
      </c>
      <c r="B135" s="44" t="s">
        <v>2350</v>
      </c>
      <c r="C135" s="325">
        <f>MOD(G$1,A135)</f>
        <v>16</v>
      </c>
      <c r="D135" s="82">
        <f>A135-C135</f>
        <v>741</v>
      </c>
      <c r="E135" s="76">
        <f>MOD(G$2,A135)</f>
        <v>99</v>
      </c>
      <c r="F135" s="78" t="s">
        <v>2306</v>
      </c>
      <c r="G135" s="78" t="s">
        <v>0</v>
      </c>
      <c r="H135" s="78" t="s">
        <v>0</v>
      </c>
      <c r="I135" s="78" t="s">
        <v>0</v>
      </c>
      <c r="J135" s="78" t="s">
        <v>0</v>
      </c>
      <c r="K135" s="78" t="s">
        <v>0</v>
      </c>
      <c r="L135" s="78" t="s">
        <v>0</v>
      </c>
      <c r="M135" s="78" t="s">
        <v>0</v>
      </c>
      <c r="N135" s="78" t="s">
        <v>0</v>
      </c>
      <c r="O135" s="78" t="s">
        <v>0</v>
      </c>
      <c r="P135" s="78" t="s">
        <v>0</v>
      </c>
      <c r="Q135" s="78" t="s">
        <v>0</v>
      </c>
      <c r="R135" s="78" t="s">
        <v>0</v>
      </c>
      <c r="S135" s="78" t="s">
        <v>0</v>
      </c>
      <c r="T135" s="78" t="s">
        <v>0</v>
      </c>
      <c r="U135" s="78" t="s">
        <v>0</v>
      </c>
      <c r="V135" s="78" t="s">
        <v>0</v>
      </c>
      <c r="W135" s="78" t="s">
        <v>0</v>
      </c>
      <c r="X135" s="78" t="s">
        <v>0</v>
      </c>
      <c r="Y135" s="78" t="s">
        <v>0</v>
      </c>
      <c r="Z135" s="78" t="s">
        <v>0</v>
      </c>
      <c r="AA135" s="78" t="s">
        <v>0</v>
      </c>
      <c r="AB135" s="78" t="s">
        <v>0</v>
      </c>
      <c r="AC135" s="78" t="s">
        <v>0</v>
      </c>
      <c r="AD135" s="78" t="s">
        <v>0</v>
      </c>
      <c r="AE135" s="78" t="s">
        <v>0</v>
      </c>
      <c r="AF135" s="78" t="s">
        <v>0</v>
      </c>
      <c r="AG135" s="78" t="s">
        <v>0</v>
      </c>
      <c r="AH135" s="78" t="s">
        <v>0</v>
      </c>
      <c r="AI135" s="78" t="s">
        <v>0</v>
      </c>
      <c r="AJ135" s="78" t="s">
        <v>0</v>
      </c>
      <c r="AK135" s="78" t="s">
        <v>0</v>
      </c>
      <c r="AL135" s="78" t="s">
        <v>0</v>
      </c>
      <c r="AM135" s="78" t="s">
        <v>0</v>
      </c>
      <c r="AN135" s="78" t="s">
        <v>0</v>
      </c>
      <c r="AO135" s="78" t="s">
        <v>0</v>
      </c>
      <c r="AP135" s="78" t="s">
        <v>0</v>
      </c>
      <c r="AQ135" s="78" t="s">
        <v>0</v>
      </c>
      <c r="AR135" s="78" t="s">
        <v>0</v>
      </c>
      <c r="AS135" s="78" t="s">
        <v>0</v>
      </c>
      <c r="AT135" s="78" t="s">
        <v>0</v>
      </c>
      <c r="AU135" s="78" t="s">
        <v>0</v>
      </c>
      <c r="AV135" s="78" t="s">
        <v>0</v>
      </c>
      <c r="AW135" s="78" t="s">
        <v>0</v>
      </c>
      <c r="AX135" s="78" t="s">
        <v>0</v>
      </c>
      <c r="AY135" s="78" t="s">
        <v>0</v>
      </c>
      <c r="AZ135" s="78" t="s">
        <v>0</v>
      </c>
      <c r="BA135" s="78" t="s">
        <v>0</v>
      </c>
      <c r="BB135" s="78" t="s">
        <v>0</v>
      </c>
      <c r="BC135" s="78" t="s">
        <v>0</v>
      </c>
      <c r="BD135" s="78" t="s">
        <v>0</v>
      </c>
      <c r="BE135" s="78" t="s">
        <v>0</v>
      </c>
      <c r="BF135" s="78" t="s">
        <v>0</v>
      </c>
      <c r="BG135" s="78" t="s">
        <v>0</v>
      </c>
      <c r="BH135" s="78" t="s">
        <v>0</v>
      </c>
      <c r="BI135" s="78" t="s">
        <v>0</v>
      </c>
      <c r="BJ135" s="78" t="s">
        <v>0</v>
      </c>
    </row>
    <row r="136" spans="1:62" ht="12.75">
      <c r="A136" s="710">
        <v>761</v>
      </c>
      <c r="B136" s="44" t="s">
        <v>2351</v>
      </c>
      <c r="C136" s="325">
        <f>MOD(G$1,A136)</f>
        <v>451</v>
      </c>
      <c r="D136" s="82">
        <f>A136-C136</f>
        <v>310</v>
      </c>
      <c r="E136" s="76">
        <f>MOD(G$2,A136)</f>
        <v>530</v>
      </c>
      <c r="F136" s="78" t="s">
        <v>2367</v>
      </c>
      <c r="G136" s="78" t="s">
        <v>0</v>
      </c>
      <c r="H136" s="78" t="s">
        <v>0</v>
      </c>
      <c r="I136" s="78" t="s">
        <v>0</v>
      </c>
      <c r="J136" s="78" t="s">
        <v>0</v>
      </c>
      <c r="K136" s="78" t="s">
        <v>0</v>
      </c>
      <c r="L136" s="78" t="s">
        <v>0</v>
      </c>
      <c r="M136" s="78" t="s">
        <v>0</v>
      </c>
      <c r="N136" s="78" t="s">
        <v>0</v>
      </c>
      <c r="O136" s="78" t="s">
        <v>0</v>
      </c>
      <c r="P136" s="78" t="s">
        <v>0</v>
      </c>
      <c r="Q136" s="78" t="s">
        <v>0</v>
      </c>
      <c r="R136" s="78" t="s">
        <v>0</v>
      </c>
      <c r="S136" s="78" t="s">
        <v>0</v>
      </c>
      <c r="T136" s="78" t="s">
        <v>0</v>
      </c>
      <c r="U136" s="78" t="s">
        <v>0</v>
      </c>
      <c r="V136" s="78" t="s">
        <v>0</v>
      </c>
      <c r="W136" s="78" t="s">
        <v>0</v>
      </c>
      <c r="X136" s="78" t="s">
        <v>0</v>
      </c>
      <c r="Y136" s="78" t="s">
        <v>0</v>
      </c>
      <c r="Z136" s="78" t="s">
        <v>0</v>
      </c>
      <c r="AA136" s="78" t="s">
        <v>0</v>
      </c>
      <c r="AB136" s="78" t="s">
        <v>0</v>
      </c>
      <c r="AC136" s="78" t="s">
        <v>0</v>
      </c>
      <c r="AD136" s="78" t="s">
        <v>0</v>
      </c>
      <c r="AE136" s="78" t="s">
        <v>0</v>
      </c>
      <c r="AF136" s="78" t="s">
        <v>0</v>
      </c>
      <c r="AG136" s="78" t="s">
        <v>0</v>
      </c>
      <c r="AH136" s="78" t="s">
        <v>0</v>
      </c>
      <c r="AI136" s="78" t="s">
        <v>0</v>
      </c>
      <c r="AJ136" s="78" t="s">
        <v>0</v>
      </c>
      <c r="AK136" s="78" t="s">
        <v>0</v>
      </c>
      <c r="AL136" s="78" t="s">
        <v>0</v>
      </c>
      <c r="AM136" s="78" t="s">
        <v>0</v>
      </c>
      <c r="AN136" s="78" t="s">
        <v>0</v>
      </c>
      <c r="AO136" s="78" t="s">
        <v>0</v>
      </c>
      <c r="AP136" s="78" t="s">
        <v>0</v>
      </c>
      <c r="AQ136" s="78" t="s">
        <v>0</v>
      </c>
      <c r="AR136" s="78" t="s">
        <v>0</v>
      </c>
      <c r="AS136" s="78" t="s">
        <v>0</v>
      </c>
      <c r="AT136" s="78" t="s">
        <v>0</v>
      </c>
      <c r="AU136" s="78" t="s">
        <v>0</v>
      </c>
      <c r="AV136" s="78" t="s">
        <v>0</v>
      </c>
      <c r="AW136" s="78" t="s">
        <v>0</v>
      </c>
      <c r="AX136" s="78" t="s">
        <v>0</v>
      </c>
      <c r="AY136" s="78" t="s">
        <v>0</v>
      </c>
      <c r="AZ136" s="78" t="s">
        <v>0</v>
      </c>
      <c r="BA136" s="78" t="s">
        <v>0</v>
      </c>
      <c r="BB136" s="78" t="s">
        <v>0</v>
      </c>
      <c r="BC136" s="78" t="s">
        <v>0</v>
      </c>
      <c r="BD136" s="78" t="s">
        <v>0</v>
      </c>
      <c r="BE136" s="78" t="s">
        <v>0</v>
      </c>
      <c r="BF136" s="78" t="s">
        <v>0</v>
      </c>
      <c r="BG136" s="78" t="s">
        <v>0</v>
      </c>
      <c r="BH136" s="78" t="s">
        <v>0</v>
      </c>
      <c r="BI136" s="78" t="s">
        <v>0</v>
      </c>
      <c r="BJ136" s="78" t="s">
        <v>0</v>
      </c>
    </row>
    <row r="137" spans="1:62" ht="12.75">
      <c r="A137" s="710">
        <v>769</v>
      </c>
      <c r="B137" s="44" t="s">
        <v>2352</v>
      </c>
      <c r="C137" s="325">
        <f>MOD(G$1,A137)</f>
        <v>129</v>
      </c>
      <c r="D137" s="82">
        <f>A137-C137</f>
        <v>640</v>
      </c>
      <c r="E137" s="76">
        <f>MOD(G$2,A137)</f>
        <v>200</v>
      </c>
      <c r="F137" s="78" t="s">
        <v>2391</v>
      </c>
      <c r="G137" s="78" t="s">
        <v>0</v>
      </c>
      <c r="H137" s="78" t="s">
        <v>0</v>
      </c>
      <c r="I137" s="78" t="s">
        <v>0</v>
      </c>
      <c r="J137" s="78" t="s">
        <v>0</v>
      </c>
      <c r="K137" s="78" t="s">
        <v>0</v>
      </c>
      <c r="L137" s="78" t="s">
        <v>0</v>
      </c>
      <c r="M137" s="78" t="s">
        <v>0</v>
      </c>
      <c r="N137" s="78" t="s">
        <v>0</v>
      </c>
      <c r="O137" s="78" t="s">
        <v>0</v>
      </c>
      <c r="P137" s="78" t="s">
        <v>0</v>
      </c>
      <c r="Q137" s="78" t="s">
        <v>0</v>
      </c>
      <c r="R137" s="78" t="s">
        <v>0</v>
      </c>
      <c r="S137" s="78" t="s">
        <v>0</v>
      </c>
      <c r="T137" s="78" t="s">
        <v>0</v>
      </c>
      <c r="U137" s="78" t="s">
        <v>0</v>
      </c>
      <c r="V137" s="78" t="s">
        <v>0</v>
      </c>
      <c r="W137" s="78" t="s">
        <v>0</v>
      </c>
      <c r="X137" s="78" t="s">
        <v>0</v>
      </c>
      <c r="Y137" s="78" t="s">
        <v>0</v>
      </c>
      <c r="Z137" s="78" t="s">
        <v>0</v>
      </c>
      <c r="AA137" s="78" t="s">
        <v>0</v>
      </c>
      <c r="AB137" s="78" t="s">
        <v>0</v>
      </c>
      <c r="AC137" s="78" t="s">
        <v>0</v>
      </c>
      <c r="AD137" s="78" t="s">
        <v>0</v>
      </c>
      <c r="AE137" s="78" t="s">
        <v>0</v>
      </c>
      <c r="AF137" s="78" t="s">
        <v>0</v>
      </c>
      <c r="AG137" s="78" t="s">
        <v>0</v>
      </c>
      <c r="AH137" s="78" t="s">
        <v>0</v>
      </c>
      <c r="AI137" s="78" t="s">
        <v>0</v>
      </c>
      <c r="AJ137" s="78" t="s">
        <v>0</v>
      </c>
      <c r="AK137" s="78" t="s">
        <v>0</v>
      </c>
      <c r="AL137" s="78" t="s">
        <v>0</v>
      </c>
      <c r="AM137" s="78" t="s">
        <v>0</v>
      </c>
      <c r="AN137" s="78" t="s">
        <v>0</v>
      </c>
      <c r="AO137" s="78" t="s">
        <v>0</v>
      </c>
      <c r="AP137" s="78" t="s">
        <v>0</v>
      </c>
      <c r="AQ137" s="78" t="s">
        <v>0</v>
      </c>
      <c r="AR137" s="78" t="s">
        <v>0</v>
      </c>
      <c r="AS137" s="78" t="s">
        <v>0</v>
      </c>
      <c r="AT137" s="78" t="s">
        <v>0</v>
      </c>
      <c r="AU137" s="78" t="s">
        <v>0</v>
      </c>
      <c r="AV137" s="78" t="s">
        <v>0</v>
      </c>
      <c r="AW137" s="78" t="s">
        <v>0</v>
      </c>
      <c r="AX137" s="78" t="s">
        <v>0</v>
      </c>
      <c r="AY137" s="78" t="s">
        <v>0</v>
      </c>
      <c r="AZ137" s="78" t="s">
        <v>0</v>
      </c>
      <c r="BA137" s="78" t="s">
        <v>0</v>
      </c>
      <c r="BB137" s="78" t="s">
        <v>0</v>
      </c>
      <c r="BC137" s="78" t="s">
        <v>0</v>
      </c>
      <c r="BD137" s="78" t="s">
        <v>0</v>
      </c>
      <c r="BE137" s="78" t="s">
        <v>0</v>
      </c>
      <c r="BF137" s="78" t="s">
        <v>0</v>
      </c>
      <c r="BG137" s="78" t="s">
        <v>0</v>
      </c>
      <c r="BH137" s="78" t="s">
        <v>0</v>
      </c>
      <c r="BI137" s="78" t="s">
        <v>0</v>
      </c>
      <c r="BJ137" s="78" t="s">
        <v>0</v>
      </c>
    </row>
    <row r="138" spans="1:62" ht="12.75">
      <c r="A138" s="710">
        <v>773</v>
      </c>
      <c r="B138" s="44" t="s">
        <v>2354</v>
      </c>
      <c r="C138" s="325">
        <f>MOD(G$1,A138)</f>
        <v>692</v>
      </c>
      <c r="D138" s="82">
        <f>A138-C138</f>
        <v>81</v>
      </c>
      <c r="E138" s="76">
        <f>MOD(G$2,A138)</f>
        <v>759</v>
      </c>
      <c r="F138" s="78" t="s">
        <v>2081</v>
      </c>
      <c r="G138" s="78" t="s">
        <v>0</v>
      </c>
      <c r="H138" s="78" t="s">
        <v>0</v>
      </c>
      <c r="I138" s="78" t="s">
        <v>0</v>
      </c>
      <c r="J138" s="78" t="s">
        <v>0</v>
      </c>
      <c r="K138" s="78" t="s">
        <v>0</v>
      </c>
      <c r="L138" s="78" t="s">
        <v>0</v>
      </c>
      <c r="M138" s="78" t="s">
        <v>0</v>
      </c>
      <c r="N138" s="78" t="s">
        <v>0</v>
      </c>
      <c r="O138" s="78" t="s">
        <v>0</v>
      </c>
      <c r="P138" s="78" t="s">
        <v>0</v>
      </c>
      <c r="Q138" s="78" t="s">
        <v>0</v>
      </c>
      <c r="R138" s="78" t="s">
        <v>0</v>
      </c>
      <c r="S138" s="78" t="s">
        <v>0</v>
      </c>
      <c r="T138" s="78" t="s">
        <v>0</v>
      </c>
      <c r="U138" s="78" t="s">
        <v>0</v>
      </c>
      <c r="V138" s="78" t="s">
        <v>0</v>
      </c>
      <c r="W138" s="78" t="s">
        <v>0</v>
      </c>
      <c r="X138" s="78" t="s">
        <v>0</v>
      </c>
      <c r="Y138" s="78" t="s">
        <v>0</v>
      </c>
      <c r="Z138" s="78" t="s">
        <v>0</v>
      </c>
      <c r="AA138" s="78" t="s">
        <v>0</v>
      </c>
      <c r="AB138" s="78" t="s">
        <v>0</v>
      </c>
      <c r="AC138" s="78" t="s">
        <v>0</v>
      </c>
      <c r="AD138" s="78" t="s">
        <v>0</v>
      </c>
      <c r="AE138" s="78" t="s">
        <v>0</v>
      </c>
      <c r="AF138" s="78" t="s">
        <v>0</v>
      </c>
      <c r="AG138" s="78" t="s">
        <v>0</v>
      </c>
      <c r="AH138" s="78" t="s">
        <v>0</v>
      </c>
      <c r="AI138" s="78" t="s">
        <v>0</v>
      </c>
      <c r="AJ138" s="78" t="s">
        <v>0</v>
      </c>
      <c r="AK138" s="78" t="s">
        <v>0</v>
      </c>
      <c r="AL138" s="78" t="s">
        <v>0</v>
      </c>
      <c r="AM138" s="78" t="s">
        <v>0</v>
      </c>
      <c r="AN138" s="78" t="s">
        <v>0</v>
      </c>
      <c r="AO138" s="78" t="s">
        <v>0</v>
      </c>
      <c r="AP138" s="78" t="s">
        <v>0</v>
      </c>
      <c r="AQ138" s="78" t="s">
        <v>0</v>
      </c>
      <c r="AR138" s="78" t="s">
        <v>0</v>
      </c>
      <c r="AS138" s="78" t="s">
        <v>0</v>
      </c>
      <c r="AT138" s="78" t="s">
        <v>0</v>
      </c>
      <c r="AU138" s="78" t="s">
        <v>0</v>
      </c>
      <c r="AV138" s="78" t="s">
        <v>0</v>
      </c>
      <c r="AW138" s="78" t="s">
        <v>0</v>
      </c>
      <c r="AX138" s="78" t="s">
        <v>0</v>
      </c>
      <c r="AY138" s="78" t="s">
        <v>0</v>
      </c>
      <c r="AZ138" s="78" t="s">
        <v>0</v>
      </c>
      <c r="BA138" s="78" t="s">
        <v>0</v>
      </c>
      <c r="BB138" s="78" t="s">
        <v>0</v>
      </c>
      <c r="BC138" s="78" t="s">
        <v>0</v>
      </c>
      <c r="BD138" s="78" t="s">
        <v>0</v>
      </c>
      <c r="BE138" s="78" t="s">
        <v>0</v>
      </c>
      <c r="BF138" s="78" t="s">
        <v>0</v>
      </c>
      <c r="BG138" s="78" t="s">
        <v>0</v>
      </c>
      <c r="BH138" s="78" t="s">
        <v>0</v>
      </c>
      <c r="BI138" s="78" t="s">
        <v>0</v>
      </c>
      <c r="BJ138" s="78" t="s">
        <v>0</v>
      </c>
    </row>
    <row r="139" spans="1:62" ht="12.75">
      <c r="A139" s="710">
        <v>787</v>
      </c>
      <c r="B139" s="44" t="s">
        <v>2357</v>
      </c>
      <c r="C139" s="325">
        <f>MOD(G$1,A139)</f>
        <v>0</v>
      </c>
      <c r="D139" s="82">
        <f>A139-C139</f>
        <v>787</v>
      </c>
      <c r="E139" s="76">
        <f>MOD(G$2,A139)</f>
        <v>53</v>
      </c>
      <c r="F139" s="78" t="s">
        <v>2358</v>
      </c>
      <c r="G139" s="78" t="s">
        <v>0</v>
      </c>
      <c r="H139" s="78" t="s">
        <v>0</v>
      </c>
      <c r="I139" s="78" t="s">
        <v>0</v>
      </c>
      <c r="J139" s="78" t="s">
        <v>0</v>
      </c>
      <c r="K139" s="78" t="s">
        <v>0</v>
      </c>
      <c r="L139" s="78" t="s">
        <v>0</v>
      </c>
      <c r="M139" s="78" t="s">
        <v>0</v>
      </c>
      <c r="N139" s="78" t="s">
        <v>0</v>
      </c>
      <c r="O139" s="78" t="s">
        <v>0</v>
      </c>
      <c r="P139" s="78" t="s">
        <v>0</v>
      </c>
      <c r="Q139" s="78" t="s">
        <v>0</v>
      </c>
      <c r="R139" s="78" t="s">
        <v>0</v>
      </c>
      <c r="S139" s="78" t="s">
        <v>0</v>
      </c>
      <c r="T139" s="78" t="s">
        <v>0</v>
      </c>
      <c r="U139" s="78" t="s">
        <v>0</v>
      </c>
      <c r="V139" s="78" t="s">
        <v>0</v>
      </c>
      <c r="W139" s="78" t="s">
        <v>0</v>
      </c>
      <c r="X139" s="78" t="s">
        <v>0</v>
      </c>
      <c r="Y139" s="78" t="s">
        <v>0</v>
      </c>
      <c r="Z139" s="78" t="s">
        <v>0</v>
      </c>
      <c r="AA139" s="78" t="s">
        <v>0</v>
      </c>
      <c r="AB139" s="78" t="s">
        <v>0</v>
      </c>
      <c r="AC139" s="78" t="s">
        <v>0</v>
      </c>
      <c r="AD139" s="78" t="s">
        <v>0</v>
      </c>
      <c r="AE139" s="78" t="s">
        <v>0</v>
      </c>
      <c r="AF139" s="78" t="s">
        <v>0</v>
      </c>
      <c r="AG139" s="78" t="s">
        <v>0</v>
      </c>
      <c r="AH139" s="78" t="s">
        <v>0</v>
      </c>
      <c r="AI139" s="78" t="s">
        <v>0</v>
      </c>
      <c r="AJ139" s="78" t="s">
        <v>0</v>
      </c>
      <c r="AK139" s="78" t="s">
        <v>0</v>
      </c>
      <c r="AL139" s="78" t="s">
        <v>0</v>
      </c>
      <c r="AM139" s="78" t="s">
        <v>0</v>
      </c>
      <c r="AN139" s="78" t="s">
        <v>0</v>
      </c>
      <c r="AO139" s="78" t="s">
        <v>0</v>
      </c>
      <c r="AP139" s="78" t="s">
        <v>0</v>
      </c>
      <c r="AQ139" s="78" t="s">
        <v>0</v>
      </c>
      <c r="AR139" s="78" t="s">
        <v>0</v>
      </c>
      <c r="AS139" s="78" t="s">
        <v>0</v>
      </c>
      <c r="AT139" s="78" t="s">
        <v>0</v>
      </c>
      <c r="AU139" s="78" t="s">
        <v>0</v>
      </c>
      <c r="AV139" s="78" t="s">
        <v>0</v>
      </c>
      <c r="AW139" s="78" t="s">
        <v>0</v>
      </c>
      <c r="AX139" s="78" t="s">
        <v>0</v>
      </c>
      <c r="AY139" s="78" t="s">
        <v>0</v>
      </c>
      <c r="AZ139" s="78" t="s">
        <v>0</v>
      </c>
      <c r="BA139" s="78" t="s">
        <v>0</v>
      </c>
      <c r="BB139" s="78" t="s">
        <v>0</v>
      </c>
      <c r="BC139" s="78" t="s">
        <v>0</v>
      </c>
      <c r="BD139" s="78" t="s">
        <v>0</v>
      </c>
      <c r="BE139" s="78" t="s">
        <v>0</v>
      </c>
      <c r="BF139" s="78" t="s">
        <v>0</v>
      </c>
      <c r="BG139" s="78" t="s">
        <v>0</v>
      </c>
      <c r="BH139" s="78" t="s">
        <v>0</v>
      </c>
      <c r="BI139" s="78" t="s">
        <v>0</v>
      </c>
      <c r="BJ139" s="78" t="s">
        <v>0</v>
      </c>
    </row>
    <row r="140" spans="1:62" ht="12.75">
      <c r="A140" s="710">
        <v>797</v>
      </c>
      <c r="B140" s="44" t="s">
        <v>2361</v>
      </c>
      <c r="C140" s="325">
        <f>MOD(G$1,A140)</f>
        <v>1</v>
      </c>
      <c r="D140" s="82">
        <f>A140-C140</f>
        <v>796</v>
      </c>
      <c r="E140" s="76">
        <f>MOD(G$2,A140)</f>
        <v>44</v>
      </c>
      <c r="F140" s="78" t="s">
        <v>2359</v>
      </c>
      <c r="G140" s="78" t="s">
        <v>0</v>
      </c>
      <c r="H140" s="78" t="s">
        <v>0</v>
      </c>
      <c r="I140" s="78" t="s">
        <v>0</v>
      </c>
      <c r="J140" s="78" t="s">
        <v>0</v>
      </c>
      <c r="K140" s="78" t="s">
        <v>0</v>
      </c>
      <c r="L140" s="78" t="s">
        <v>0</v>
      </c>
      <c r="M140" s="78" t="s">
        <v>0</v>
      </c>
      <c r="N140" s="78" t="s">
        <v>0</v>
      </c>
      <c r="O140" s="78" t="s">
        <v>0</v>
      </c>
      <c r="P140" s="78" t="s">
        <v>0</v>
      </c>
      <c r="Q140" s="78" t="s">
        <v>0</v>
      </c>
      <c r="R140" s="78" t="s">
        <v>0</v>
      </c>
      <c r="S140" s="78" t="s">
        <v>0</v>
      </c>
      <c r="T140" s="78" t="s">
        <v>0</v>
      </c>
      <c r="U140" s="78" t="s">
        <v>0</v>
      </c>
      <c r="V140" s="78" t="s">
        <v>0</v>
      </c>
      <c r="W140" s="78" t="s">
        <v>0</v>
      </c>
      <c r="X140" s="78" t="s">
        <v>0</v>
      </c>
      <c r="Y140" s="78" t="s">
        <v>0</v>
      </c>
      <c r="Z140" s="78" t="s">
        <v>0</v>
      </c>
      <c r="AA140" s="78" t="s">
        <v>0</v>
      </c>
      <c r="AB140" s="78" t="s">
        <v>0</v>
      </c>
      <c r="AC140" s="78" t="s">
        <v>0</v>
      </c>
      <c r="AD140" s="78" t="s">
        <v>0</v>
      </c>
      <c r="AE140" s="78" t="s">
        <v>0</v>
      </c>
      <c r="AF140" s="78" t="s">
        <v>0</v>
      </c>
      <c r="AG140" s="78" t="s">
        <v>0</v>
      </c>
      <c r="AH140" s="78" t="s">
        <v>0</v>
      </c>
      <c r="AI140" s="78" t="s">
        <v>0</v>
      </c>
      <c r="AJ140" s="78" t="s">
        <v>0</v>
      </c>
      <c r="AK140" s="78" t="s">
        <v>0</v>
      </c>
      <c r="AL140" s="78" t="s">
        <v>0</v>
      </c>
      <c r="AM140" s="78" t="s">
        <v>0</v>
      </c>
      <c r="AN140" s="78" t="s">
        <v>0</v>
      </c>
      <c r="AO140" s="78" t="s">
        <v>0</v>
      </c>
      <c r="AP140" s="78" t="s">
        <v>0</v>
      </c>
      <c r="AQ140" s="78" t="s">
        <v>0</v>
      </c>
      <c r="AR140" s="78" t="s">
        <v>0</v>
      </c>
      <c r="AS140" s="78" t="s">
        <v>0</v>
      </c>
      <c r="AT140" s="78" t="s">
        <v>0</v>
      </c>
      <c r="AU140" s="78" t="s">
        <v>0</v>
      </c>
      <c r="AV140" s="78" t="s">
        <v>0</v>
      </c>
      <c r="AW140" s="78" t="s">
        <v>0</v>
      </c>
      <c r="AX140" s="78" t="s">
        <v>0</v>
      </c>
      <c r="AY140" s="78" t="s">
        <v>0</v>
      </c>
      <c r="AZ140" s="78" t="s">
        <v>0</v>
      </c>
      <c r="BA140" s="78" t="s">
        <v>0</v>
      </c>
      <c r="BB140" s="78" t="s">
        <v>0</v>
      </c>
      <c r="BC140" s="78" t="s">
        <v>0</v>
      </c>
      <c r="BD140" s="78" t="s">
        <v>0</v>
      </c>
      <c r="BE140" s="78" t="s">
        <v>0</v>
      </c>
      <c r="BF140" s="78" t="s">
        <v>0</v>
      </c>
      <c r="BG140" s="78" t="s">
        <v>0</v>
      </c>
      <c r="BH140" s="78" t="s">
        <v>0</v>
      </c>
      <c r="BI140" s="78" t="s">
        <v>0</v>
      </c>
      <c r="BJ140" s="78" t="s">
        <v>0</v>
      </c>
    </row>
    <row r="141" spans="1:62" ht="12.75">
      <c r="A141" s="710">
        <v>809</v>
      </c>
      <c r="B141" s="44" t="s">
        <v>2364</v>
      </c>
      <c r="C141" s="325">
        <f>MOD(G$1,A141)</f>
        <v>456</v>
      </c>
      <c r="D141" s="82">
        <f>A141-C141</f>
        <v>353</v>
      </c>
      <c r="E141" s="76">
        <f>MOD(G$2,A141)</f>
        <v>487</v>
      </c>
      <c r="F141" s="78" t="s">
        <v>2399</v>
      </c>
      <c r="G141" s="78" t="s">
        <v>0</v>
      </c>
      <c r="H141" s="78" t="s">
        <v>0</v>
      </c>
      <c r="I141" s="78" t="s">
        <v>0</v>
      </c>
      <c r="J141" s="78" t="s">
        <v>0</v>
      </c>
      <c r="K141" s="78" t="s">
        <v>0</v>
      </c>
      <c r="L141" s="78" t="s">
        <v>0</v>
      </c>
      <c r="M141" s="78" t="s">
        <v>0</v>
      </c>
      <c r="N141" s="78" t="s">
        <v>0</v>
      </c>
      <c r="O141" s="78" t="s">
        <v>0</v>
      </c>
      <c r="P141" s="78" t="s">
        <v>0</v>
      </c>
      <c r="Q141" s="78" t="s">
        <v>0</v>
      </c>
      <c r="R141" s="78" t="s">
        <v>0</v>
      </c>
      <c r="S141" s="78" t="s">
        <v>0</v>
      </c>
      <c r="T141" s="78" t="s">
        <v>0</v>
      </c>
      <c r="U141" s="78" t="s">
        <v>0</v>
      </c>
      <c r="V141" s="78" t="s">
        <v>0</v>
      </c>
      <c r="W141" s="78" t="s">
        <v>0</v>
      </c>
      <c r="X141" s="78" t="s">
        <v>0</v>
      </c>
      <c r="Y141" s="78" t="s">
        <v>0</v>
      </c>
      <c r="Z141" s="78" t="s">
        <v>0</v>
      </c>
      <c r="AA141" s="78" t="s">
        <v>0</v>
      </c>
      <c r="AB141" s="78" t="s">
        <v>0</v>
      </c>
      <c r="AC141" s="78" t="s">
        <v>0</v>
      </c>
      <c r="AD141" s="78" t="s">
        <v>0</v>
      </c>
      <c r="AE141" s="78" t="s">
        <v>0</v>
      </c>
      <c r="AF141" s="78" t="s">
        <v>0</v>
      </c>
      <c r="AG141" s="78" t="s">
        <v>0</v>
      </c>
      <c r="AH141" s="78" t="s">
        <v>0</v>
      </c>
      <c r="AI141" s="78" t="s">
        <v>0</v>
      </c>
      <c r="AJ141" s="78" t="s">
        <v>0</v>
      </c>
      <c r="AK141" s="78" t="s">
        <v>0</v>
      </c>
      <c r="AL141" s="78" t="s">
        <v>0</v>
      </c>
      <c r="AM141" s="78" t="s">
        <v>0</v>
      </c>
      <c r="AN141" s="78" t="s">
        <v>0</v>
      </c>
      <c r="AO141" s="78" t="s">
        <v>0</v>
      </c>
      <c r="AP141" s="78" t="s">
        <v>0</v>
      </c>
      <c r="AQ141" s="78" t="s">
        <v>0</v>
      </c>
      <c r="AR141" s="78" t="s">
        <v>0</v>
      </c>
      <c r="AS141" s="78" t="s">
        <v>0</v>
      </c>
      <c r="AT141" s="78" t="s">
        <v>0</v>
      </c>
      <c r="AU141" s="78" t="s">
        <v>0</v>
      </c>
      <c r="AV141" s="78" t="s">
        <v>0</v>
      </c>
      <c r="AW141" s="78" t="s">
        <v>0</v>
      </c>
      <c r="AX141" s="78" t="s">
        <v>0</v>
      </c>
      <c r="AY141" s="78" t="s">
        <v>0</v>
      </c>
      <c r="AZ141" s="78" t="s">
        <v>0</v>
      </c>
      <c r="BA141" s="78" t="s">
        <v>0</v>
      </c>
      <c r="BB141" s="78" t="s">
        <v>0</v>
      </c>
      <c r="BC141" s="78" t="s">
        <v>0</v>
      </c>
      <c r="BD141" s="78" t="s">
        <v>0</v>
      </c>
      <c r="BE141" s="78" t="s">
        <v>0</v>
      </c>
      <c r="BF141" s="78" t="s">
        <v>0</v>
      </c>
      <c r="BG141" s="78" t="s">
        <v>0</v>
      </c>
      <c r="BH141" s="78" t="s">
        <v>0</v>
      </c>
      <c r="BI141" s="78" t="s">
        <v>0</v>
      </c>
      <c r="BJ141" s="78" t="s">
        <v>0</v>
      </c>
    </row>
    <row r="142" spans="1:62" ht="12.75">
      <c r="A142" s="710">
        <v>811</v>
      </c>
      <c r="B142" s="44" t="s">
        <v>2365</v>
      </c>
      <c r="C142" s="325">
        <f>MOD(G$1,A142)</f>
        <v>343</v>
      </c>
      <c r="D142" s="82">
        <f>A142-C142</f>
        <v>468</v>
      </c>
      <c r="E142" s="76">
        <f>MOD(G$2,A142)</f>
        <v>372</v>
      </c>
      <c r="F142" s="78" t="s">
        <v>2472</v>
      </c>
      <c r="G142" s="78" t="s">
        <v>0</v>
      </c>
      <c r="H142" s="78" t="s">
        <v>0</v>
      </c>
      <c r="I142" s="78" t="s">
        <v>0</v>
      </c>
      <c r="J142" s="78" t="s">
        <v>0</v>
      </c>
      <c r="K142" s="78" t="s">
        <v>0</v>
      </c>
      <c r="L142" s="78" t="s">
        <v>0</v>
      </c>
      <c r="M142" s="78" t="s">
        <v>0</v>
      </c>
      <c r="N142" s="78" t="s">
        <v>0</v>
      </c>
      <c r="O142" s="78" t="s">
        <v>0</v>
      </c>
      <c r="P142" s="78" t="s">
        <v>0</v>
      </c>
      <c r="Q142" s="78" t="s">
        <v>0</v>
      </c>
      <c r="R142" s="78" t="s">
        <v>0</v>
      </c>
      <c r="S142" s="78" t="s">
        <v>0</v>
      </c>
      <c r="T142" s="78" t="s">
        <v>0</v>
      </c>
      <c r="U142" s="78" t="s">
        <v>0</v>
      </c>
      <c r="V142" s="78" t="s">
        <v>0</v>
      </c>
      <c r="W142" s="78" t="s">
        <v>0</v>
      </c>
      <c r="X142" s="78" t="s">
        <v>0</v>
      </c>
      <c r="Y142" s="78" t="s">
        <v>0</v>
      </c>
      <c r="Z142" s="78" t="s">
        <v>0</v>
      </c>
      <c r="AA142" s="78" t="s">
        <v>0</v>
      </c>
      <c r="AB142" s="78" t="s">
        <v>0</v>
      </c>
      <c r="AC142" s="78" t="s">
        <v>0</v>
      </c>
      <c r="AD142" s="78" t="s">
        <v>0</v>
      </c>
      <c r="AE142" s="78" t="s">
        <v>0</v>
      </c>
      <c r="AF142" s="78" t="s">
        <v>0</v>
      </c>
      <c r="AG142" s="78" t="s">
        <v>0</v>
      </c>
      <c r="AH142" s="78" t="s">
        <v>0</v>
      </c>
      <c r="AI142" s="78" t="s">
        <v>0</v>
      </c>
      <c r="AJ142" s="78" t="s">
        <v>0</v>
      </c>
      <c r="AK142" s="78" t="s">
        <v>0</v>
      </c>
      <c r="AL142" s="78" t="s">
        <v>0</v>
      </c>
      <c r="AM142" s="78" t="s">
        <v>0</v>
      </c>
      <c r="AN142" s="78" t="s">
        <v>0</v>
      </c>
      <c r="AO142" s="78" t="s">
        <v>0</v>
      </c>
      <c r="AP142" s="78" t="s">
        <v>0</v>
      </c>
      <c r="AQ142" s="78" t="s">
        <v>0</v>
      </c>
      <c r="AR142" s="78" t="s">
        <v>0</v>
      </c>
      <c r="AS142" s="78" t="s">
        <v>0</v>
      </c>
      <c r="AT142" s="78" t="s">
        <v>0</v>
      </c>
      <c r="AU142" s="78" t="s">
        <v>0</v>
      </c>
      <c r="AV142" s="78" t="s">
        <v>0</v>
      </c>
      <c r="AW142" s="78" t="s">
        <v>0</v>
      </c>
      <c r="AX142" s="78" t="s">
        <v>0</v>
      </c>
      <c r="AY142" s="78" t="s">
        <v>0</v>
      </c>
      <c r="AZ142" s="78" t="s">
        <v>0</v>
      </c>
      <c r="BA142" s="78" t="s">
        <v>0</v>
      </c>
      <c r="BB142" s="78" t="s">
        <v>0</v>
      </c>
      <c r="BC142" s="78" t="s">
        <v>0</v>
      </c>
      <c r="BD142" s="78" t="s">
        <v>0</v>
      </c>
      <c r="BE142" s="78" t="s">
        <v>0</v>
      </c>
      <c r="BF142" s="78" t="s">
        <v>0</v>
      </c>
      <c r="BG142" s="78" t="s">
        <v>0</v>
      </c>
      <c r="BH142" s="78" t="s">
        <v>0</v>
      </c>
      <c r="BI142" s="78" t="s">
        <v>0</v>
      </c>
      <c r="BJ142" s="78" t="s">
        <v>0</v>
      </c>
    </row>
    <row r="143" spans="1:62" ht="12.75">
      <c r="A143" s="710">
        <v>821</v>
      </c>
      <c r="B143" s="44" t="s">
        <v>2368</v>
      </c>
      <c r="C143" s="325">
        <f>MOD(G$1,A143)</f>
        <v>641</v>
      </c>
      <c r="D143" s="82">
        <f>A143-C143</f>
        <v>180</v>
      </c>
      <c r="E143" s="76">
        <f>MOD(G$2,A143)</f>
        <v>660</v>
      </c>
      <c r="F143" s="78" t="s">
        <v>2388</v>
      </c>
      <c r="G143" s="78" t="s">
        <v>0</v>
      </c>
      <c r="H143" s="78" t="s">
        <v>0</v>
      </c>
      <c r="I143" s="78" t="s">
        <v>0</v>
      </c>
      <c r="J143" s="78" t="s">
        <v>0</v>
      </c>
      <c r="K143" s="78" t="s">
        <v>0</v>
      </c>
      <c r="L143" s="78" t="s">
        <v>0</v>
      </c>
      <c r="M143" s="78" t="s">
        <v>0</v>
      </c>
      <c r="N143" s="78" t="s">
        <v>0</v>
      </c>
      <c r="O143" s="78" t="s">
        <v>0</v>
      </c>
      <c r="P143" s="78" t="s">
        <v>0</v>
      </c>
      <c r="Q143" s="78" t="s">
        <v>0</v>
      </c>
      <c r="R143" s="78" t="s">
        <v>0</v>
      </c>
      <c r="S143" s="78" t="s">
        <v>0</v>
      </c>
      <c r="T143" s="78" t="s">
        <v>0</v>
      </c>
      <c r="U143" s="78" t="s">
        <v>0</v>
      </c>
      <c r="V143" s="78" t="s">
        <v>0</v>
      </c>
      <c r="W143" s="78" t="s">
        <v>0</v>
      </c>
      <c r="X143" s="78" t="s">
        <v>0</v>
      </c>
      <c r="Y143" s="78" t="s">
        <v>0</v>
      </c>
      <c r="Z143" s="78" t="s">
        <v>0</v>
      </c>
      <c r="AA143" s="78" t="s">
        <v>0</v>
      </c>
      <c r="AB143" s="78" t="s">
        <v>0</v>
      </c>
      <c r="AC143" s="78" t="s">
        <v>0</v>
      </c>
      <c r="AD143" s="78" t="s">
        <v>0</v>
      </c>
      <c r="AE143" s="78" t="s">
        <v>0</v>
      </c>
      <c r="AF143" s="78" t="s">
        <v>0</v>
      </c>
      <c r="AG143" s="78" t="s">
        <v>0</v>
      </c>
      <c r="AH143" s="78" t="s">
        <v>0</v>
      </c>
      <c r="AI143" s="78" t="s">
        <v>0</v>
      </c>
      <c r="AJ143" s="78" t="s">
        <v>0</v>
      </c>
      <c r="AK143" s="78" t="s">
        <v>0</v>
      </c>
      <c r="AL143" s="78" t="s">
        <v>0</v>
      </c>
      <c r="AM143" s="78" t="s">
        <v>0</v>
      </c>
      <c r="AN143" s="78" t="s">
        <v>0</v>
      </c>
      <c r="AO143" s="78" t="s">
        <v>0</v>
      </c>
      <c r="AP143" s="78" t="s">
        <v>0</v>
      </c>
      <c r="AQ143" s="78" t="s">
        <v>0</v>
      </c>
      <c r="AR143" s="78" t="s">
        <v>0</v>
      </c>
      <c r="AS143" s="78" t="s">
        <v>0</v>
      </c>
      <c r="AT143" s="78" t="s">
        <v>0</v>
      </c>
      <c r="AU143" s="78" t="s">
        <v>0</v>
      </c>
      <c r="AV143" s="78" t="s">
        <v>0</v>
      </c>
      <c r="AW143" s="78" t="s">
        <v>0</v>
      </c>
      <c r="AX143" s="78" t="s">
        <v>0</v>
      </c>
      <c r="AY143" s="78" t="s">
        <v>0</v>
      </c>
      <c r="AZ143" s="78" t="s">
        <v>0</v>
      </c>
      <c r="BA143" s="78" t="s">
        <v>0</v>
      </c>
      <c r="BB143" s="78" t="s">
        <v>0</v>
      </c>
      <c r="BC143" s="78" t="s">
        <v>0</v>
      </c>
      <c r="BD143" s="78" t="s">
        <v>0</v>
      </c>
      <c r="BE143" s="78" t="s">
        <v>0</v>
      </c>
      <c r="BF143" s="78" t="s">
        <v>0</v>
      </c>
      <c r="BG143" s="78" t="s">
        <v>0</v>
      </c>
      <c r="BH143" s="78" t="s">
        <v>0</v>
      </c>
      <c r="BI143" s="78" t="s">
        <v>0</v>
      </c>
      <c r="BJ143" s="78" t="s">
        <v>0</v>
      </c>
    </row>
    <row r="144" spans="1:62" ht="12.75">
      <c r="A144" s="710">
        <v>823</v>
      </c>
      <c r="B144" s="44" t="s">
        <v>2369</v>
      </c>
      <c r="C144" s="325">
        <f>MOD(G$1,A144)</f>
        <v>400</v>
      </c>
      <c r="D144" s="82">
        <f>A144-C144</f>
        <v>423</v>
      </c>
      <c r="E144" s="76">
        <f>MOD(G$2,A144)</f>
        <v>417</v>
      </c>
      <c r="F144" s="78" t="s">
        <v>2443</v>
      </c>
      <c r="G144" s="78" t="s">
        <v>0</v>
      </c>
      <c r="H144" s="78" t="s">
        <v>0</v>
      </c>
      <c r="I144" s="78" t="s">
        <v>0</v>
      </c>
      <c r="J144" s="78" t="s">
        <v>0</v>
      </c>
      <c r="K144" s="78" t="s">
        <v>0</v>
      </c>
      <c r="L144" s="78" t="s">
        <v>0</v>
      </c>
      <c r="M144" s="78" t="s">
        <v>0</v>
      </c>
      <c r="N144" s="78" t="s">
        <v>0</v>
      </c>
      <c r="O144" s="78" t="s">
        <v>0</v>
      </c>
      <c r="P144" s="78" t="s">
        <v>0</v>
      </c>
      <c r="Q144" s="78" t="s">
        <v>0</v>
      </c>
      <c r="R144" s="78" t="s">
        <v>0</v>
      </c>
      <c r="S144" s="78" t="s">
        <v>0</v>
      </c>
      <c r="T144" s="78" t="s">
        <v>0</v>
      </c>
      <c r="U144" s="78" t="s">
        <v>0</v>
      </c>
      <c r="V144" s="78" t="s">
        <v>0</v>
      </c>
      <c r="W144" s="78" t="s">
        <v>0</v>
      </c>
      <c r="X144" s="78" t="s">
        <v>0</v>
      </c>
      <c r="Y144" s="78" t="s">
        <v>0</v>
      </c>
      <c r="Z144" s="78" t="s">
        <v>0</v>
      </c>
      <c r="AA144" s="78" t="s">
        <v>0</v>
      </c>
      <c r="AB144" s="78" t="s">
        <v>0</v>
      </c>
      <c r="AC144" s="78" t="s">
        <v>0</v>
      </c>
      <c r="AD144" s="78" t="s">
        <v>0</v>
      </c>
      <c r="AE144" s="78" t="s">
        <v>0</v>
      </c>
      <c r="AF144" s="78" t="s">
        <v>0</v>
      </c>
      <c r="AG144" s="78" t="s">
        <v>0</v>
      </c>
      <c r="AH144" s="78" t="s">
        <v>0</v>
      </c>
      <c r="AI144" s="78" t="s">
        <v>0</v>
      </c>
      <c r="AJ144" s="78" t="s">
        <v>0</v>
      </c>
      <c r="AK144" s="78" t="s">
        <v>0</v>
      </c>
      <c r="AL144" s="78" t="s">
        <v>0</v>
      </c>
      <c r="AM144" s="78" t="s">
        <v>0</v>
      </c>
      <c r="AN144" s="78" t="s">
        <v>0</v>
      </c>
      <c r="AO144" s="78" t="s">
        <v>0</v>
      </c>
      <c r="AP144" s="78" t="s">
        <v>0</v>
      </c>
      <c r="AQ144" s="78" t="s">
        <v>0</v>
      </c>
      <c r="AR144" s="78" t="s">
        <v>0</v>
      </c>
      <c r="AS144" s="78" t="s">
        <v>0</v>
      </c>
      <c r="AT144" s="78" t="s">
        <v>0</v>
      </c>
      <c r="AU144" s="78" t="s">
        <v>0</v>
      </c>
      <c r="AV144" s="78" t="s">
        <v>0</v>
      </c>
      <c r="AW144" s="78" t="s">
        <v>0</v>
      </c>
      <c r="AX144" s="78" t="s">
        <v>0</v>
      </c>
      <c r="AY144" s="78" t="s">
        <v>0</v>
      </c>
      <c r="AZ144" s="78" t="s">
        <v>0</v>
      </c>
      <c r="BA144" s="78" t="s">
        <v>0</v>
      </c>
      <c r="BB144" s="78" t="s">
        <v>0</v>
      </c>
      <c r="BC144" s="78" t="s">
        <v>0</v>
      </c>
      <c r="BD144" s="78" t="s">
        <v>0</v>
      </c>
      <c r="BE144" s="78" t="s">
        <v>0</v>
      </c>
      <c r="BF144" s="78" t="s">
        <v>0</v>
      </c>
      <c r="BG144" s="78" t="s">
        <v>0</v>
      </c>
      <c r="BH144" s="78" t="s">
        <v>0</v>
      </c>
      <c r="BI144" s="78" t="s">
        <v>0</v>
      </c>
      <c r="BJ144" s="78" t="s">
        <v>0</v>
      </c>
    </row>
    <row r="145" spans="1:62" ht="12.75">
      <c r="A145" s="710">
        <v>827</v>
      </c>
      <c r="B145" s="44" t="s">
        <v>2370</v>
      </c>
      <c r="C145" s="325">
        <f>MOD(G$1,A145)</f>
        <v>329</v>
      </c>
      <c r="D145" s="82">
        <f>A145-C145</f>
        <v>498</v>
      </c>
      <c r="E145" s="76">
        <f>MOD(G$2,A145)</f>
        <v>342</v>
      </c>
      <c r="F145" s="78" t="s">
        <v>2486</v>
      </c>
      <c r="G145" s="78" t="s">
        <v>0</v>
      </c>
      <c r="H145" s="78" t="s">
        <v>0</v>
      </c>
      <c r="I145" s="78" t="s">
        <v>0</v>
      </c>
      <c r="J145" s="78" t="s">
        <v>0</v>
      </c>
      <c r="K145" s="78" t="s">
        <v>0</v>
      </c>
      <c r="L145" s="78" t="s">
        <v>0</v>
      </c>
      <c r="M145" s="78" t="s">
        <v>0</v>
      </c>
      <c r="N145" s="78" t="s">
        <v>0</v>
      </c>
      <c r="O145" s="78" t="s">
        <v>0</v>
      </c>
      <c r="P145" s="78" t="s">
        <v>0</v>
      </c>
      <c r="Q145" s="78" t="s">
        <v>0</v>
      </c>
      <c r="R145" s="78" t="s">
        <v>0</v>
      </c>
      <c r="S145" s="78" t="s">
        <v>0</v>
      </c>
      <c r="T145" s="78" t="s">
        <v>0</v>
      </c>
      <c r="U145" s="78" t="s">
        <v>0</v>
      </c>
      <c r="V145" s="78" t="s">
        <v>0</v>
      </c>
      <c r="W145" s="78" t="s">
        <v>0</v>
      </c>
      <c r="X145" s="78" t="s">
        <v>0</v>
      </c>
      <c r="Y145" s="78" t="s">
        <v>0</v>
      </c>
      <c r="Z145" s="78" t="s">
        <v>0</v>
      </c>
      <c r="AA145" s="78" t="s">
        <v>0</v>
      </c>
      <c r="AB145" s="78" t="s">
        <v>0</v>
      </c>
      <c r="AC145" s="78" t="s">
        <v>0</v>
      </c>
      <c r="AD145" s="78" t="s">
        <v>0</v>
      </c>
      <c r="AE145" s="78" t="s">
        <v>0</v>
      </c>
      <c r="AF145" s="78" t="s">
        <v>0</v>
      </c>
      <c r="AG145" s="78" t="s">
        <v>0</v>
      </c>
      <c r="AH145" s="78" t="s">
        <v>0</v>
      </c>
      <c r="AI145" s="78" t="s">
        <v>0</v>
      </c>
      <c r="AJ145" s="78" t="s">
        <v>0</v>
      </c>
      <c r="AK145" s="78" t="s">
        <v>0</v>
      </c>
      <c r="AL145" s="78" t="s">
        <v>0</v>
      </c>
      <c r="AM145" s="78" t="s">
        <v>0</v>
      </c>
      <c r="AN145" s="78" t="s">
        <v>0</v>
      </c>
      <c r="AO145" s="78" t="s">
        <v>0</v>
      </c>
      <c r="AP145" s="78" t="s">
        <v>0</v>
      </c>
      <c r="AQ145" s="78" t="s">
        <v>0</v>
      </c>
      <c r="AR145" s="78" t="s">
        <v>0</v>
      </c>
      <c r="AS145" s="78" t="s">
        <v>0</v>
      </c>
      <c r="AT145" s="78" t="s">
        <v>0</v>
      </c>
      <c r="AU145" s="78" t="s">
        <v>0</v>
      </c>
      <c r="AV145" s="78" t="s">
        <v>0</v>
      </c>
      <c r="AW145" s="78" t="s">
        <v>0</v>
      </c>
      <c r="AX145" s="78" t="s">
        <v>0</v>
      </c>
      <c r="AY145" s="78" t="s">
        <v>0</v>
      </c>
      <c r="AZ145" s="78" t="s">
        <v>0</v>
      </c>
      <c r="BA145" s="78" t="s">
        <v>0</v>
      </c>
      <c r="BB145" s="78" t="s">
        <v>0</v>
      </c>
      <c r="BC145" s="78" t="s">
        <v>0</v>
      </c>
      <c r="BD145" s="78" t="s">
        <v>0</v>
      </c>
      <c r="BE145" s="78" t="s">
        <v>0</v>
      </c>
      <c r="BF145" s="78" t="s">
        <v>0</v>
      </c>
      <c r="BG145" s="78" t="s">
        <v>0</v>
      </c>
      <c r="BH145" s="78" t="s">
        <v>0</v>
      </c>
      <c r="BI145" s="78" t="s">
        <v>0</v>
      </c>
      <c r="BJ145" s="78" t="s">
        <v>0</v>
      </c>
    </row>
    <row r="146" spans="1:62" ht="12.75">
      <c r="A146" s="710">
        <v>829</v>
      </c>
      <c r="B146" s="44" t="s">
        <v>2371</v>
      </c>
      <c r="C146" s="325">
        <f>MOD(G$1,A146)</f>
        <v>163</v>
      </c>
      <c r="D146" s="82">
        <f>A146-C146</f>
        <v>666</v>
      </c>
      <c r="E146" s="76">
        <f>MOD(G$2,A146)</f>
        <v>174</v>
      </c>
      <c r="F146" s="78" t="s">
        <v>2377</v>
      </c>
      <c r="G146" s="78" t="s">
        <v>0</v>
      </c>
      <c r="H146" s="78" t="s">
        <v>0</v>
      </c>
      <c r="I146" s="78" t="s">
        <v>0</v>
      </c>
      <c r="J146" s="78" t="s">
        <v>0</v>
      </c>
      <c r="K146" s="78" t="s">
        <v>0</v>
      </c>
      <c r="L146" s="78" t="s">
        <v>0</v>
      </c>
      <c r="M146" s="78" t="s">
        <v>0</v>
      </c>
      <c r="N146" s="78" t="s">
        <v>0</v>
      </c>
      <c r="O146" s="78" t="s">
        <v>0</v>
      </c>
      <c r="P146" s="78" t="s">
        <v>0</v>
      </c>
      <c r="Q146" s="78" t="s">
        <v>0</v>
      </c>
      <c r="R146" s="78" t="s">
        <v>0</v>
      </c>
      <c r="S146" s="78" t="s">
        <v>0</v>
      </c>
      <c r="T146" s="78" t="s">
        <v>0</v>
      </c>
      <c r="U146" s="78" t="s">
        <v>0</v>
      </c>
      <c r="V146" s="78" t="s">
        <v>0</v>
      </c>
      <c r="W146" s="78" t="s">
        <v>0</v>
      </c>
      <c r="X146" s="78" t="s">
        <v>0</v>
      </c>
      <c r="Y146" s="78" t="s">
        <v>0</v>
      </c>
      <c r="Z146" s="78" t="s">
        <v>0</v>
      </c>
      <c r="AA146" s="78" t="s">
        <v>0</v>
      </c>
      <c r="AB146" s="78" t="s">
        <v>0</v>
      </c>
      <c r="AC146" s="78" t="s">
        <v>0</v>
      </c>
      <c r="AD146" s="78" t="s">
        <v>0</v>
      </c>
      <c r="AE146" s="78" t="s">
        <v>0</v>
      </c>
      <c r="AF146" s="78" t="s">
        <v>0</v>
      </c>
      <c r="AG146" s="78" t="s">
        <v>0</v>
      </c>
      <c r="AH146" s="78" t="s">
        <v>0</v>
      </c>
      <c r="AI146" s="78" t="s">
        <v>0</v>
      </c>
      <c r="AJ146" s="78" t="s">
        <v>0</v>
      </c>
      <c r="AK146" s="78" t="s">
        <v>0</v>
      </c>
      <c r="AL146" s="78" t="s">
        <v>0</v>
      </c>
      <c r="AM146" s="78" t="s">
        <v>0</v>
      </c>
      <c r="AN146" s="78" t="s">
        <v>0</v>
      </c>
      <c r="AO146" s="78" t="s">
        <v>0</v>
      </c>
      <c r="AP146" s="78" t="s">
        <v>0</v>
      </c>
      <c r="AQ146" s="78" t="s">
        <v>0</v>
      </c>
      <c r="AR146" s="78" t="s">
        <v>0</v>
      </c>
      <c r="AS146" s="78" t="s">
        <v>0</v>
      </c>
      <c r="AT146" s="78" t="s">
        <v>0</v>
      </c>
      <c r="AU146" s="78" t="s">
        <v>0</v>
      </c>
      <c r="AV146" s="78" t="s">
        <v>0</v>
      </c>
      <c r="AW146" s="78" t="s">
        <v>0</v>
      </c>
      <c r="AX146" s="78" t="s">
        <v>0</v>
      </c>
      <c r="AY146" s="78" t="s">
        <v>0</v>
      </c>
      <c r="AZ146" s="78" t="s">
        <v>0</v>
      </c>
      <c r="BA146" s="78" t="s">
        <v>0</v>
      </c>
      <c r="BB146" s="78" t="s">
        <v>0</v>
      </c>
      <c r="BC146" s="78" t="s">
        <v>0</v>
      </c>
      <c r="BD146" s="78" t="s">
        <v>0</v>
      </c>
      <c r="BE146" s="78" t="s">
        <v>0</v>
      </c>
      <c r="BF146" s="78" t="s">
        <v>0</v>
      </c>
      <c r="BG146" s="78" t="s">
        <v>0</v>
      </c>
      <c r="BH146" s="78" t="s">
        <v>0</v>
      </c>
      <c r="BI146" s="78" t="s">
        <v>0</v>
      </c>
      <c r="BJ146" s="78" t="s">
        <v>0</v>
      </c>
    </row>
    <row r="147" spans="1:62" ht="12.75">
      <c r="A147" s="710">
        <v>839</v>
      </c>
      <c r="B147" s="44" t="s">
        <v>2374</v>
      </c>
      <c r="C147" s="325">
        <f>MOD(G$1,A147)</f>
        <v>662</v>
      </c>
      <c r="D147" s="82">
        <f>A147-C147</f>
        <v>177</v>
      </c>
      <c r="E147" s="76">
        <f>MOD(G$2,A147)</f>
        <v>663</v>
      </c>
      <c r="F147" s="78" t="s">
        <v>2382</v>
      </c>
      <c r="G147" s="78" t="s">
        <v>0</v>
      </c>
      <c r="H147" s="78" t="s">
        <v>0</v>
      </c>
      <c r="I147" s="78" t="s">
        <v>0</v>
      </c>
      <c r="J147" s="78" t="s">
        <v>0</v>
      </c>
      <c r="K147" s="78" t="s">
        <v>0</v>
      </c>
      <c r="L147" s="78" t="s">
        <v>0</v>
      </c>
      <c r="M147" s="78" t="s">
        <v>0</v>
      </c>
      <c r="N147" s="78" t="s">
        <v>0</v>
      </c>
      <c r="O147" s="78" t="s">
        <v>0</v>
      </c>
      <c r="P147" s="78" t="s">
        <v>0</v>
      </c>
      <c r="Q147" s="78" t="s">
        <v>0</v>
      </c>
      <c r="R147" s="78" t="s">
        <v>0</v>
      </c>
      <c r="S147" s="78" t="s">
        <v>0</v>
      </c>
      <c r="T147" s="78" t="s">
        <v>0</v>
      </c>
      <c r="U147" s="78" t="s">
        <v>0</v>
      </c>
      <c r="V147" s="78" t="s">
        <v>0</v>
      </c>
      <c r="W147" s="78" t="s">
        <v>0</v>
      </c>
      <c r="X147" s="78" t="s">
        <v>0</v>
      </c>
      <c r="Y147" s="78" t="s">
        <v>0</v>
      </c>
      <c r="Z147" s="78" t="s">
        <v>0</v>
      </c>
      <c r="AA147" s="78" t="s">
        <v>0</v>
      </c>
      <c r="AB147" s="78" t="s">
        <v>0</v>
      </c>
      <c r="AC147" s="78" t="s">
        <v>0</v>
      </c>
      <c r="AD147" s="78" t="s">
        <v>0</v>
      </c>
      <c r="AE147" s="78" t="s">
        <v>0</v>
      </c>
      <c r="AF147" s="78" t="s">
        <v>0</v>
      </c>
      <c r="AG147" s="78" t="s">
        <v>0</v>
      </c>
      <c r="AH147" s="78" t="s">
        <v>0</v>
      </c>
      <c r="AI147" s="78" t="s">
        <v>0</v>
      </c>
      <c r="AJ147" s="78" t="s">
        <v>0</v>
      </c>
      <c r="AK147" s="78" t="s">
        <v>0</v>
      </c>
      <c r="AL147" s="78" t="s">
        <v>0</v>
      </c>
      <c r="AM147" s="78" t="s">
        <v>0</v>
      </c>
      <c r="AN147" s="78" t="s">
        <v>0</v>
      </c>
      <c r="AO147" s="78" t="s">
        <v>0</v>
      </c>
      <c r="AP147" s="78" t="s">
        <v>0</v>
      </c>
      <c r="AQ147" s="78" t="s">
        <v>0</v>
      </c>
      <c r="AR147" s="78" t="s">
        <v>0</v>
      </c>
      <c r="AS147" s="78" t="s">
        <v>0</v>
      </c>
      <c r="AT147" s="78" t="s">
        <v>0</v>
      </c>
      <c r="AU147" s="78" t="s">
        <v>0</v>
      </c>
      <c r="AV147" s="78" t="s">
        <v>0</v>
      </c>
      <c r="AW147" s="78" t="s">
        <v>0</v>
      </c>
      <c r="AX147" s="78" t="s">
        <v>0</v>
      </c>
      <c r="AY147" s="78" t="s">
        <v>0</v>
      </c>
      <c r="AZ147" s="78" t="s">
        <v>0</v>
      </c>
      <c r="BA147" s="78" t="s">
        <v>0</v>
      </c>
      <c r="BB147" s="78" t="s">
        <v>0</v>
      </c>
      <c r="BC147" s="78" t="s">
        <v>0</v>
      </c>
      <c r="BD147" s="78" t="s">
        <v>0</v>
      </c>
      <c r="BE147" s="78" t="s">
        <v>0</v>
      </c>
      <c r="BF147" s="78" t="s">
        <v>0</v>
      </c>
      <c r="BG147" s="78" t="s">
        <v>0</v>
      </c>
      <c r="BH147" s="78" t="s">
        <v>0</v>
      </c>
      <c r="BI147" s="78" t="s">
        <v>0</v>
      </c>
      <c r="BJ147" s="78" t="s">
        <v>0</v>
      </c>
    </row>
    <row r="148" spans="60:64" ht="12.75">
      <c r="BH148" s="23" t="s">
        <v>0</v>
      </c>
      <c r="BI148" s="23" t="s">
        <v>0</v>
      </c>
      <c r="BJ148" s="23" t="str">
        <f>BH148&amp;BI148&amp;CHAR(95)&amp;CONCATENATE(G147:BJ147)</f>
        <v>A35638_0229_74cc32a998d900511232092a341c0822c80c707342a910f47024390387804039018e6a228ec9520014202c90ee5112211ec5ad074012a18251732ec551e0d098e0a0f23307aa4d51c41290205850a9141ec488e320d1fa88028b5581518189070a3ccdea4447a22611c0824b5e145a5a09a801cc60815029440af2208aa81641462320143846542c29828a9021418450ed118ea48f4582925e385814019c16c266016849f98c254f06b9df0a004a9545403b009667c2a1a091216820325a2850890c7468778802334d064350ca3400803010380ab1064e8a123070e544785814ea578f42188284ec63038c008505f54a77103a02293990400ea521ace036d9381018c00481f80fed104e1402e100a632b16810202405271d088024283b314072308380c028c4424e0c5cd1681ca6052773604d7844991a11184308e0089415c4c016824d4608318a0d99007e1123a293808001dab846457834dc006e922941a18ea105920e018c23b8671064514d2c604a29458a02288210129127100404aa29c1882a20928354838448b9b05c863310f48a0094c19cc1c45438090b8e0727102c0c222a</v>
      </c>
      <c r="BL148" s="103" t="s">
        <v>0</v>
      </c>
    </row>
  </sheetData>
  <sheetProtection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d2f7f3-2475-4e4d-a949-069204f29a37}">
  <dimension ref="A1:A2000"/>
  <sheetViews>
    <sheetView defaultGridColor="0" colorId="0" workbookViewId="0" topLeftCell="A1">
      <pane topLeftCell="A1" activePane="topLeft" state="split"/>
      <selection pane="topLeft" activeCell="A1" sqref="A1"/>
    </sheetView>
  </sheetViews>
  <sheetFormatPr defaultRowHeight="12.75"/>
  <cols>
    <col min="1" max="1" width="57.5714285714286"/>
  </cols>
  <sheetData>
    <row r="1" spans="1:1" ht="12.75">
      <c r="A1" s="23" t="s">
        <v>1810</v>
      </c>
    </row>
    <row r="2" spans="1:1" ht="12.75">
      <c r="A2" s="23" t="s">
        <v>1811</v>
      </c>
    </row>
    <row r="3" spans="1:1" ht="12.75">
      <c r="A3" s="23" t="s">
        <v>1812</v>
      </c>
    </row>
    <row r="4" spans="1:1" ht="12.75">
      <c r="A4" s="23" t="s">
        <v>1813</v>
      </c>
    </row>
    <row r="5" spans="1:1" ht="12.75">
      <c r="A5" s="23" t="s">
        <v>1814</v>
      </c>
    </row>
    <row r="6" spans="1:1" ht="12.75">
      <c r="A6" s="23" t="s">
        <v>1815</v>
      </c>
    </row>
    <row r="7" spans="1:1" ht="12.75">
      <c r="A7" s="23" t="s">
        <v>1816</v>
      </c>
    </row>
    <row r="8" spans="1:1" ht="12.75">
      <c r="A8" s="23" t="s">
        <v>1817</v>
      </c>
    </row>
    <row r="9" spans="1:1" ht="12.75">
      <c r="A9" s="23" t="s">
        <v>1818</v>
      </c>
    </row>
    <row r="10" spans="1:1" ht="12.75">
      <c r="A10" s="23" t="s">
        <v>1819</v>
      </c>
    </row>
    <row r="11" spans="1:1" ht="12.75">
      <c r="A11" s="23" t="s">
        <v>1820</v>
      </c>
    </row>
    <row r="12" spans="1:1" ht="12.75">
      <c r="A12" s="23" t="s">
        <v>1821</v>
      </c>
    </row>
    <row r="13" spans="1:1" ht="12.75">
      <c r="A13" s="23" t="s">
        <v>1822</v>
      </c>
    </row>
    <row r="14" spans="1:1" ht="12.75">
      <c r="A14" s="23" t="s">
        <v>1823</v>
      </c>
    </row>
    <row r="15" spans="1:1" ht="12.75">
      <c r="A15" s="23" t="s">
        <v>1824</v>
      </c>
    </row>
    <row r="16" spans="1:1" ht="12.75">
      <c r="A16" s="23" t="s">
        <v>1825</v>
      </c>
    </row>
    <row r="17" spans="1:1" ht="12.75">
      <c r="A17" s="23" t="s">
        <v>1826</v>
      </c>
    </row>
    <row r="18" spans="1:1" ht="12.75">
      <c r="A18" s="23" t="s">
        <v>1827</v>
      </c>
    </row>
    <row r="19" spans="1:1" ht="12.75">
      <c r="A19" s="23" t="s">
        <v>1828</v>
      </c>
    </row>
    <row r="20" spans="1:1" ht="12.75">
      <c r="A20" s="23" t="s">
        <v>1829</v>
      </c>
    </row>
    <row r="21" spans="1:1" ht="12.75">
      <c r="A21" s="23" t="s">
        <v>1830</v>
      </c>
    </row>
    <row r="22" spans="1:1" ht="12.75">
      <c r="A22" s="23" t="s">
        <v>1831</v>
      </c>
    </row>
    <row r="23" spans="1:1" ht="12.75">
      <c r="A23" s="23" t="s">
        <v>1832</v>
      </c>
    </row>
    <row r="24" spans="1:1" ht="12.75">
      <c r="A24" s="23" t="s">
        <v>1833</v>
      </c>
    </row>
    <row r="25" spans="1:1" ht="12.75">
      <c r="A25" s="23" t="s">
        <v>1834</v>
      </c>
    </row>
    <row r="26" spans="1:1" ht="12.75">
      <c r="A26" s="23" t="s">
        <v>1835</v>
      </c>
    </row>
    <row r="27" spans="1:1" ht="12.75">
      <c r="A27" s="23" t="s">
        <v>1836</v>
      </c>
    </row>
    <row r="28" spans="1:1" ht="12.75">
      <c r="A28" s="23" t="s">
        <v>1837</v>
      </c>
    </row>
    <row r="29" spans="1:1" ht="12.75">
      <c r="A29" s="23" t="s">
        <v>1838</v>
      </c>
    </row>
    <row r="30" spans="1:1" ht="12.75">
      <c r="A30" s="23" t="s">
        <v>1839</v>
      </c>
    </row>
    <row r="31" spans="1:1" ht="12.75">
      <c r="A31" s="23" t="s">
        <v>1840</v>
      </c>
    </row>
    <row r="32" spans="1:1" ht="12.75">
      <c r="A32" s="23" t="s">
        <v>1841</v>
      </c>
    </row>
    <row r="33" spans="1:1" ht="12.75">
      <c r="A33" s="23" t="s">
        <v>1842</v>
      </c>
    </row>
    <row r="34" spans="1:1" ht="12.75">
      <c r="A34" s="23" t="s">
        <v>1843</v>
      </c>
    </row>
    <row r="35" spans="1:1" ht="12.75">
      <c r="A35" s="23" t="s">
        <v>1844</v>
      </c>
    </row>
    <row r="36" spans="1:1" ht="12.75">
      <c r="A36" s="23" t="s">
        <v>1845</v>
      </c>
    </row>
    <row r="37" spans="1:1" ht="12.75">
      <c r="A37" s="23" t="s">
        <v>1846</v>
      </c>
    </row>
    <row r="38" spans="1:1" ht="12.75">
      <c r="A38" s="23" t="s">
        <v>1847</v>
      </c>
    </row>
    <row r="39" spans="1:1" ht="12.75">
      <c r="A39" s="23" t="s">
        <v>1848</v>
      </c>
    </row>
    <row r="40" spans="1:1" ht="12.75">
      <c r="A40" s="23" t="s">
        <v>1849</v>
      </c>
    </row>
    <row r="41" spans="1:1" ht="12.75">
      <c r="A41" s="23" t="s">
        <v>1850</v>
      </c>
    </row>
    <row r="42" spans="1:1" ht="12.75">
      <c r="A42" s="23" t="s">
        <v>1851</v>
      </c>
    </row>
    <row r="43" spans="1:1" ht="12.75">
      <c r="A43" s="23" t="s">
        <v>1852</v>
      </c>
    </row>
    <row r="44" spans="1:1" ht="12.75">
      <c r="A44" s="23" t="s">
        <v>1853</v>
      </c>
    </row>
    <row r="45" spans="1:1" ht="12.75">
      <c r="A45" s="23" t="s">
        <v>1854</v>
      </c>
    </row>
    <row r="46" spans="1:1" ht="12.75">
      <c r="A46" s="23" t="s">
        <v>1855</v>
      </c>
    </row>
    <row r="47" spans="1:1" ht="12.75">
      <c r="A47" s="23" t="s">
        <v>1856</v>
      </c>
    </row>
    <row r="48" spans="1:1" ht="12.75">
      <c r="A48" s="23" t="s">
        <v>1857</v>
      </c>
    </row>
    <row r="49" spans="1:1" ht="12.75">
      <c r="A49" s="23" t="s">
        <v>1858</v>
      </c>
    </row>
    <row r="50" spans="1:1" ht="12.75">
      <c r="A50" s="23" t="s">
        <v>1859</v>
      </c>
    </row>
    <row r="51" spans="1:1" ht="12.75">
      <c r="A51" s="23" t="s">
        <v>1860</v>
      </c>
    </row>
    <row r="52" spans="1:1" ht="12.75">
      <c r="A52" s="23" t="s">
        <v>1861</v>
      </c>
    </row>
    <row r="53" spans="1:1" ht="12.75">
      <c r="A53" s="23" t="s">
        <v>1862</v>
      </c>
    </row>
    <row r="54" spans="1:1" ht="12.75">
      <c r="A54" s="23" t="s">
        <v>1863</v>
      </c>
    </row>
    <row r="55" spans="1:1" ht="12.75">
      <c r="A55" s="23" t="s">
        <v>1864</v>
      </c>
    </row>
    <row r="56" spans="1:1" ht="12.75">
      <c r="A56" s="23" t="s">
        <v>1865</v>
      </c>
    </row>
    <row r="57" spans="1:1" ht="12.75">
      <c r="A57" s="23" t="s">
        <v>1866</v>
      </c>
    </row>
    <row r="58" spans="1:1" ht="12.75">
      <c r="A58" s="23" t="s">
        <v>1867</v>
      </c>
    </row>
    <row r="59" spans="1:1" ht="12.75">
      <c r="A59" s="23" t="s">
        <v>1868</v>
      </c>
    </row>
    <row r="60" spans="1:1" ht="12.75">
      <c r="A60" s="23" t="s">
        <v>1869</v>
      </c>
    </row>
    <row r="61" spans="1:1" ht="12.75">
      <c r="A61" s="23" t="s">
        <v>1870</v>
      </c>
    </row>
    <row r="62" spans="1:1" ht="12.75">
      <c r="A62" s="23" t="s">
        <v>1871</v>
      </c>
    </row>
    <row r="63" spans="1:1" ht="12.75">
      <c r="A63" s="23" t="s">
        <v>1872</v>
      </c>
    </row>
    <row r="64" spans="1:1" ht="12.75">
      <c r="A64" s="23" t="s">
        <v>1873</v>
      </c>
    </row>
    <row r="65" spans="1:1" ht="12.75">
      <c r="A65" s="23" t="s">
        <v>1874</v>
      </c>
    </row>
    <row r="66" spans="1:1" ht="12.75">
      <c r="A66" s="23" t="s">
        <v>1875</v>
      </c>
    </row>
    <row r="67" spans="1:1" ht="12.75">
      <c r="A67" s="23" t="s">
        <v>1876</v>
      </c>
    </row>
    <row r="68" spans="1:1" ht="12.75">
      <c r="A68" s="23" t="s">
        <v>1877</v>
      </c>
    </row>
    <row r="69" spans="1:1" ht="12.75">
      <c r="A69" s="23" t="s">
        <v>1878</v>
      </c>
    </row>
    <row r="70" spans="1:1" ht="12.75">
      <c r="A70" s="23" t="s">
        <v>1879</v>
      </c>
    </row>
    <row r="71" spans="1:1" ht="12.75">
      <c r="A71" s="23" t="s">
        <v>1880</v>
      </c>
    </row>
    <row r="72" spans="1:1" ht="12.75">
      <c r="A72" s="23" t="s">
        <v>1881</v>
      </c>
    </row>
    <row r="73" spans="1:1" ht="12.75">
      <c r="A73" s="23" t="s">
        <v>1882</v>
      </c>
    </row>
    <row r="74" spans="1:1" ht="12.75">
      <c r="A74" s="23" t="s">
        <v>1883</v>
      </c>
    </row>
    <row r="75" spans="1:1" ht="12.75">
      <c r="A75" s="23" t="s">
        <v>1884</v>
      </c>
    </row>
    <row r="76" spans="1:1" ht="12.75">
      <c r="A76" s="23" t="s">
        <v>1885</v>
      </c>
    </row>
    <row r="77" spans="1:1" ht="12.75">
      <c r="A77" s="23" t="s">
        <v>1886</v>
      </c>
    </row>
    <row r="78" spans="1:1" ht="12.75">
      <c r="A78" s="23" t="s">
        <v>1887</v>
      </c>
    </row>
    <row r="79" spans="1:1" ht="12.75">
      <c r="A79" s="23" t="s">
        <v>1888</v>
      </c>
    </row>
    <row r="80" spans="1:1" ht="12.75">
      <c r="A80" s="23" t="s">
        <v>1889</v>
      </c>
    </row>
    <row r="81" spans="1:1" ht="12.75">
      <c r="A81" s="23" t="s">
        <v>1890</v>
      </c>
    </row>
    <row r="82" spans="1:1" ht="12.75">
      <c r="A82" s="23" t="s">
        <v>1891</v>
      </c>
    </row>
    <row r="83" spans="1:1" ht="12.75">
      <c r="A83" s="23" t="s">
        <v>1892</v>
      </c>
    </row>
    <row r="84" spans="1:1" ht="12.75">
      <c r="A84" s="23" t="s">
        <v>1893</v>
      </c>
    </row>
    <row r="85" spans="1:1" ht="12.75">
      <c r="A85" s="23" t="s">
        <v>1894</v>
      </c>
    </row>
    <row r="86" spans="1:1" ht="12.75">
      <c r="A86" s="23" t="s">
        <v>1895</v>
      </c>
    </row>
    <row r="87" spans="1:1" ht="12.75">
      <c r="A87" s="23" t="s">
        <v>1896</v>
      </c>
    </row>
    <row r="88" spans="1:1" ht="12.75">
      <c r="A88" s="23" t="s">
        <v>1897</v>
      </c>
    </row>
    <row r="89" spans="1:1" ht="12.75">
      <c r="A89" s="23" t="s">
        <v>1898</v>
      </c>
    </row>
    <row r="90" spans="1:1" ht="12.75">
      <c r="A90" s="23" t="s">
        <v>1899</v>
      </c>
    </row>
    <row r="91" spans="1:1" ht="12.75">
      <c r="A91" s="23" t="s">
        <v>1900</v>
      </c>
    </row>
    <row r="92" spans="1:1" ht="12.75">
      <c r="A92" s="23" t="s">
        <v>1901</v>
      </c>
    </row>
    <row r="93" spans="1:1" ht="12.75">
      <c r="A93" s="23" t="s">
        <v>1902</v>
      </c>
    </row>
    <row r="94" spans="1:1" ht="12.75">
      <c r="A94" s="23" t="s">
        <v>1903</v>
      </c>
    </row>
    <row r="95" spans="1:1" ht="12.75">
      <c r="A95" s="23" t="s">
        <v>1904</v>
      </c>
    </row>
    <row r="96" spans="1:1" ht="12.75">
      <c r="A96" s="23" t="s">
        <v>1905</v>
      </c>
    </row>
    <row r="97" spans="1:1" ht="12.75">
      <c r="A97" s="23" t="s">
        <v>1906</v>
      </c>
    </row>
    <row r="98" spans="1:1" ht="12.75">
      <c r="A98" s="23" t="s">
        <v>1907</v>
      </c>
    </row>
    <row r="99" spans="1:1" ht="12.75">
      <c r="A99" s="23" t="s">
        <v>1908</v>
      </c>
    </row>
    <row r="100" spans="1:1" ht="12.75">
      <c r="A100" s="23" t="s">
        <v>1909</v>
      </c>
    </row>
    <row r="101" spans="1:1" ht="12.75">
      <c r="A101" s="23" t="s">
        <v>1910</v>
      </c>
    </row>
    <row r="102" spans="1:1" ht="12.75">
      <c r="A102" s="23" t="s">
        <v>1911</v>
      </c>
    </row>
    <row r="103" spans="1:1" ht="12.75">
      <c r="A103" s="23" t="s">
        <v>1912</v>
      </c>
    </row>
    <row r="104" spans="1:1" ht="12.75">
      <c r="A104" s="23" t="s">
        <v>1913</v>
      </c>
    </row>
    <row r="105" spans="1:1" ht="12.75">
      <c r="A105" s="23" t="s">
        <v>1914</v>
      </c>
    </row>
    <row r="106" spans="1:1" ht="12.75">
      <c r="A106" s="23" t="s">
        <v>1915</v>
      </c>
    </row>
    <row r="107" spans="1:1" ht="12.75">
      <c r="A107" s="23" t="s">
        <v>1916</v>
      </c>
    </row>
    <row r="108" spans="1:1" ht="12.75">
      <c r="A108" s="23" t="s">
        <v>1917</v>
      </c>
    </row>
    <row r="109" spans="1:1" ht="12.75">
      <c r="A109" s="23" t="s">
        <v>1918</v>
      </c>
    </row>
    <row r="110" spans="1:1" ht="12.75">
      <c r="A110" s="23" t="s">
        <v>1919</v>
      </c>
    </row>
    <row r="111" spans="1:1" ht="12.75">
      <c r="A111" s="23" t="s">
        <v>1920</v>
      </c>
    </row>
    <row r="112" spans="1:1" ht="12.75">
      <c r="A112" s="23" t="s">
        <v>1921</v>
      </c>
    </row>
    <row r="113" spans="1:1" ht="12.75">
      <c r="A113" s="23" t="s">
        <v>1922</v>
      </c>
    </row>
    <row r="114" spans="1:1" ht="12.75">
      <c r="A114" s="23" t="s">
        <v>1923</v>
      </c>
    </row>
    <row r="115" spans="1:1" ht="12.75">
      <c r="A115" s="23" t="s">
        <v>1924</v>
      </c>
    </row>
    <row r="116" spans="1:1" ht="12.75">
      <c r="A116" s="23" t="s">
        <v>1925</v>
      </c>
    </row>
    <row r="117" spans="1:1" ht="12.75">
      <c r="A117" s="23" t="s">
        <v>1926</v>
      </c>
    </row>
    <row r="118" spans="1:1" ht="12.75">
      <c r="A118" s="23" t="s">
        <v>1927</v>
      </c>
    </row>
    <row r="119" spans="1:1" ht="12.75">
      <c r="A119" s="23" t="s">
        <v>1928</v>
      </c>
    </row>
    <row r="120" spans="1:1" ht="12.75">
      <c r="A120" s="23" t="s">
        <v>1929</v>
      </c>
    </row>
    <row r="121" spans="1:1" ht="12.75">
      <c r="A121" s="23" t="s">
        <v>1930</v>
      </c>
    </row>
    <row r="122" spans="1:1" ht="12.75">
      <c r="A122" s="23" t="s">
        <v>1931</v>
      </c>
    </row>
    <row r="123" spans="1:1" ht="12.75">
      <c r="A123" s="23" t="s">
        <v>1932</v>
      </c>
    </row>
    <row r="124" spans="1:1" ht="12.75">
      <c r="A124" s="23" t="s">
        <v>1933</v>
      </c>
    </row>
    <row r="125" spans="1:1" ht="12.75">
      <c r="A125" s="23" t="s">
        <v>1934</v>
      </c>
    </row>
    <row r="126" spans="1:1" ht="12.75">
      <c r="A126" s="23" t="s">
        <v>1935</v>
      </c>
    </row>
    <row r="127" spans="1:1" ht="12.75">
      <c r="A127" s="23" t="s">
        <v>1936</v>
      </c>
    </row>
    <row r="128" spans="1:1" ht="12.75">
      <c r="A128" s="23" t="s">
        <v>1937</v>
      </c>
    </row>
    <row r="129" spans="1:1" ht="12.75">
      <c r="A129" s="23" t="s">
        <v>1938</v>
      </c>
    </row>
    <row r="130" spans="1:1" ht="12.75">
      <c r="A130" s="23" t="s">
        <v>1939</v>
      </c>
    </row>
    <row r="131" spans="1:1" ht="12.75">
      <c r="A131" s="23" t="s">
        <v>1940</v>
      </c>
    </row>
    <row r="132" spans="1:1" ht="12.75">
      <c r="A132" s="23" t="s">
        <v>1941</v>
      </c>
    </row>
    <row r="133" spans="1:1" ht="12.75">
      <c r="A133" s="23" t="s">
        <v>1942</v>
      </c>
    </row>
    <row r="134" spans="1:1" ht="12.75">
      <c r="A134" s="23" t="s">
        <v>1943</v>
      </c>
    </row>
    <row r="135" spans="1:1" ht="12.75">
      <c r="A135" s="23" t="s">
        <v>1944</v>
      </c>
    </row>
    <row r="136" spans="1:1" ht="12.75">
      <c r="A136" s="23" t="s">
        <v>1945</v>
      </c>
    </row>
    <row r="137" spans="1:1" ht="12.75">
      <c r="A137" s="23" t="s">
        <v>1946</v>
      </c>
    </row>
    <row r="138" spans="1:1" ht="12.75">
      <c r="A138" s="23" t="s">
        <v>1947</v>
      </c>
    </row>
    <row r="139" spans="1:1" ht="12.75">
      <c r="A139" s="23" t="s">
        <v>1948</v>
      </c>
    </row>
    <row r="140" spans="1:1" ht="12.75">
      <c r="A140" s="23" t="s">
        <v>1949</v>
      </c>
    </row>
    <row r="141" spans="1:1" ht="12.75">
      <c r="A141" s="23" t="s">
        <v>1950</v>
      </c>
    </row>
    <row r="142" spans="1:1" ht="12.75">
      <c r="A142" s="23" t="s">
        <v>1951</v>
      </c>
    </row>
    <row r="143" spans="1:1" ht="12.75">
      <c r="A143" s="23" t="s">
        <v>1952</v>
      </c>
    </row>
    <row r="144" spans="1:1" ht="12.75">
      <c r="A144" s="23" t="s">
        <v>1953</v>
      </c>
    </row>
    <row r="145" spans="1:1" ht="12.75">
      <c r="A145" s="23" t="s">
        <v>1954</v>
      </c>
    </row>
    <row r="146" spans="1:1" ht="12.75">
      <c r="A146" s="23" t="s">
        <v>1955</v>
      </c>
    </row>
    <row r="147" spans="1:1" ht="12.75">
      <c r="A147" s="23" t="s">
        <v>1956</v>
      </c>
    </row>
    <row r="148" spans="1:1" ht="12.75">
      <c r="A148" s="23" t="s">
        <v>1957</v>
      </c>
    </row>
    <row r="149" spans="1:1" ht="12.75">
      <c r="A149" s="23" t="s">
        <v>1958</v>
      </c>
    </row>
    <row r="150" spans="1:1" ht="12.75">
      <c r="A150" s="23" t="s">
        <v>1959</v>
      </c>
    </row>
    <row r="151" spans="1:1" ht="12.75">
      <c r="A151" s="23" t="s">
        <v>1960</v>
      </c>
    </row>
    <row r="152" spans="1:1" ht="12.75">
      <c r="A152" s="23" t="s">
        <v>1961</v>
      </c>
    </row>
    <row r="153" spans="1:1" ht="12.75">
      <c r="A153" s="23" t="s">
        <v>1962</v>
      </c>
    </row>
    <row r="154" spans="1:1" ht="12.75">
      <c r="A154" s="23" t="s">
        <v>1963</v>
      </c>
    </row>
    <row r="155" spans="1:1" ht="12.75">
      <c r="A155" s="23" t="s">
        <v>1964</v>
      </c>
    </row>
    <row r="156" spans="1:1" ht="12.75">
      <c r="A156" s="23" t="s">
        <v>1965</v>
      </c>
    </row>
    <row r="157" spans="1:1" ht="12.75">
      <c r="A157" s="23" t="s">
        <v>1966</v>
      </c>
    </row>
    <row r="158" spans="1:1" ht="12.75">
      <c r="A158" s="23" t="s">
        <v>1967</v>
      </c>
    </row>
    <row r="159" spans="1:1" ht="12.75">
      <c r="A159" s="23" t="s">
        <v>1968</v>
      </c>
    </row>
    <row r="160" spans="1:1" ht="12.75">
      <c r="A160" s="23" t="s">
        <v>1969</v>
      </c>
    </row>
    <row r="161" spans="1:1" ht="12.75">
      <c r="A161" s="23" t="s">
        <v>1970</v>
      </c>
    </row>
    <row r="162" spans="1:1" ht="12.75">
      <c r="A162" s="23" t="s">
        <v>1971</v>
      </c>
    </row>
    <row r="163" spans="1:1" ht="12.75">
      <c r="A163" s="23" t="s">
        <v>1972</v>
      </c>
    </row>
    <row r="164" spans="1:1" ht="12.75">
      <c r="A164" s="23" t="s">
        <v>1973</v>
      </c>
    </row>
    <row r="165" spans="1:1" ht="12.75">
      <c r="A165" s="23" t="s">
        <v>1974</v>
      </c>
    </row>
    <row r="166" spans="1:1" ht="12.75">
      <c r="A166" s="23" t="s">
        <v>1975</v>
      </c>
    </row>
    <row r="167" spans="1:1" ht="12.75">
      <c r="A167" s="23" t="s">
        <v>1976</v>
      </c>
    </row>
    <row r="168" spans="1:1" ht="12.75">
      <c r="A168" s="23" t="s">
        <v>1977</v>
      </c>
    </row>
    <row r="169" spans="1:1" ht="12.75">
      <c r="A169" s="23" t="s">
        <v>1978</v>
      </c>
    </row>
    <row r="170" spans="1:1" ht="12.75">
      <c r="A170" s="23" t="s">
        <v>1979</v>
      </c>
    </row>
    <row r="171" spans="1:1" ht="12.75">
      <c r="A171" s="23" t="s">
        <v>1980</v>
      </c>
    </row>
    <row r="172" spans="1:1" ht="12.75">
      <c r="A172" s="23" t="s">
        <v>1981</v>
      </c>
    </row>
    <row r="173" spans="1:1" ht="12.75">
      <c r="A173" s="23" t="s">
        <v>1982</v>
      </c>
    </row>
    <row r="174" spans="1:1" ht="12.75">
      <c r="A174" s="23" t="s">
        <v>1983</v>
      </c>
    </row>
    <row r="175" spans="1:1" ht="12.75">
      <c r="A175" s="23" t="s">
        <v>1984</v>
      </c>
    </row>
    <row r="176" spans="1:1" ht="12.75">
      <c r="A176" s="23" t="s">
        <v>1985</v>
      </c>
    </row>
    <row r="177" spans="1:1" ht="12.75">
      <c r="A177" s="23" t="s">
        <v>1986</v>
      </c>
    </row>
    <row r="178" spans="1:1" ht="12.75">
      <c r="A178" s="23" t="s">
        <v>1987</v>
      </c>
    </row>
    <row r="179" spans="1:1" ht="12.75">
      <c r="A179" s="23" t="s">
        <v>1988</v>
      </c>
    </row>
    <row r="180" spans="1:1" ht="12.75">
      <c r="A180" s="23" t="s">
        <v>1989</v>
      </c>
    </row>
    <row r="181" spans="1:1" ht="12.75">
      <c r="A181" s="23" t="s">
        <v>1990</v>
      </c>
    </row>
    <row r="182" spans="1:1" ht="12.75">
      <c r="A182" s="23" t="s">
        <v>1991</v>
      </c>
    </row>
    <row r="183" spans="1:1" ht="12.75">
      <c r="A183" s="23" t="s">
        <v>1992</v>
      </c>
    </row>
    <row r="184" spans="1:1" ht="12.75">
      <c r="A184" s="23" t="s">
        <v>1993</v>
      </c>
    </row>
    <row r="185" spans="1:1" ht="12.75">
      <c r="A185" s="23" t="s">
        <v>1994</v>
      </c>
    </row>
    <row r="186" spans="1:1" ht="12.75">
      <c r="A186" s="23" t="s">
        <v>1995</v>
      </c>
    </row>
    <row r="187" spans="1:1" ht="12.75">
      <c r="A187" s="23" t="s">
        <v>1996</v>
      </c>
    </row>
    <row r="188" spans="1:1" ht="12.75">
      <c r="A188" s="23" t="s">
        <v>1997</v>
      </c>
    </row>
    <row r="189" spans="1:1" ht="12.75">
      <c r="A189" s="23" t="s">
        <v>1998</v>
      </c>
    </row>
    <row r="190" spans="1:1" ht="12.75">
      <c r="A190" s="23" t="s">
        <v>1999</v>
      </c>
    </row>
    <row r="191" spans="1:1" ht="12.75">
      <c r="A191" s="23" t="s">
        <v>2000</v>
      </c>
    </row>
    <row r="192" spans="1:1" ht="12.75">
      <c r="A192" s="23" t="s">
        <v>2001</v>
      </c>
    </row>
    <row r="193" spans="1:1" ht="12.75">
      <c r="A193" s="23" t="s">
        <v>2002</v>
      </c>
    </row>
    <row r="194" spans="1:1" ht="12.75">
      <c r="A194" s="23" t="s">
        <v>2003</v>
      </c>
    </row>
    <row r="195" spans="1:1" ht="12.75">
      <c r="A195" s="23" t="s">
        <v>2004</v>
      </c>
    </row>
    <row r="196" spans="1:1" ht="12.75">
      <c r="A196" s="23" t="s">
        <v>2005</v>
      </c>
    </row>
    <row r="197" spans="1:1" ht="12.75">
      <c r="A197" s="23" t="s">
        <v>2006</v>
      </c>
    </row>
    <row r="198" spans="1:1" ht="12.75">
      <c r="A198" s="23" t="s">
        <v>2007</v>
      </c>
    </row>
    <row r="199" spans="1:1" ht="12.75">
      <c r="A199" s="23" t="s">
        <v>2008</v>
      </c>
    </row>
    <row r="200" spans="1:1" ht="12.75">
      <c r="A200" s="23" t="s">
        <v>2009</v>
      </c>
    </row>
    <row r="201" spans="1:1" ht="12.75">
      <c r="A201" s="23" t="s">
        <v>2010</v>
      </c>
    </row>
    <row r="202" spans="1:1" ht="12.75">
      <c r="A202" s="23" t="s">
        <v>2011</v>
      </c>
    </row>
    <row r="203" spans="1:1" ht="12.75">
      <c r="A203" s="23" t="s">
        <v>2012</v>
      </c>
    </row>
    <row r="204" spans="1:1" ht="12.75">
      <c r="A204" s="23" t="s">
        <v>2013</v>
      </c>
    </row>
    <row r="205" spans="1:1" ht="12.75">
      <c r="A205" s="23" t="s">
        <v>2014</v>
      </c>
    </row>
    <row r="206" spans="1:1" ht="12.75">
      <c r="A206" s="23" t="s">
        <v>2015</v>
      </c>
    </row>
    <row r="207" spans="1:1" ht="12.75">
      <c r="A207" s="23" t="s">
        <v>2016</v>
      </c>
    </row>
    <row r="208" spans="1:1" ht="12.75">
      <c r="A208" s="23" t="s">
        <v>2017</v>
      </c>
    </row>
    <row r="209" spans="1:1" ht="12.75">
      <c r="A209" s="23" t="s">
        <v>2018</v>
      </c>
    </row>
    <row r="210" spans="1:1" ht="12.75">
      <c r="A210" s="23" t="s">
        <v>2019</v>
      </c>
    </row>
    <row r="211" spans="1:1" ht="12.75">
      <c r="A211" s="23" t="s">
        <v>2020</v>
      </c>
    </row>
    <row r="212" spans="1:1" ht="12.75">
      <c r="A212" s="23" t="s">
        <v>2021</v>
      </c>
    </row>
    <row r="213" spans="1:1" ht="12.75">
      <c r="A213" s="23" t="s">
        <v>2022</v>
      </c>
    </row>
    <row r="214" spans="1:1" ht="12.75">
      <c r="A214" s="23" t="s">
        <v>2023</v>
      </c>
    </row>
    <row r="215" spans="1:1" ht="12.75">
      <c r="A215" s="23" t="s">
        <v>2024</v>
      </c>
    </row>
    <row r="216" spans="1:1" ht="12.75">
      <c r="A216" s="23" t="s">
        <v>2025</v>
      </c>
    </row>
    <row r="217" spans="1:1" ht="12.75">
      <c r="A217" s="23" t="s">
        <v>2026</v>
      </c>
    </row>
    <row r="218" spans="1:1" ht="12.75">
      <c r="A218" s="23" t="s">
        <v>2027</v>
      </c>
    </row>
    <row r="219" spans="1:1" ht="12.75">
      <c r="A219" s="23" t="s">
        <v>2028</v>
      </c>
    </row>
    <row r="220" spans="1:1" ht="12.75">
      <c r="A220" s="23" t="s">
        <v>2029</v>
      </c>
    </row>
    <row r="221" spans="1:1" ht="12.75">
      <c r="A221" s="23" t="s">
        <v>2030</v>
      </c>
    </row>
    <row r="222" spans="1:1" ht="12.75">
      <c r="A222" s="23" t="s">
        <v>2031</v>
      </c>
    </row>
    <row r="223" spans="1:1" ht="12.75">
      <c r="A223" s="23" t="s">
        <v>2032</v>
      </c>
    </row>
    <row r="224" spans="1:1" ht="12.75">
      <c r="A224" s="23" t="s">
        <v>2033</v>
      </c>
    </row>
    <row r="225" spans="1:1" ht="12.75">
      <c r="A225" s="23" t="s">
        <v>2034</v>
      </c>
    </row>
    <row r="226" spans="1:1" ht="12.75">
      <c r="A226" s="23" t="s">
        <v>2035</v>
      </c>
    </row>
    <row r="227" spans="1:1" ht="12.75">
      <c r="A227" s="23" t="s">
        <v>2036</v>
      </c>
    </row>
    <row r="228" spans="1:1" ht="12.75">
      <c r="A228" s="23" t="s">
        <v>2037</v>
      </c>
    </row>
    <row r="229" spans="1:1" ht="12.75">
      <c r="A229" s="23" t="s">
        <v>2038</v>
      </c>
    </row>
    <row r="230" spans="1:1" ht="12.75">
      <c r="A230" s="23" t="s">
        <v>39</v>
      </c>
    </row>
    <row r="231" spans="1:1" ht="12.75">
      <c r="A231" s="23" t="s">
        <v>40</v>
      </c>
    </row>
    <row r="232" spans="1:1" ht="12.75">
      <c r="A232" s="23" t="s">
        <v>41</v>
      </c>
    </row>
    <row r="233" spans="1:1" ht="12.75">
      <c r="A233" s="23" t="s">
        <v>42</v>
      </c>
    </row>
    <row r="234" spans="1:1" ht="12.75">
      <c r="A234" s="23" t="s">
        <v>43</v>
      </c>
    </row>
    <row r="235" spans="1:1" ht="12.75">
      <c r="A235" s="23" t="s">
        <v>44</v>
      </c>
    </row>
    <row r="236" spans="1:1" ht="12.75">
      <c r="A236" s="23" t="s">
        <v>45</v>
      </c>
    </row>
    <row r="237" spans="1:1" ht="12.75">
      <c r="A237" s="23" t="s">
        <v>46</v>
      </c>
    </row>
    <row r="238" spans="1:1" ht="12.75">
      <c r="A238" s="23" t="s">
        <v>47</v>
      </c>
    </row>
    <row r="239" spans="1:1" ht="12.75">
      <c r="A239" s="23" t="s">
        <v>48</v>
      </c>
    </row>
    <row r="240" spans="1:1" ht="12.75">
      <c r="A240" s="23" t="s">
        <v>49</v>
      </c>
    </row>
    <row r="241" spans="1:1" ht="12.75">
      <c r="A241" s="23" t="s">
        <v>50</v>
      </c>
    </row>
    <row r="242" spans="1:1" ht="12.75">
      <c r="A242" s="23" t="s">
        <v>51</v>
      </c>
    </row>
    <row r="243" spans="1:1" ht="12.75">
      <c r="A243" s="23" t="s">
        <v>52</v>
      </c>
    </row>
    <row r="244" spans="1:1" ht="12.75">
      <c r="A244" s="23" t="s">
        <v>53</v>
      </c>
    </row>
    <row r="245" spans="1:1" ht="12.75">
      <c r="A245" s="23" t="s">
        <v>54</v>
      </c>
    </row>
    <row r="246" spans="1:1" ht="12.75">
      <c r="A246" s="23" t="s">
        <v>55</v>
      </c>
    </row>
    <row r="247" spans="1:1" ht="12.75">
      <c r="A247" s="23" t="s">
        <v>56</v>
      </c>
    </row>
    <row r="248" spans="1:1" ht="12.75">
      <c r="A248" s="23" t="s">
        <v>57</v>
      </c>
    </row>
    <row r="249" spans="1:1" ht="12.75">
      <c r="A249" s="23" t="s">
        <v>58</v>
      </c>
    </row>
    <row r="250" spans="1:1" ht="12.75">
      <c r="A250" s="23" t="s">
        <v>59</v>
      </c>
    </row>
    <row r="251" spans="1:1" ht="12.75">
      <c r="A251" s="23" t="s">
        <v>60</v>
      </c>
    </row>
    <row r="252" spans="1:1" ht="12.75">
      <c r="A252" s="23" t="s">
        <v>61</v>
      </c>
    </row>
    <row r="253" spans="1:1" ht="12.75">
      <c r="A253" s="23" t="s">
        <v>62</v>
      </c>
    </row>
    <row r="254" spans="1:1" ht="12.75">
      <c r="A254" s="23" t="s">
        <v>63</v>
      </c>
    </row>
    <row r="255" spans="1:1" ht="12.75">
      <c r="A255" s="23" t="s">
        <v>64</v>
      </c>
    </row>
    <row r="256" spans="1:1" ht="12.75">
      <c r="A256" s="23" t="s">
        <v>65</v>
      </c>
    </row>
    <row r="257" spans="1:1" ht="12.75">
      <c r="A257" s="23" t="s">
        <v>66</v>
      </c>
    </row>
    <row r="258" spans="1:1" ht="12.75">
      <c r="A258" s="23" t="s">
        <v>67</v>
      </c>
    </row>
    <row r="259" spans="1:1" ht="12.75">
      <c r="A259" s="23" t="s">
        <v>68</v>
      </c>
    </row>
    <row r="260" spans="1:1" ht="12.75">
      <c r="A260" s="23" t="s">
        <v>69</v>
      </c>
    </row>
    <row r="261" spans="1:1" ht="12.75">
      <c r="A261" s="23" t="s">
        <v>70</v>
      </c>
    </row>
    <row r="262" spans="1:1" ht="12.75">
      <c r="A262" s="23" t="s">
        <v>71</v>
      </c>
    </row>
    <row r="263" spans="1:1" ht="12.75">
      <c r="A263" s="23" t="s">
        <v>72</v>
      </c>
    </row>
    <row r="264" spans="1:1" ht="12.75">
      <c r="A264" s="23" t="s">
        <v>73</v>
      </c>
    </row>
    <row r="265" spans="1:1" ht="12.75">
      <c r="A265" s="23" t="s">
        <v>74</v>
      </c>
    </row>
    <row r="266" spans="1:1" ht="12.75">
      <c r="A266" s="23" t="s">
        <v>75</v>
      </c>
    </row>
    <row r="267" spans="1:1" ht="12.75">
      <c r="A267" s="23" t="s">
        <v>76</v>
      </c>
    </row>
    <row r="268" spans="1:1" ht="12.75">
      <c r="A268" s="23" t="s">
        <v>77</v>
      </c>
    </row>
    <row r="269" spans="1:1" ht="12.75">
      <c r="A269" s="23" t="s">
        <v>78</v>
      </c>
    </row>
    <row r="270" spans="1:1" ht="12.75">
      <c r="A270" s="23" t="s">
        <v>79</v>
      </c>
    </row>
    <row r="271" spans="1:1" ht="12.75">
      <c r="A271" s="23" t="s">
        <v>80</v>
      </c>
    </row>
    <row r="272" spans="1:1" ht="12.75">
      <c r="A272" s="23" t="s">
        <v>81</v>
      </c>
    </row>
    <row r="273" spans="1:1" ht="12.75">
      <c r="A273" s="23" t="s">
        <v>82</v>
      </c>
    </row>
    <row r="274" spans="1:1" ht="12.75">
      <c r="A274" s="23" t="s">
        <v>83</v>
      </c>
    </row>
    <row r="275" spans="1:1" ht="12.75">
      <c r="A275" s="23" t="s">
        <v>84</v>
      </c>
    </row>
    <row r="276" spans="1:1" ht="12.75">
      <c r="A276" s="23" t="s">
        <v>85</v>
      </c>
    </row>
    <row r="277" spans="1:1" ht="12.75">
      <c r="A277" s="23" t="s">
        <v>86</v>
      </c>
    </row>
    <row r="278" spans="1:1" ht="12.75">
      <c r="A278" s="23" t="s">
        <v>87</v>
      </c>
    </row>
    <row r="279" spans="1:1" ht="12.75">
      <c r="A279" s="23" t="s">
        <v>88</v>
      </c>
    </row>
    <row r="280" spans="1:1" ht="12.75">
      <c r="A280" s="23" t="s">
        <v>89</v>
      </c>
    </row>
    <row r="281" spans="1:1" ht="12.75">
      <c r="A281" s="23" t="s">
        <v>90</v>
      </c>
    </row>
    <row r="282" spans="1:1" ht="12.75">
      <c r="A282" s="23" t="s">
        <v>91</v>
      </c>
    </row>
    <row r="283" spans="1:1" ht="12.75">
      <c r="A283" s="23" t="s">
        <v>92</v>
      </c>
    </row>
    <row r="284" spans="1:1" ht="12.75">
      <c r="A284" s="23" t="s">
        <v>93</v>
      </c>
    </row>
    <row r="285" spans="1:1" ht="12.75">
      <c r="A285" s="23" t="s">
        <v>94</v>
      </c>
    </row>
    <row r="286" spans="1:1" ht="12.75">
      <c r="A286" s="23" t="s">
        <v>95</v>
      </c>
    </row>
    <row r="287" spans="1:1" ht="12.75">
      <c r="A287" s="23" t="s">
        <v>96</v>
      </c>
    </row>
    <row r="288" spans="1:1" ht="12.75">
      <c r="A288" s="23" t="s">
        <v>97</v>
      </c>
    </row>
    <row r="289" spans="1:1" ht="12.75">
      <c r="A289" s="23" t="s">
        <v>98</v>
      </c>
    </row>
    <row r="290" spans="1:1" ht="12.75">
      <c r="A290" s="23" t="s">
        <v>99</v>
      </c>
    </row>
    <row r="291" spans="1:1" ht="12.75">
      <c r="A291" s="23" t="s">
        <v>100</v>
      </c>
    </row>
    <row r="292" spans="1:1" ht="12.75">
      <c r="A292" s="23" t="s">
        <v>101</v>
      </c>
    </row>
    <row r="293" spans="1:1" ht="12.75">
      <c r="A293" s="23" t="s">
        <v>102</v>
      </c>
    </row>
    <row r="294" spans="1:1" ht="12.75">
      <c r="A294" s="23" t="s">
        <v>103</v>
      </c>
    </row>
    <row r="295" spans="1:1" ht="12.75">
      <c r="A295" s="23" t="s">
        <v>104</v>
      </c>
    </row>
    <row r="296" spans="1:1" ht="12.75">
      <c r="A296" s="23" t="s">
        <v>105</v>
      </c>
    </row>
    <row r="297" spans="1:1" ht="12.75">
      <c r="A297" s="23" t="s">
        <v>106</v>
      </c>
    </row>
    <row r="298" spans="1:1" ht="12.75">
      <c r="A298" s="23" t="s">
        <v>107</v>
      </c>
    </row>
    <row r="299" spans="1:1" ht="12.75">
      <c r="A299" s="23" t="s">
        <v>108</v>
      </c>
    </row>
    <row r="300" spans="1:1" ht="12.75">
      <c r="A300" s="23" t="s">
        <v>109</v>
      </c>
    </row>
    <row r="301" spans="1:1" ht="12.75">
      <c r="A301" s="23" t="s">
        <v>110</v>
      </c>
    </row>
    <row r="302" spans="1:1" ht="12.75">
      <c r="A302" s="23" t="s">
        <v>111</v>
      </c>
    </row>
    <row r="303" spans="1:1" ht="12.75">
      <c r="A303" s="23" t="s">
        <v>112</v>
      </c>
    </row>
    <row r="304" spans="1:1" ht="12.75">
      <c r="A304" s="23" t="s">
        <v>113</v>
      </c>
    </row>
    <row r="305" spans="1:1" ht="12.75">
      <c r="A305" s="23" t="s">
        <v>114</v>
      </c>
    </row>
    <row r="306" spans="1:1" ht="12.75">
      <c r="A306" s="23" t="s">
        <v>115</v>
      </c>
    </row>
    <row r="307" spans="1:1" ht="12.75">
      <c r="A307" s="23" t="s">
        <v>116</v>
      </c>
    </row>
    <row r="308" spans="1:1" ht="12.75">
      <c r="A308" s="23" t="s">
        <v>117</v>
      </c>
    </row>
    <row r="309" spans="1:1" ht="12.75">
      <c r="A309" s="23" t="s">
        <v>118</v>
      </c>
    </row>
    <row r="310" spans="1:1" ht="12.75">
      <c r="A310" s="23" t="s">
        <v>119</v>
      </c>
    </row>
    <row r="311" spans="1:1" ht="12.75">
      <c r="A311" s="23" t="s">
        <v>120</v>
      </c>
    </row>
    <row r="312" spans="1:1" ht="12.75">
      <c r="A312" s="23" t="s">
        <v>121</v>
      </c>
    </row>
    <row r="313" spans="1:1" ht="12.75">
      <c r="A313" s="23" t="s">
        <v>122</v>
      </c>
    </row>
    <row r="314" spans="1:1" ht="12.75">
      <c r="A314" s="23" t="s">
        <v>123</v>
      </c>
    </row>
    <row r="315" spans="1:1" ht="12.75">
      <c r="A315" s="23" t="s">
        <v>124</v>
      </c>
    </row>
    <row r="316" spans="1:1" ht="12.75">
      <c r="A316" s="23" t="s">
        <v>125</v>
      </c>
    </row>
    <row r="317" spans="1:1" ht="12.75">
      <c r="A317" s="23" t="s">
        <v>126</v>
      </c>
    </row>
    <row r="318" spans="1:1" ht="12.75">
      <c r="A318" s="23" t="s">
        <v>127</v>
      </c>
    </row>
    <row r="319" spans="1:1" ht="12.75">
      <c r="A319" s="23" t="s">
        <v>128</v>
      </c>
    </row>
    <row r="320" spans="1:1" ht="12.75">
      <c r="A320" s="23" t="s">
        <v>129</v>
      </c>
    </row>
    <row r="321" spans="1:1" ht="12.75">
      <c r="A321" s="23" t="s">
        <v>130</v>
      </c>
    </row>
    <row r="322" spans="1:1" ht="12.75">
      <c r="A322" s="23" t="s">
        <v>131</v>
      </c>
    </row>
    <row r="323" spans="1:1" ht="12.75">
      <c r="A323" s="23" t="s">
        <v>132</v>
      </c>
    </row>
    <row r="324" spans="1:1" ht="12.75">
      <c r="A324" s="23" t="s">
        <v>133</v>
      </c>
    </row>
    <row r="325" spans="1:1" ht="12.75">
      <c r="A325" s="23" t="s">
        <v>134</v>
      </c>
    </row>
    <row r="326" spans="1:1" ht="12.75">
      <c r="A326" s="23" t="s">
        <v>135</v>
      </c>
    </row>
    <row r="327" spans="1:1" ht="12.75">
      <c r="A327" s="23" t="s">
        <v>136</v>
      </c>
    </row>
    <row r="328" spans="1:1" ht="12.75">
      <c r="A328" s="23" t="s">
        <v>137</v>
      </c>
    </row>
    <row r="329" spans="1:1" ht="12.75">
      <c r="A329" s="23" t="s">
        <v>138</v>
      </c>
    </row>
    <row r="330" spans="1:1" ht="12.75">
      <c r="A330" s="23" t="s">
        <v>139</v>
      </c>
    </row>
    <row r="331" spans="1:1" ht="12.75">
      <c r="A331" s="23" t="s">
        <v>140</v>
      </c>
    </row>
    <row r="332" spans="1:1" ht="12.75">
      <c r="A332" s="23" t="s">
        <v>141</v>
      </c>
    </row>
    <row r="333" spans="1:1" ht="12.75">
      <c r="A333" s="23" t="s">
        <v>142</v>
      </c>
    </row>
    <row r="334" spans="1:1" ht="12.75">
      <c r="A334" s="23" t="s">
        <v>143</v>
      </c>
    </row>
    <row r="335" spans="1:1" ht="12.75">
      <c r="A335" s="23" t="s">
        <v>144</v>
      </c>
    </row>
    <row r="336" spans="1:1" ht="12.75">
      <c r="A336" s="23" t="s">
        <v>145</v>
      </c>
    </row>
    <row r="337" spans="1:1" ht="12.75">
      <c r="A337" s="23" t="s">
        <v>146</v>
      </c>
    </row>
    <row r="338" spans="1:1" ht="12.75">
      <c r="A338" s="23" t="s">
        <v>147</v>
      </c>
    </row>
    <row r="339" spans="1:1" ht="12.75">
      <c r="A339" s="23" t="s">
        <v>148</v>
      </c>
    </row>
    <row r="340" spans="1:1" ht="12.75">
      <c r="A340" s="23" t="s">
        <v>149</v>
      </c>
    </row>
    <row r="341" spans="1:1" ht="12.75">
      <c r="A341" s="23" t="s">
        <v>150</v>
      </c>
    </row>
    <row r="342" spans="1:1" ht="12.75">
      <c r="A342" s="23" t="s">
        <v>151</v>
      </c>
    </row>
    <row r="343" spans="1:1" ht="12.75">
      <c r="A343" s="23" t="s">
        <v>152</v>
      </c>
    </row>
    <row r="344" spans="1:1" ht="12.75">
      <c r="A344" s="23" t="s">
        <v>153</v>
      </c>
    </row>
    <row r="345" spans="1:1" ht="12.75">
      <c r="A345" s="23" t="s">
        <v>154</v>
      </c>
    </row>
    <row r="346" spans="1:1" ht="12.75">
      <c r="A346" s="23" t="s">
        <v>155</v>
      </c>
    </row>
    <row r="347" spans="1:1" ht="12.75">
      <c r="A347" s="23" t="s">
        <v>156</v>
      </c>
    </row>
    <row r="348" spans="1:1" ht="12.75">
      <c r="A348" s="23" t="s">
        <v>157</v>
      </c>
    </row>
    <row r="349" spans="1:1" ht="12.75">
      <c r="A349" s="23" t="s">
        <v>158</v>
      </c>
    </row>
    <row r="350" spans="1:1" ht="12.75">
      <c r="A350" s="23" t="s">
        <v>159</v>
      </c>
    </row>
    <row r="351" spans="1:1" ht="12.75">
      <c r="A351" s="23" t="s">
        <v>160</v>
      </c>
    </row>
    <row r="352" spans="1:1" ht="12.75">
      <c r="A352" s="23" t="s">
        <v>161</v>
      </c>
    </row>
    <row r="353" spans="1:1" ht="12.75">
      <c r="A353" s="23" t="s">
        <v>162</v>
      </c>
    </row>
    <row r="354" spans="1:1" ht="12.75">
      <c r="A354" s="23" t="s">
        <v>163</v>
      </c>
    </row>
    <row r="355" spans="1:1" ht="12.75">
      <c r="A355" s="23" t="s">
        <v>164</v>
      </c>
    </row>
    <row r="356" spans="1:1" ht="12.75">
      <c r="A356" s="23" t="s">
        <v>165</v>
      </c>
    </row>
    <row r="357" spans="1:1" ht="12.75">
      <c r="A357" s="23" t="s">
        <v>166</v>
      </c>
    </row>
    <row r="358" spans="1:1" ht="12.75">
      <c r="A358" s="23" t="s">
        <v>167</v>
      </c>
    </row>
    <row r="359" spans="1:1" ht="12.75">
      <c r="A359" s="23" t="s">
        <v>168</v>
      </c>
    </row>
    <row r="360" spans="1:1" ht="12.75">
      <c r="A360" s="23" t="s">
        <v>169</v>
      </c>
    </row>
    <row r="361" spans="1:1" ht="12.75">
      <c r="A361" s="23" t="s">
        <v>170</v>
      </c>
    </row>
    <row r="362" spans="1:1" ht="12.75">
      <c r="A362" s="23" t="s">
        <v>171</v>
      </c>
    </row>
    <row r="363" spans="1:1" ht="12.75">
      <c r="A363" s="23" t="s">
        <v>172</v>
      </c>
    </row>
    <row r="364" spans="1:1" ht="12.75">
      <c r="A364" s="23" t="s">
        <v>173</v>
      </c>
    </row>
    <row r="365" spans="1:1" ht="12.75">
      <c r="A365" s="23" t="s">
        <v>174</v>
      </c>
    </row>
    <row r="366" spans="1:1" ht="12.75">
      <c r="A366" s="23" t="s">
        <v>175</v>
      </c>
    </row>
    <row r="367" spans="1:1" ht="12.75">
      <c r="A367" s="23" t="s">
        <v>176</v>
      </c>
    </row>
    <row r="368" spans="1:1" ht="12.75">
      <c r="A368" s="23" t="s">
        <v>177</v>
      </c>
    </row>
    <row r="369" spans="1:1" ht="12.75">
      <c r="A369" s="23" t="s">
        <v>178</v>
      </c>
    </row>
    <row r="370" spans="1:1" ht="12.75">
      <c r="A370" s="23" t="s">
        <v>179</v>
      </c>
    </row>
    <row r="371" spans="1:1" ht="12.75">
      <c r="A371" s="23" t="s">
        <v>180</v>
      </c>
    </row>
    <row r="372" spans="1:1" ht="12.75">
      <c r="A372" s="23" t="s">
        <v>181</v>
      </c>
    </row>
    <row r="373" spans="1:1" ht="12.75">
      <c r="A373" s="23" t="s">
        <v>182</v>
      </c>
    </row>
    <row r="374" spans="1:1" ht="12.75">
      <c r="A374" s="23" t="s">
        <v>183</v>
      </c>
    </row>
    <row r="375" spans="1:1" ht="12.75">
      <c r="A375" s="23" t="s">
        <v>184</v>
      </c>
    </row>
    <row r="376" spans="1:1" ht="12.75">
      <c r="A376" s="23" t="s">
        <v>185</v>
      </c>
    </row>
    <row r="377" spans="1:1" ht="12.75">
      <c r="A377" s="23" t="s">
        <v>186</v>
      </c>
    </row>
    <row r="378" spans="1:1" ht="12.75">
      <c r="A378" s="23" t="s">
        <v>187</v>
      </c>
    </row>
    <row r="379" spans="1:1" ht="12.75">
      <c r="A379" s="23" t="s">
        <v>188</v>
      </c>
    </row>
    <row r="380" spans="1:1" ht="12.75">
      <c r="A380" s="23" t="s">
        <v>189</v>
      </c>
    </row>
    <row r="381" spans="1:1" ht="12.75">
      <c r="A381" s="23" t="s">
        <v>190</v>
      </c>
    </row>
    <row r="382" spans="1:1" ht="12.75">
      <c r="A382" s="23" t="s">
        <v>191</v>
      </c>
    </row>
    <row r="383" spans="1:1" ht="12.75">
      <c r="A383" s="23" t="s">
        <v>192</v>
      </c>
    </row>
    <row r="384" spans="1:1" ht="12.75">
      <c r="A384" s="23" t="s">
        <v>193</v>
      </c>
    </row>
    <row r="385" spans="1:1" ht="12.75">
      <c r="A385" s="23" t="s">
        <v>194</v>
      </c>
    </row>
    <row r="386" spans="1:1" ht="12.75">
      <c r="A386" s="23" t="s">
        <v>195</v>
      </c>
    </row>
    <row r="387" spans="1:1" ht="12.75">
      <c r="A387" s="23" t="s">
        <v>196</v>
      </c>
    </row>
    <row r="388" spans="1:1" ht="12.75">
      <c r="A388" s="23" t="s">
        <v>197</v>
      </c>
    </row>
    <row r="389" spans="1:1" ht="12.75">
      <c r="A389" s="23" t="s">
        <v>198</v>
      </c>
    </row>
    <row r="390" spans="1:1" ht="12.75">
      <c r="A390" s="23" t="s">
        <v>199</v>
      </c>
    </row>
    <row r="391" spans="1:1" ht="12.75">
      <c r="A391" s="23" t="s">
        <v>200</v>
      </c>
    </row>
    <row r="392" spans="1:1" ht="12.75">
      <c r="A392" s="23" t="s">
        <v>201</v>
      </c>
    </row>
    <row r="393" spans="1:1" ht="12.75">
      <c r="A393" s="23" t="s">
        <v>202</v>
      </c>
    </row>
    <row r="394" spans="1:1" ht="12.75">
      <c r="A394" s="23" t="s">
        <v>203</v>
      </c>
    </row>
    <row r="395" spans="1:1" ht="12.75">
      <c r="A395" s="23" t="s">
        <v>204</v>
      </c>
    </row>
    <row r="396" spans="1:1" ht="12.75">
      <c r="A396" s="23" t="s">
        <v>205</v>
      </c>
    </row>
    <row r="397" spans="1:1" ht="12.75">
      <c r="A397" s="23" t="s">
        <v>206</v>
      </c>
    </row>
    <row r="398" spans="1:1" ht="12.75">
      <c r="A398" s="23" t="s">
        <v>207</v>
      </c>
    </row>
    <row r="399" spans="1:1" ht="12.75">
      <c r="A399" s="23" t="s">
        <v>208</v>
      </c>
    </row>
    <row r="400" spans="1:1" ht="12.75">
      <c r="A400" s="23" t="s">
        <v>209</v>
      </c>
    </row>
    <row r="401" spans="1:1" ht="12.75">
      <c r="A401" s="23" t="s">
        <v>210</v>
      </c>
    </row>
    <row r="402" spans="1:1" ht="12.75">
      <c r="A402" s="23" t="s">
        <v>211</v>
      </c>
    </row>
    <row r="403" spans="1:1" ht="12.75">
      <c r="A403" s="23" t="s">
        <v>212</v>
      </c>
    </row>
    <row r="404" spans="1:1" ht="12.75">
      <c r="A404" s="23" t="s">
        <v>213</v>
      </c>
    </row>
    <row r="405" spans="1:1" ht="12.75">
      <c r="A405" s="23" t="s">
        <v>214</v>
      </c>
    </row>
    <row r="406" spans="1:1" ht="12.75">
      <c r="A406" s="23" t="s">
        <v>215</v>
      </c>
    </row>
    <row r="407" spans="1:1" ht="12.75">
      <c r="A407" s="23" t="s">
        <v>216</v>
      </c>
    </row>
    <row r="408" spans="1:1" ht="12.75">
      <c r="A408" s="23" t="s">
        <v>217</v>
      </c>
    </row>
    <row r="409" spans="1:1" ht="12.75">
      <c r="A409" s="23" t="s">
        <v>218</v>
      </c>
    </row>
    <row r="410" spans="1:1" ht="12.75">
      <c r="A410" s="23" t="s">
        <v>219</v>
      </c>
    </row>
    <row r="411" spans="1:1" ht="12.75">
      <c r="A411" s="23" t="s">
        <v>220</v>
      </c>
    </row>
    <row r="412" spans="1:1" ht="12.75">
      <c r="A412" s="23" t="s">
        <v>221</v>
      </c>
    </row>
    <row r="413" spans="1:1" ht="12.75">
      <c r="A413" s="23" t="s">
        <v>222</v>
      </c>
    </row>
    <row r="414" spans="1:1" ht="12.75">
      <c r="A414" s="23" t="s">
        <v>223</v>
      </c>
    </row>
    <row r="415" spans="1:1" ht="12.75">
      <c r="A415" s="23" t="s">
        <v>224</v>
      </c>
    </row>
    <row r="416" spans="1:1" ht="12.75">
      <c r="A416" s="23" t="s">
        <v>225</v>
      </c>
    </row>
    <row r="417" spans="1:1" ht="12.75">
      <c r="A417" s="23" t="s">
        <v>226</v>
      </c>
    </row>
    <row r="418" spans="1:1" ht="12.75">
      <c r="A418" s="23" t="s">
        <v>227</v>
      </c>
    </row>
    <row r="419" spans="1:1" ht="12.75">
      <c r="A419" s="23" t="s">
        <v>228</v>
      </c>
    </row>
    <row r="420" spans="1:1" ht="12.75">
      <c r="A420" s="23" t="s">
        <v>229</v>
      </c>
    </row>
    <row r="421" spans="1:1" ht="12.75">
      <c r="A421" s="23" t="s">
        <v>230</v>
      </c>
    </row>
    <row r="422" spans="1:1" ht="12.75">
      <c r="A422" s="23" t="s">
        <v>231</v>
      </c>
    </row>
    <row r="423" spans="1:1" ht="12.75">
      <c r="A423" s="23" t="s">
        <v>232</v>
      </c>
    </row>
    <row r="424" spans="1:1" ht="12.75">
      <c r="A424" s="23" t="s">
        <v>233</v>
      </c>
    </row>
    <row r="425" spans="1:1" ht="12.75">
      <c r="A425" s="23" t="s">
        <v>234</v>
      </c>
    </row>
    <row r="426" spans="1:1" ht="12.75">
      <c r="A426" s="23" t="s">
        <v>235</v>
      </c>
    </row>
    <row r="427" spans="1:1" ht="12.75">
      <c r="A427" s="23" t="s">
        <v>236</v>
      </c>
    </row>
    <row r="428" spans="1:1" ht="12.75">
      <c r="A428" s="23" t="s">
        <v>237</v>
      </c>
    </row>
    <row r="429" spans="1:1" ht="12.75">
      <c r="A429" s="23" t="s">
        <v>238</v>
      </c>
    </row>
    <row r="430" spans="1:1" ht="12.75">
      <c r="A430" s="23" t="s">
        <v>239</v>
      </c>
    </row>
    <row r="431" spans="1:1" ht="12.75">
      <c r="A431" s="23" t="s">
        <v>240</v>
      </c>
    </row>
    <row r="432" spans="1:1" ht="12.75">
      <c r="A432" s="23" t="s">
        <v>241</v>
      </c>
    </row>
    <row r="433" spans="1:1" ht="12.75">
      <c r="A433" s="23" t="s">
        <v>242</v>
      </c>
    </row>
    <row r="434" spans="1:1" ht="12.75">
      <c r="A434" s="23" t="s">
        <v>243</v>
      </c>
    </row>
    <row r="435" spans="1:1" ht="12.75">
      <c r="A435" s="23" t="s">
        <v>244</v>
      </c>
    </row>
    <row r="436" spans="1:1" ht="12.75">
      <c r="A436" s="23" t="s">
        <v>245</v>
      </c>
    </row>
    <row r="437" spans="1:1" ht="12.75">
      <c r="A437" s="23" t="s">
        <v>246</v>
      </c>
    </row>
    <row r="438" spans="1:1" ht="12.75">
      <c r="A438" s="23" t="s">
        <v>247</v>
      </c>
    </row>
    <row r="439" spans="1:1" ht="12.75">
      <c r="A439" s="23" t="s">
        <v>248</v>
      </c>
    </row>
    <row r="440" spans="1:1" ht="12.75">
      <c r="A440" s="23" t="s">
        <v>249</v>
      </c>
    </row>
    <row r="441" spans="1:1" ht="12.75">
      <c r="A441" s="23" t="s">
        <v>250</v>
      </c>
    </row>
    <row r="442" spans="1:1" ht="12.75">
      <c r="A442" s="23" t="s">
        <v>251</v>
      </c>
    </row>
    <row r="443" spans="1:1" ht="12.75">
      <c r="A443" s="23" t="s">
        <v>252</v>
      </c>
    </row>
    <row r="444" spans="1:1" ht="12.75">
      <c r="A444" s="23" t="s">
        <v>253</v>
      </c>
    </row>
    <row r="445" spans="1:1" ht="12.75">
      <c r="A445" s="23" t="s">
        <v>254</v>
      </c>
    </row>
    <row r="446" spans="1:1" ht="12.75">
      <c r="A446" s="23" t="s">
        <v>255</v>
      </c>
    </row>
    <row r="447" spans="1:1" ht="12.75">
      <c r="A447" s="23" t="s">
        <v>256</v>
      </c>
    </row>
    <row r="448" spans="1:1" ht="12.75">
      <c r="A448" s="23" t="s">
        <v>257</v>
      </c>
    </row>
    <row r="449" spans="1:1" ht="12.75">
      <c r="A449" s="23" t="s">
        <v>258</v>
      </c>
    </row>
    <row r="450" spans="1:1" ht="12.75">
      <c r="A450" s="23" t="s">
        <v>259</v>
      </c>
    </row>
    <row r="451" spans="1:1" ht="12.75">
      <c r="A451" s="23" t="s">
        <v>260</v>
      </c>
    </row>
    <row r="452" spans="1:1" ht="12.75">
      <c r="A452" s="23" t="s">
        <v>261</v>
      </c>
    </row>
    <row r="453" spans="1:1" ht="12.75">
      <c r="A453" s="23" t="s">
        <v>262</v>
      </c>
    </row>
    <row r="454" spans="1:1" ht="12.75">
      <c r="A454" s="23" t="s">
        <v>263</v>
      </c>
    </row>
    <row r="455" spans="1:1" ht="12.75">
      <c r="A455" s="23" t="s">
        <v>264</v>
      </c>
    </row>
    <row r="456" spans="1:1" ht="12.75">
      <c r="A456" s="23" t="s">
        <v>265</v>
      </c>
    </row>
    <row r="457" spans="1:1" ht="12.75">
      <c r="A457" s="23" t="s">
        <v>266</v>
      </c>
    </row>
    <row r="458" spans="1:1" ht="12.75">
      <c r="A458" s="23" t="s">
        <v>267</v>
      </c>
    </row>
    <row r="459" spans="1:1" ht="12.75">
      <c r="A459" s="23" t="s">
        <v>268</v>
      </c>
    </row>
    <row r="460" spans="1:1" ht="12.75">
      <c r="A460" s="23" t="s">
        <v>269</v>
      </c>
    </row>
    <row r="461" spans="1:1" ht="12.75">
      <c r="A461" s="23" t="s">
        <v>270</v>
      </c>
    </row>
    <row r="462" spans="1:1" ht="12.75">
      <c r="A462" s="23" t="s">
        <v>271</v>
      </c>
    </row>
    <row r="463" spans="1:1" ht="12.75">
      <c r="A463" s="23" t="s">
        <v>272</v>
      </c>
    </row>
    <row r="464" spans="1:1" ht="12.75">
      <c r="A464" s="23" t="s">
        <v>273</v>
      </c>
    </row>
    <row r="465" spans="1:1" ht="12.75">
      <c r="A465" s="23" t="s">
        <v>274</v>
      </c>
    </row>
    <row r="466" spans="1:1" ht="12.75">
      <c r="A466" s="23" t="s">
        <v>275</v>
      </c>
    </row>
    <row r="467" spans="1:1" ht="12.75">
      <c r="A467" s="23" t="s">
        <v>276</v>
      </c>
    </row>
    <row r="468" spans="1:1" ht="12.75">
      <c r="A468" s="23" t="s">
        <v>277</v>
      </c>
    </row>
    <row r="469" spans="1:1" ht="12.75">
      <c r="A469" s="23" t="s">
        <v>278</v>
      </c>
    </row>
    <row r="470" spans="1:1" ht="12.75">
      <c r="A470" s="23" t="s">
        <v>279</v>
      </c>
    </row>
    <row r="471" spans="1:1" ht="12.75">
      <c r="A471" s="23" t="s">
        <v>280</v>
      </c>
    </row>
    <row r="472" spans="1:1" ht="12.75">
      <c r="A472" s="23" t="s">
        <v>281</v>
      </c>
    </row>
    <row r="473" spans="1:1" ht="12.75">
      <c r="A473" s="23" t="s">
        <v>282</v>
      </c>
    </row>
    <row r="474" spans="1:1" ht="12.75">
      <c r="A474" s="23" t="s">
        <v>283</v>
      </c>
    </row>
    <row r="475" spans="1:1" ht="12.75">
      <c r="A475" s="23" t="s">
        <v>284</v>
      </c>
    </row>
    <row r="476" spans="1:1" ht="12.75">
      <c r="A476" s="23" t="s">
        <v>285</v>
      </c>
    </row>
    <row r="477" spans="1:1" ht="12.75">
      <c r="A477" s="23" t="s">
        <v>286</v>
      </c>
    </row>
    <row r="478" spans="1:1" ht="12.75">
      <c r="A478" s="23" t="s">
        <v>287</v>
      </c>
    </row>
    <row r="479" spans="1:1" ht="12.75">
      <c r="A479" s="23" t="s">
        <v>288</v>
      </c>
    </row>
    <row r="480" spans="1:1" ht="12.75">
      <c r="A480" s="23" t="s">
        <v>289</v>
      </c>
    </row>
    <row r="481" spans="1:1" ht="12.75">
      <c r="A481" s="23" t="s">
        <v>290</v>
      </c>
    </row>
    <row r="482" spans="1:1" ht="12.75">
      <c r="A482" s="23" t="s">
        <v>291</v>
      </c>
    </row>
    <row r="483" spans="1:1" ht="12.75">
      <c r="A483" s="23" t="s">
        <v>292</v>
      </c>
    </row>
    <row r="484" spans="1:1" ht="12.75">
      <c r="A484" s="23" t="s">
        <v>293</v>
      </c>
    </row>
    <row r="485" spans="1:1" ht="12.75">
      <c r="A485" s="23" t="s">
        <v>294</v>
      </c>
    </row>
    <row r="486" spans="1:1" ht="12.75">
      <c r="A486" s="23" t="s">
        <v>295</v>
      </c>
    </row>
    <row r="487" spans="1:1" ht="12.75">
      <c r="A487" s="23" t="s">
        <v>296</v>
      </c>
    </row>
    <row r="488" spans="1:1" ht="12.75">
      <c r="A488" s="23" t="s">
        <v>297</v>
      </c>
    </row>
    <row r="489" spans="1:1" ht="12.75">
      <c r="A489" s="23" t="s">
        <v>298</v>
      </c>
    </row>
    <row r="490" spans="1:1" ht="12.75">
      <c r="A490" s="23" t="s">
        <v>299</v>
      </c>
    </row>
    <row r="491" spans="1:1" ht="12.75">
      <c r="A491" s="23" t="s">
        <v>300</v>
      </c>
    </row>
    <row r="492" spans="1:1" ht="12.75">
      <c r="A492" s="23" t="s">
        <v>301</v>
      </c>
    </row>
    <row r="493" spans="1:1" ht="12.75">
      <c r="A493" s="23" t="s">
        <v>302</v>
      </c>
    </row>
    <row r="494" spans="1:1" ht="12.75">
      <c r="A494" s="23" t="s">
        <v>303</v>
      </c>
    </row>
    <row r="495" spans="1:1" ht="12.75">
      <c r="A495" s="23" t="s">
        <v>304</v>
      </c>
    </row>
    <row r="496" spans="1:1" ht="12.75">
      <c r="A496" s="23" t="s">
        <v>305</v>
      </c>
    </row>
    <row r="497" spans="1:1" ht="12.75">
      <c r="A497" s="23" t="s">
        <v>306</v>
      </c>
    </row>
    <row r="498" spans="1:1" ht="12.75">
      <c r="A498" s="23" t="s">
        <v>307</v>
      </c>
    </row>
    <row r="499" spans="1:1" ht="12.75">
      <c r="A499" s="23" t="s">
        <v>308</v>
      </c>
    </row>
    <row r="500" spans="1:1" ht="12.75">
      <c r="A500" s="23" t="s">
        <v>309</v>
      </c>
    </row>
    <row r="501" spans="1:1" ht="12.75">
      <c r="A501" s="23" t="s">
        <v>310</v>
      </c>
    </row>
    <row r="502" spans="1:1" ht="12.75">
      <c r="A502" s="23" t="s">
        <v>311</v>
      </c>
    </row>
    <row r="503" spans="1:1" ht="12.75">
      <c r="A503" s="23" t="s">
        <v>312</v>
      </c>
    </row>
    <row r="504" spans="1:1" ht="12.75">
      <c r="A504" s="23" t="s">
        <v>313</v>
      </c>
    </row>
    <row r="505" spans="1:1" ht="12.75">
      <c r="A505" s="23" t="s">
        <v>314</v>
      </c>
    </row>
    <row r="506" spans="1:1" ht="12.75">
      <c r="A506" s="23" t="s">
        <v>315</v>
      </c>
    </row>
    <row r="507" spans="1:1" ht="12.75">
      <c r="A507" s="23" t="s">
        <v>316</v>
      </c>
    </row>
    <row r="508" spans="1:1" ht="12.75">
      <c r="A508" s="23" t="s">
        <v>317</v>
      </c>
    </row>
    <row r="509" spans="1:1" ht="12.75">
      <c r="A509" s="23" t="s">
        <v>318</v>
      </c>
    </row>
    <row r="510" spans="1:1" ht="12.75">
      <c r="A510" s="23" t="s">
        <v>319</v>
      </c>
    </row>
    <row r="511" spans="1:1" ht="12.75">
      <c r="A511" s="23" t="s">
        <v>320</v>
      </c>
    </row>
    <row r="512" spans="1:1" ht="12.75">
      <c r="A512" s="23" t="s">
        <v>321</v>
      </c>
    </row>
    <row r="513" spans="1:1" ht="12.75">
      <c r="A513" s="23" t="s">
        <v>322</v>
      </c>
    </row>
    <row r="514" spans="1:1" ht="12.75">
      <c r="A514" s="23" t="s">
        <v>323</v>
      </c>
    </row>
    <row r="515" spans="1:1" ht="12.75">
      <c r="A515" s="23" t="s">
        <v>324</v>
      </c>
    </row>
    <row r="516" spans="1:1" ht="12.75">
      <c r="A516" s="23" t="s">
        <v>325</v>
      </c>
    </row>
    <row r="517" spans="1:1" ht="12.75">
      <c r="A517" s="23" t="s">
        <v>326</v>
      </c>
    </row>
    <row r="518" spans="1:1" ht="12.75">
      <c r="A518" s="23" t="s">
        <v>327</v>
      </c>
    </row>
    <row r="519" spans="1:1" ht="12.75">
      <c r="A519" s="23" t="s">
        <v>328</v>
      </c>
    </row>
    <row r="520" spans="1:1" ht="12.75">
      <c r="A520" s="23" t="s">
        <v>329</v>
      </c>
    </row>
    <row r="521" spans="1:1" ht="12.75">
      <c r="A521" s="23" t="s">
        <v>330</v>
      </c>
    </row>
    <row r="522" spans="1:1" ht="12.75">
      <c r="A522" s="23" t="s">
        <v>331</v>
      </c>
    </row>
    <row r="523" spans="1:1" ht="12.75">
      <c r="A523" s="23" t="s">
        <v>332</v>
      </c>
    </row>
    <row r="524" spans="1:1" ht="12.75">
      <c r="A524" s="23" t="s">
        <v>333</v>
      </c>
    </row>
    <row r="525" spans="1:1" ht="12.75">
      <c r="A525" s="23" t="s">
        <v>334</v>
      </c>
    </row>
    <row r="526" spans="1:1" ht="12.75">
      <c r="A526" s="23" t="s">
        <v>335</v>
      </c>
    </row>
    <row r="527" spans="1:1" ht="12.75">
      <c r="A527" s="23" t="s">
        <v>336</v>
      </c>
    </row>
    <row r="528" spans="1:1" ht="12.75">
      <c r="A528" s="23" t="s">
        <v>337</v>
      </c>
    </row>
    <row r="529" spans="1:1" ht="12.75">
      <c r="A529" s="23" t="s">
        <v>338</v>
      </c>
    </row>
    <row r="530" spans="1:1" ht="12.75">
      <c r="A530" s="23" t="s">
        <v>339</v>
      </c>
    </row>
    <row r="531" spans="1:1" ht="12.75">
      <c r="A531" s="23" t="s">
        <v>340</v>
      </c>
    </row>
    <row r="532" spans="1:1" ht="12.75">
      <c r="A532" s="23" t="s">
        <v>341</v>
      </c>
    </row>
    <row r="533" spans="1:1" ht="12.75">
      <c r="A533" s="23" t="s">
        <v>342</v>
      </c>
    </row>
    <row r="534" spans="1:1" ht="12.75">
      <c r="A534" s="23" t="s">
        <v>343</v>
      </c>
    </row>
    <row r="535" spans="1:1" ht="12.75">
      <c r="A535" s="23" t="s">
        <v>344</v>
      </c>
    </row>
    <row r="536" spans="1:1" ht="12.75">
      <c r="A536" s="23" t="s">
        <v>345</v>
      </c>
    </row>
    <row r="537" spans="1:1" ht="12.75">
      <c r="A537" s="23" t="s">
        <v>346</v>
      </c>
    </row>
    <row r="538" spans="1:1" ht="12.75">
      <c r="A538" s="23" t="s">
        <v>347</v>
      </c>
    </row>
    <row r="539" spans="1:1" ht="12.75">
      <c r="A539" s="23" t="s">
        <v>348</v>
      </c>
    </row>
    <row r="540" spans="1:1" ht="12.75">
      <c r="A540" s="23" t="s">
        <v>349</v>
      </c>
    </row>
    <row r="541" spans="1:1" ht="12.75">
      <c r="A541" s="23" t="s">
        <v>350</v>
      </c>
    </row>
    <row r="542" spans="1:1" ht="12.75">
      <c r="A542" s="23" t="s">
        <v>351</v>
      </c>
    </row>
    <row r="543" spans="1:1" ht="12.75">
      <c r="A543" s="23" t="s">
        <v>352</v>
      </c>
    </row>
    <row r="544" spans="1:1" ht="12.75">
      <c r="A544" s="23" t="s">
        <v>353</v>
      </c>
    </row>
    <row r="545" spans="1:1" ht="12.75">
      <c r="A545" s="23" t="s">
        <v>354</v>
      </c>
    </row>
    <row r="546" spans="1:1" ht="12.75">
      <c r="A546" s="23" t="s">
        <v>355</v>
      </c>
    </row>
    <row r="547" spans="1:1" ht="12.75">
      <c r="A547" s="23" t="s">
        <v>356</v>
      </c>
    </row>
    <row r="548" spans="1:1" ht="12.75">
      <c r="A548" s="23" t="s">
        <v>357</v>
      </c>
    </row>
    <row r="549" spans="1:1" ht="12.75">
      <c r="A549" s="23" t="s">
        <v>358</v>
      </c>
    </row>
    <row r="550" spans="1:1" ht="12.75">
      <c r="A550" s="23" t="s">
        <v>359</v>
      </c>
    </row>
    <row r="551" spans="1:1" ht="12.75">
      <c r="A551" s="23" t="s">
        <v>360</v>
      </c>
    </row>
    <row r="552" spans="1:1" ht="12.75">
      <c r="A552" s="23" t="s">
        <v>361</v>
      </c>
    </row>
    <row r="553" spans="1:1" ht="12.75">
      <c r="A553" s="23" t="s">
        <v>362</v>
      </c>
    </row>
    <row r="554" spans="1:1" ht="12.75">
      <c r="A554" s="23" t="s">
        <v>363</v>
      </c>
    </row>
    <row r="555" spans="1:1" ht="12.75">
      <c r="A555" s="23" t="s">
        <v>364</v>
      </c>
    </row>
    <row r="556" spans="1:1" ht="12.75">
      <c r="A556" s="23" t="s">
        <v>365</v>
      </c>
    </row>
    <row r="557" spans="1:1" ht="12.75">
      <c r="A557" s="23" t="s">
        <v>366</v>
      </c>
    </row>
    <row r="558" spans="1:1" ht="12.75">
      <c r="A558" s="23" t="s">
        <v>367</v>
      </c>
    </row>
    <row r="559" spans="1:1" ht="12.75">
      <c r="A559" s="23" t="s">
        <v>368</v>
      </c>
    </row>
    <row r="560" spans="1:1" ht="12.75">
      <c r="A560" s="23" t="s">
        <v>369</v>
      </c>
    </row>
    <row r="561" spans="1:1" ht="12.75">
      <c r="A561" s="23" t="s">
        <v>370</v>
      </c>
    </row>
    <row r="562" spans="1:1" ht="12.75">
      <c r="A562" s="23" t="s">
        <v>371</v>
      </c>
    </row>
    <row r="563" spans="1:1" ht="12.75">
      <c r="A563" s="23" t="s">
        <v>372</v>
      </c>
    </row>
    <row r="564" spans="1:1" ht="12.75">
      <c r="A564" s="23" t="s">
        <v>373</v>
      </c>
    </row>
    <row r="565" spans="1:1" ht="12.75">
      <c r="A565" s="23" t="s">
        <v>374</v>
      </c>
    </row>
    <row r="566" spans="1:1" ht="12.75">
      <c r="A566" s="23" t="s">
        <v>375</v>
      </c>
    </row>
    <row r="567" spans="1:1" ht="12.75">
      <c r="A567" s="23" t="s">
        <v>376</v>
      </c>
    </row>
    <row r="568" spans="1:1" ht="12.75">
      <c r="A568" s="23" t="s">
        <v>377</v>
      </c>
    </row>
    <row r="569" spans="1:1" ht="12.75">
      <c r="A569" s="23" t="s">
        <v>378</v>
      </c>
    </row>
    <row r="570" spans="1:1" ht="12.75">
      <c r="A570" s="23" t="s">
        <v>379</v>
      </c>
    </row>
    <row r="571" spans="1:1" ht="12.75">
      <c r="A571" s="23" t="s">
        <v>380</v>
      </c>
    </row>
    <row r="572" spans="1:1" ht="12.75">
      <c r="A572" s="23" t="s">
        <v>381</v>
      </c>
    </row>
    <row r="573" spans="1:1" ht="12.75">
      <c r="A573" s="23" t="s">
        <v>382</v>
      </c>
    </row>
    <row r="574" spans="1:1" ht="12.75">
      <c r="A574" s="23" t="s">
        <v>383</v>
      </c>
    </row>
    <row r="575" spans="1:1" ht="12.75">
      <c r="A575" s="23" t="s">
        <v>384</v>
      </c>
    </row>
    <row r="576" spans="1:1" ht="12.75">
      <c r="A576" s="23" t="s">
        <v>385</v>
      </c>
    </row>
    <row r="577" spans="1:1" ht="12.75">
      <c r="A577" s="23" t="s">
        <v>386</v>
      </c>
    </row>
    <row r="578" spans="1:1" ht="12.75">
      <c r="A578" s="23" t="s">
        <v>387</v>
      </c>
    </row>
    <row r="579" spans="1:1" ht="12.75">
      <c r="A579" s="23" t="s">
        <v>388</v>
      </c>
    </row>
    <row r="580" spans="1:1" ht="12.75">
      <c r="A580" s="23" t="s">
        <v>389</v>
      </c>
    </row>
    <row r="581" spans="1:1" ht="12.75">
      <c r="A581" s="23" t="s">
        <v>390</v>
      </c>
    </row>
    <row r="582" spans="1:1" ht="12.75">
      <c r="A582" s="23" t="s">
        <v>391</v>
      </c>
    </row>
    <row r="583" spans="1:1" ht="12.75">
      <c r="A583" s="23" t="s">
        <v>392</v>
      </c>
    </row>
    <row r="584" spans="1:1" ht="12.75">
      <c r="A584" s="23" t="s">
        <v>393</v>
      </c>
    </row>
    <row r="585" spans="1:1" ht="12.75">
      <c r="A585" s="23" t="s">
        <v>394</v>
      </c>
    </row>
    <row r="586" spans="1:1" ht="12.75">
      <c r="A586" s="23" t="s">
        <v>395</v>
      </c>
    </row>
    <row r="587" spans="1:1" ht="12.75">
      <c r="A587" s="23" t="s">
        <v>396</v>
      </c>
    </row>
    <row r="588" spans="1:1" ht="12.75">
      <c r="A588" s="23" t="s">
        <v>397</v>
      </c>
    </row>
    <row r="589" spans="1:1" ht="12.75">
      <c r="A589" s="23" t="s">
        <v>398</v>
      </c>
    </row>
    <row r="590" spans="1:1" ht="12.75">
      <c r="A590" s="23" t="s">
        <v>399</v>
      </c>
    </row>
    <row r="591" spans="1:1" ht="12.75">
      <c r="A591" s="23" t="s">
        <v>400</v>
      </c>
    </row>
    <row r="592" spans="1:1" ht="12.75">
      <c r="A592" s="23" t="s">
        <v>401</v>
      </c>
    </row>
    <row r="593" spans="1:1" ht="12.75">
      <c r="A593" s="23" t="s">
        <v>402</v>
      </c>
    </row>
    <row r="594" spans="1:1" ht="12.75">
      <c r="A594" s="23" t="s">
        <v>403</v>
      </c>
    </row>
    <row r="595" spans="1:1" ht="12.75">
      <c r="A595" s="23" t="s">
        <v>404</v>
      </c>
    </row>
    <row r="596" spans="1:1" ht="12.75">
      <c r="A596" s="23" t="s">
        <v>405</v>
      </c>
    </row>
    <row r="597" spans="1:1" ht="12.75">
      <c r="A597" s="23" t="s">
        <v>406</v>
      </c>
    </row>
    <row r="598" spans="1:1" ht="12.75">
      <c r="A598" s="23" t="s">
        <v>407</v>
      </c>
    </row>
    <row r="599" spans="1:1" ht="12.75">
      <c r="A599" s="23" t="s">
        <v>408</v>
      </c>
    </row>
    <row r="600" spans="1:1" ht="12.75">
      <c r="A600" s="23" t="s">
        <v>409</v>
      </c>
    </row>
    <row r="601" spans="1:1" ht="12.75">
      <c r="A601" s="23" t="s">
        <v>410</v>
      </c>
    </row>
    <row r="602" spans="1:1" ht="12.75">
      <c r="A602" s="23" t="s">
        <v>411</v>
      </c>
    </row>
    <row r="603" spans="1:1" ht="12.75">
      <c r="A603" s="23" t="s">
        <v>412</v>
      </c>
    </row>
    <row r="604" spans="1:1" ht="12.75">
      <c r="A604" s="23" t="s">
        <v>413</v>
      </c>
    </row>
    <row r="605" spans="1:1" ht="12.75">
      <c r="A605" s="23" t="s">
        <v>414</v>
      </c>
    </row>
    <row r="606" spans="1:1" ht="12.75">
      <c r="A606" s="23" t="s">
        <v>415</v>
      </c>
    </row>
    <row r="607" spans="1:1" ht="12.75">
      <c r="A607" s="23" t="s">
        <v>416</v>
      </c>
    </row>
    <row r="608" spans="1:1" ht="12.75">
      <c r="A608" s="23" t="s">
        <v>417</v>
      </c>
    </row>
    <row r="609" spans="1:1" ht="12.75">
      <c r="A609" s="23" t="s">
        <v>418</v>
      </c>
    </row>
    <row r="610" spans="1:1" ht="12.75">
      <c r="A610" s="23" t="s">
        <v>419</v>
      </c>
    </row>
    <row r="611" spans="1:1" ht="12.75">
      <c r="A611" s="23" t="s">
        <v>420</v>
      </c>
    </row>
    <row r="612" spans="1:1" ht="12.75">
      <c r="A612" s="23" t="s">
        <v>421</v>
      </c>
    </row>
    <row r="613" spans="1:1" ht="12.75">
      <c r="A613" s="23" t="s">
        <v>422</v>
      </c>
    </row>
    <row r="614" spans="1:1" ht="12.75">
      <c r="A614" s="23" t="s">
        <v>423</v>
      </c>
    </row>
    <row r="615" spans="1:1" ht="12.75">
      <c r="A615" s="23" t="s">
        <v>424</v>
      </c>
    </row>
    <row r="616" spans="1:1" ht="12.75">
      <c r="A616" s="23" t="s">
        <v>425</v>
      </c>
    </row>
    <row r="617" spans="1:1" ht="12.75">
      <c r="A617" s="23" t="s">
        <v>426</v>
      </c>
    </row>
    <row r="618" spans="1:1" ht="12.75">
      <c r="A618" s="23" t="s">
        <v>427</v>
      </c>
    </row>
    <row r="619" spans="1:1" ht="12.75">
      <c r="A619" s="23" t="s">
        <v>428</v>
      </c>
    </row>
    <row r="620" spans="1:1" ht="12.75">
      <c r="A620" s="23" t="s">
        <v>429</v>
      </c>
    </row>
    <row r="621" spans="1:1" ht="12.75">
      <c r="A621" s="23" t="s">
        <v>430</v>
      </c>
    </row>
    <row r="622" spans="1:1" ht="12.75">
      <c r="A622" s="23" t="s">
        <v>431</v>
      </c>
    </row>
    <row r="623" spans="1:1" ht="12.75">
      <c r="A623" s="23" t="s">
        <v>432</v>
      </c>
    </row>
    <row r="624" spans="1:1" ht="12.75">
      <c r="A624" s="23" t="s">
        <v>433</v>
      </c>
    </row>
    <row r="625" spans="1:1" ht="12.75">
      <c r="A625" s="23" t="s">
        <v>434</v>
      </c>
    </row>
    <row r="626" spans="1:1" ht="12.75">
      <c r="A626" s="23" t="s">
        <v>435</v>
      </c>
    </row>
    <row r="627" spans="1:1" ht="12.75">
      <c r="A627" s="23" t="s">
        <v>436</v>
      </c>
    </row>
    <row r="628" spans="1:1" ht="12.75">
      <c r="A628" s="23" t="s">
        <v>437</v>
      </c>
    </row>
    <row r="629" spans="1:1" ht="12.75">
      <c r="A629" s="23" t="s">
        <v>438</v>
      </c>
    </row>
    <row r="630" spans="1:1" ht="12.75">
      <c r="A630" s="23" t="s">
        <v>439</v>
      </c>
    </row>
    <row r="631" spans="1:1" ht="12.75">
      <c r="A631" s="23" t="s">
        <v>440</v>
      </c>
    </row>
    <row r="632" spans="1:1" ht="12.75">
      <c r="A632" s="23" t="s">
        <v>441</v>
      </c>
    </row>
    <row r="633" spans="1:1" ht="12.75">
      <c r="A633" s="23" t="s">
        <v>442</v>
      </c>
    </row>
    <row r="634" spans="1:1" ht="12.75">
      <c r="A634" s="23" t="s">
        <v>443</v>
      </c>
    </row>
    <row r="635" spans="1:1" ht="12.75">
      <c r="A635" s="23" t="s">
        <v>444</v>
      </c>
    </row>
    <row r="636" spans="1:1" ht="12.75">
      <c r="A636" s="23" t="s">
        <v>445</v>
      </c>
    </row>
    <row r="637" spans="1:1" ht="12.75">
      <c r="A637" s="23" t="s">
        <v>446</v>
      </c>
    </row>
    <row r="638" spans="1:1" ht="12.75">
      <c r="A638" s="23" t="s">
        <v>447</v>
      </c>
    </row>
    <row r="639" spans="1:1" ht="12.75">
      <c r="A639" s="23" t="s">
        <v>448</v>
      </c>
    </row>
    <row r="640" spans="1:1" ht="12.75">
      <c r="A640" s="23" t="s">
        <v>449</v>
      </c>
    </row>
    <row r="641" spans="1:1" ht="12.75">
      <c r="A641" s="23" t="s">
        <v>450</v>
      </c>
    </row>
    <row r="642" spans="1:1" ht="12.75">
      <c r="A642" s="23" t="s">
        <v>451</v>
      </c>
    </row>
    <row r="643" spans="1:1" ht="12.75">
      <c r="A643" s="23" t="s">
        <v>452</v>
      </c>
    </row>
    <row r="644" spans="1:1" ht="12.75">
      <c r="A644" s="23" t="s">
        <v>453</v>
      </c>
    </row>
    <row r="645" spans="1:1" ht="12.75">
      <c r="A645" s="23" t="s">
        <v>454</v>
      </c>
    </row>
    <row r="646" spans="1:1" ht="12.75">
      <c r="A646" s="23" t="s">
        <v>455</v>
      </c>
    </row>
    <row r="647" spans="1:1" ht="12.75">
      <c r="A647" s="23" t="s">
        <v>456</v>
      </c>
    </row>
    <row r="648" spans="1:1" ht="12.75">
      <c r="A648" s="23" t="s">
        <v>457</v>
      </c>
    </row>
    <row r="649" spans="1:1" ht="12.75">
      <c r="A649" s="23" t="s">
        <v>458</v>
      </c>
    </row>
    <row r="650" spans="1:1" ht="12.75">
      <c r="A650" s="23" t="s">
        <v>459</v>
      </c>
    </row>
    <row r="651" spans="1:1" ht="12.75">
      <c r="A651" s="23" t="s">
        <v>460</v>
      </c>
    </row>
    <row r="652" spans="1:1" ht="12.75">
      <c r="A652" s="23" t="s">
        <v>461</v>
      </c>
    </row>
    <row r="653" spans="1:1" ht="12.75">
      <c r="A653" s="23" t="s">
        <v>462</v>
      </c>
    </row>
    <row r="654" spans="1:1" ht="12.75">
      <c r="A654" s="23" t="s">
        <v>463</v>
      </c>
    </row>
    <row r="655" spans="1:1" ht="12.75">
      <c r="A655" s="23" t="s">
        <v>464</v>
      </c>
    </row>
    <row r="656" spans="1:1" ht="12.75">
      <c r="A656" s="23" t="s">
        <v>465</v>
      </c>
    </row>
    <row r="657" spans="1:1" ht="12.75">
      <c r="A657" s="23" t="s">
        <v>466</v>
      </c>
    </row>
    <row r="658" spans="1:1" ht="12.75">
      <c r="A658" s="23" t="s">
        <v>467</v>
      </c>
    </row>
    <row r="659" spans="1:1" ht="12.75">
      <c r="A659" s="23" t="s">
        <v>468</v>
      </c>
    </row>
    <row r="660" spans="1:1" ht="12.75">
      <c r="A660" s="23" t="s">
        <v>469</v>
      </c>
    </row>
    <row r="661" spans="1:1" ht="12.75">
      <c r="A661" s="23" t="s">
        <v>470</v>
      </c>
    </row>
    <row r="662" spans="1:1" ht="12.75">
      <c r="A662" s="23" t="s">
        <v>471</v>
      </c>
    </row>
    <row r="663" spans="1:1" ht="12.75">
      <c r="A663" s="23" t="s">
        <v>472</v>
      </c>
    </row>
    <row r="664" spans="1:1" ht="12.75">
      <c r="A664" s="23" t="s">
        <v>473</v>
      </c>
    </row>
    <row r="665" spans="1:1" ht="12.75">
      <c r="A665" s="23" t="s">
        <v>474</v>
      </c>
    </row>
    <row r="666" spans="1:1" ht="12.75">
      <c r="A666" s="23" t="s">
        <v>475</v>
      </c>
    </row>
    <row r="667" spans="1:1" ht="12.75">
      <c r="A667" s="23" t="s">
        <v>476</v>
      </c>
    </row>
    <row r="668" spans="1:1" ht="12.75">
      <c r="A668" s="23" t="s">
        <v>477</v>
      </c>
    </row>
    <row r="669" spans="1:1" ht="12.75">
      <c r="A669" s="23" t="s">
        <v>478</v>
      </c>
    </row>
    <row r="670" spans="1:1" ht="12.75">
      <c r="A670" s="23" t="s">
        <v>479</v>
      </c>
    </row>
    <row r="671" spans="1:1" ht="12.75">
      <c r="A671" s="23" t="s">
        <v>480</v>
      </c>
    </row>
    <row r="672" spans="1:1" ht="12.75">
      <c r="A672" s="23" t="s">
        <v>481</v>
      </c>
    </row>
    <row r="673" spans="1:1" ht="12.75">
      <c r="A673" s="23" t="s">
        <v>482</v>
      </c>
    </row>
    <row r="674" spans="1:1" ht="12.75">
      <c r="A674" s="23" t="s">
        <v>483</v>
      </c>
    </row>
    <row r="675" spans="1:1" ht="12.75">
      <c r="A675" s="23" t="s">
        <v>484</v>
      </c>
    </row>
    <row r="676" spans="1:1" ht="12.75">
      <c r="A676" s="23" t="s">
        <v>485</v>
      </c>
    </row>
    <row r="677" spans="1:1" ht="12.75">
      <c r="A677" s="23" t="s">
        <v>486</v>
      </c>
    </row>
    <row r="678" spans="1:1" ht="12.75">
      <c r="A678" s="23" t="s">
        <v>487</v>
      </c>
    </row>
    <row r="679" spans="1:1" ht="12.75">
      <c r="A679" s="23" t="s">
        <v>488</v>
      </c>
    </row>
    <row r="680" spans="1:1" ht="12.75">
      <c r="A680" s="23" t="s">
        <v>489</v>
      </c>
    </row>
    <row r="681" spans="1:1" ht="12.75">
      <c r="A681" s="23" t="s">
        <v>490</v>
      </c>
    </row>
    <row r="682" spans="1:1" ht="12.75">
      <c r="A682" s="23" t="s">
        <v>491</v>
      </c>
    </row>
    <row r="683" spans="1:1" ht="12.75">
      <c r="A683" s="23" t="s">
        <v>492</v>
      </c>
    </row>
    <row r="684" spans="1:1" ht="12.75">
      <c r="A684" s="23" t="s">
        <v>493</v>
      </c>
    </row>
    <row r="685" spans="1:1" ht="12.75">
      <c r="A685" s="23" t="s">
        <v>494</v>
      </c>
    </row>
    <row r="686" spans="1:1" ht="12.75">
      <c r="A686" s="23" t="s">
        <v>495</v>
      </c>
    </row>
    <row r="687" spans="1:1" ht="12.75">
      <c r="A687" s="23" t="s">
        <v>496</v>
      </c>
    </row>
    <row r="688" spans="1:1" ht="12.75">
      <c r="A688" s="23" t="s">
        <v>497</v>
      </c>
    </row>
    <row r="689" spans="1:1" ht="12.75">
      <c r="A689" s="23" t="s">
        <v>498</v>
      </c>
    </row>
    <row r="690" spans="1:1" ht="12.75">
      <c r="A690" s="23" t="s">
        <v>499</v>
      </c>
    </row>
    <row r="691" spans="1:1" ht="12.75">
      <c r="A691" s="23" t="s">
        <v>500</v>
      </c>
    </row>
    <row r="692" spans="1:1" ht="12.75">
      <c r="A692" s="23" t="s">
        <v>501</v>
      </c>
    </row>
    <row r="693" spans="1:1" ht="12.75">
      <c r="A693" s="23" t="s">
        <v>502</v>
      </c>
    </row>
    <row r="694" spans="1:1" ht="12.75">
      <c r="A694" s="23" t="s">
        <v>503</v>
      </c>
    </row>
    <row r="695" spans="1:1" ht="12.75">
      <c r="A695" s="23" t="s">
        <v>504</v>
      </c>
    </row>
    <row r="696" spans="1:1" ht="12.75">
      <c r="A696" s="23" t="s">
        <v>505</v>
      </c>
    </row>
    <row r="697" spans="1:1" ht="12.75">
      <c r="A697" s="23" t="s">
        <v>506</v>
      </c>
    </row>
    <row r="698" spans="1:1" ht="12.75">
      <c r="A698" s="23" t="s">
        <v>507</v>
      </c>
    </row>
    <row r="699" spans="1:1" ht="12.75">
      <c r="A699" s="23" t="s">
        <v>508</v>
      </c>
    </row>
    <row r="700" spans="1:1" ht="12.75">
      <c r="A700" s="23" t="s">
        <v>509</v>
      </c>
    </row>
    <row r="701" spans="1:1" ht="12.75">
      <c r="A701" s="23" t="s">
        <v>510</v>
      </c>
    </row>
    <row r="702" spans="1:1" ht="12.75">
      <c r="A702" s="23" t="s">
        <v>511</v>
      </c>
    </row>
    <row r="703" spans="1:1" ht="12.75">
      <c r="A703" s="23" t="s">
        <v>512</v>
      </c>
    </row>
    <row r="704" spans="1:1" ht="12.75">
      <c r="A704" s="23" t="s">
        <v>513</v>
      </c>
    </row>
    <row r="705" spans="1:1" ht="12.75">
      <c r="A705" s="23" t="s">
        <v>514</v>
      </c>
    </row>
    <row r="706" spans="1:1" ht="12.75">
      <c r="A706" s="23" t="s">
        <v>515</v>
      </c>
    </row>
    <row r="707" spans="1:1" ht="12.75">
      <c r="A707" s="23" t="s">
        <v>516</v>
      </c>
    </row>
    <row r="708" spans="1:1" ht="12.75">
      <c r="A708" s="23" t="s">
        <v>517</v>
      </c>
    </row>
    <row r="709" spans="1:1" ht="12.75">
      <c r="A709" s="23" t="s">
        <v>518</v>
      </c>
    </row>
    <row r="710" spans="1:1" ht="12.75">
      <c r="A710" s="23" t="s">
        <v>519</v>
      </c>
    </row>
    <row r="711" spans="1:1" ht="12.75">
      <c r="A711" s="23" t="s">
        <v>520</v>
      </c>
    </row>
    <row r="712" spans="1:1" ht="12.75">
      <c r="A712" s="23" t="s">
        <v>521</v>
      </c>
    </row>
    <row r="713" spans="1:1" ht="12.75">
      <c r="A713" s="23" t="s">
        <v>522</v>
      </c>
    </row>
    <row r="714" spans="1:1" ht="12.75">
      <c r="A714" s="23" t="s">
        <v>523</v>
      </c>
    </row>
    <row r="715" spans="1:1" ht="12.75">
      <c r="A715" s="23" t="s">
        <v>524</v>
      </c>
    </row>
    <row r="716" spans="1:1" ht="12.75">
      <c r="A716" s="23" t="s">
        <v>525</v>
      </c>
    </row>
    <row r="717" spans="1:1" ht="12.75">
      <c r="A717" s="23" t="s">
        <v>526</v>
      </c>
    </row>
    <row r="718" spans="1:1" ht="12.75">
      <c r="A718" s="23" t="s">
        <v>527</v>
      </c>
    </row>
    <row r="719" spans="1:1" ht="12.75">
      <c r="A719" s="23" t="s">
        <v>528</v>
      </c>
    </row>
    <row r="720" spans="1:1" ht="12.75">
      <c r="A720" s="23" t="s">
        <v>529</v>
      </c>
    </row>
    <row r="721" spans="1:1" ht="12.75">
      <c r="A721" s="23" t="s">
        <v>530</v>
      </c>
    </row>
    <row r="722" spans="1:1" ht="12.75">
      <c r="A722" s="23" t="s">
        <v>531</v>
      </c>
    </row>
    <row r="723" spans="1:1" ht="12.75">
      <c r="A723" s="23" t="s">
        <v>532</v>
      </c>
    </row>
    <row r="724" spans="1:1" ht="12.75">
      <c r="A724" s="23" t="s">
        <v>533</v>
      </c>
    </row>
    <row r="725" spans="1:1" ht="12.75">
      <c r="A725" s="23" t="s">
        <v>534</v>
      </c>
    </row>
    <row r="726" spans="1:1" ht="12.75">
      <c r="A726" s="23" t="s">
        <v>535</v>
      </c>
    </row>
    <row r="727" spans="1:1" ht="12.75">
      <c r="A727" s="23" t="s">
        <v>536</v>
      </c>
    </row>
    <row r="728" spans="1:1" ht="12.75">
      <c r="A728" s="23" t="s">
        <v>537</v>
      </c>
    </row>
    <row r="729" spans="1:1" ht="12.75">
      <c r="A729" s="23" t="s">
        <v>538</v>
      </c>
    </row>
    <row r="730" spans="1:1" ht="12.75">
      <c r="A730" s="23" t="s">
        <v>539</v>
      </c>
    </row>
    <row r="731" spans="1:1" ht="12.75">
      <c r="A731" s="23" t="s">
        <v>540</v>
      </c>
    </row>
    <row r="732" spans="1:1" ht="12.75">
      <c r="A732" s="23" t="s">
        <v>541</v>
      </c>
    </row>
    <row r="733" spans="1:1" ht="12.75">
      <c r="A733" s="23" t="s">
        <v>542</v>
      </c>
    </row>
    <row r="734" spans="1:1" ht="12.75">
      <c r="A734" s="23" t="s">
        <v>543</v>
      </c>
    </row>
    <row r="735" spans="1:1" ht="12.75">
      <c r="A735" s="23" t="s">
        <v>544</v>
      </c>
    </row>
    <row r="736" spans="1:1" ht="12.75">
      <c r="A736" s="23" t="s">
        <v>545</v>
      </c>
    </row>
    <row r="737" spans="1:1" ht="12.75">
      <c r="A737" s="23" t="s">
        <v>546</v>
      </c>
    </row>
    <row r="738" spans="1:1" ht="12.75">
      <c r="A738" s="23" t="s">
        <v>547</v>
      </c>
    </row>
    <row r="739" spans="1:1" ht="12.75">
      <c r="A739" s="23" t="s">
        <v>548</v>
      </c>
    </row>
    <row r="740" spans="1:1" ht="12.75">
      <c r="A740" s="23" t="s">
        <v>549</v>
      </c>
    </row>
    <row r="741" spans="1:1" ht="12.75">
      <c r="A741" s="23" t="s">
        <v>550</v>
      </c>
    </row>
    <row r="742" spans="1:1" ht="12.75">
      <c r="A742" s="23" t="s">
        <v>551</v>
      </c>
    </row>
    <row r="743" spans="1:1" ht="12.75">
      <c r="A743" s="23" t="s">
        <v>552</v>
      </c>
    </row>
    <row r="744" spans="1:1" ht="12.75">
      <c r="A744" s="23" t="s">
        <v>553</v>
      </c>
    </row>
    <row r="745" spans="1:1" ht="12.75">
      <c r="A745" s="23" t="s">
        <v>554</v>
      </c>
    </row>
    <row r="746" spans="1:1" ht="12.75">
      <c r="A746" s="23" t="s">
        <v>555</v>
      </c>
    </row>
    <row r="747" spans="1:1" ht="12.75">
      <c r="A747" s="23" t="s">
        <v>556</v>
      </c>
    </row>
    <row r="748" spans="1:1" ht="12.75">
      <c r="A748" s="23" t="s">
        <v>557</v>
      </c>
    </row>
    <row r="749" spans="1:1" ht="12.75">
      <c r="A749" s="23" t="s">
        <v>558</v>
      </c>
    </row>
    <row r="750" spans="1:1" ht="12.75">
      <c r="A750" s="23" t="s">
        <v>559</v>
      </c>
    </row>
    <row r="751" spans="1:1" ht="12.75">
      <c r="A751" s="23" t="s">
        <v>560</v>
      </c>
    </row>
    <row r="752" spans="1:1" ht="12.75">
      <c r="A752" s="23" t="s">
        <v>561</v>
      </c>
    </row>
    <row r="753" spans="1:1" ht="12.75">
      <c r="A753" s="23" t="s">
        <v>562</v>
      </c>
    </row>
    <row r="754" spans="1:1" ht="12.75">
      <c r="A754" s="23" t="s">
        <v>563</v>
      </c>
    </row>
    <row r="755" spans="1:1" ht="12.75">
      <c r="A755" s="23" t="s">
        <v>564</v>
      </c>
    </row>
    <row r="756" spans="1:1" ht="12.75">
      <c r="A756" s="23" t="s">
        <v>565</v>
      </c>
    </row>
    <row r="757" spans="1:1" ht="12.75">
      <c r="A757" s="23" t="s">
        <v>566</v>
      </c>
    </row>
    <row r="758" spans="1:1" ht="12.75">
      <c r="A758" s="23" t="s">
        <v>567</v>
      </c>
    </row>
    <row r="759" spans="1:1" ht="12.75">
      <c r="A759" s="23" t="s">
        <v>568</v>
      </c>
    </row>
    <row r="760" spans="1:1" ht="12.75">
      <c r="A760" s="23" t="s">
        <v>569</v>
      </c>
    </row>
    <row r="761" spans="1:1" ht="12.75">
      <c r="A761" s="23" t="s">
        <v>570</v>
      </c>
    </row>
    <row r="762" spans="1:1" ht="12.75">
      <c r="A762" s="23" t="s">
        <v>571</v>
      </c>
    </row>
    <row r="763" spans="1:1" ht="12.75">
      <c r="A763" s="23" t="s">
        <v>572</v>
      </c>
    </row>
    <row r="764" spans="1:1" ht="12.75">
      <c r="A764" s="23" t="s">
        <v>573</v>
      </c>
    </row>
    <row r="765" spans="1:1" ht="12.75">
      <c r="A765" s="23" t="s">
        <v>574</v>
      </c>
    </row>
    <row r="766" spans="1:1" ht="12.75">
      <c r="A766" s="23" t="s">
        <v>575</v>
      </c>
    </row>
    <row r="767" spans="1:1" ht="12.75">
      <c r="A767" s="23" t="s">
        <v>576</v>
      </c>
    </row>
    <row r="768" spans="1:1" ht="12.75">
      <c r="A768" s="23" t="s">
        <v>577</v>
      </c>
    </row>
    <row r="769" spans="1:1" ht="12.75">
      <c r="A769" s="23" t="s">
        <v>578</v>
      </c>
    </row>
    <row r="770" spans="1:1" ht="12.75">
      <c r="A770" s="23" t="s">
        <v>579</v>
      </c>
    </row>
    <row r="771" spans="1:1" ht="12.75">
      <c r="A771" s="23" t="s">
        <v>580</v>
      </c>
    </row>
    <row r="772" spans="1:1" ht="12.75">
      <c r="A772" s="23" t="s">
        <v>581</v>
      </c>
    </row>
    <row r="773" spans="1:1" ht="12.75">
      <c r="A773" s="23" t="s">
        <v>582</v>
      </c>
    </row>
    <row r="774" spans="1:1" ht="12.75">
      <c r="A774" s="23" t="s">
        <v>583</v>
      </c>
    </row>
    <row r="775" spans="1:1" ht="12.75">
      <c r="A775" s="23" t="s">
        <v>584</v>
      </c>
    </row>
    <row r="776" spans="1:1" ht="12.75">
      <c r="A776" s="23" t="s">
        <v>585</v>
      </c>
    </row>
    <row r="777" spans="1:1" ht="12.75">
      <c r="A777" s="23" t="s">
        <v>586</v>
      </c>
    </row>
    <row r="778" spans="1:1" ht="12.75">
      <c r="A778" s="23" t="s">
        <v>587</v>
      </c>
    </row>
    <row r="779" spans="1:1" ht="12.75">
      <c r="A779" s="23" t="s">
        <v>588</v>
      </c>
    </row>
    <row r="780" spans="1:1" ht="12.75">
      <c r="A780" s="23" t="s">
        <v>589</v>
      </c>
    </row>
    <row r="781" spans="1:1" ht="12.75">
      <c r="A781" s="23" t="s">
        <v>590</v>
      </c>
    </row>
    <row r="782" spans="1:1" ht="12.75">
      <c r="A782" s="23" t="s">
        <v>591</v>
      </c>
    </row>
    <row r="783" spans="1:1" ht="12.75">
      <c r="A783" s="23" t="s">
        <v>592</v>
      </c>
    </row>
    <row r="784" spans="1:1" ht="12.75">
      <c r="A784" s="23" t="s">
        <v>593</v>
      </c>
    </row>
    <row r="785" spans="1:1" ht="12.75">
      <c r="A785" s="23" t="s">
        <v>594</v>
      </c>
    </row>
    <row r="786" spans="1:1" ht="12.75">
      <c r="A786" s="23" t="s">
        <v>595</v>
      </c>
    </row>
    <row r="787" spans="1:1" ht="12.75">
      <c r="A787" s="23" t="s">
        <v>596</v>
      </c>
    </row>
    <row r="788" spans="1:1" ht="12.75">
      <c r="A788" s="23" t="s">
        <v>597</v>
      </c>
    </row>
    <row r="789" spans="1:1" ht="12.75">
      <c r="A789" s="23" t="s">
        <v>598</v>
      </c>
    </row>
    <row r="790" spans="1:1" ht="12.75">
      <c r="A790" s="23" t="s">
        <v>599</v>
      </c>
    </row>
    <row r="791" spans="1:1" ht="12.75">
      <c r="A791" s="23" t="s">
        <v>600</v>
      </c>
    </row>
    <row r="792" spans="1:1" ht="12.75">
      <c r="A792" s="23" t="s">
        <v>601</v>
      </c>
    </row>
    <row r="793" spans="1:1" ht="12.75">
      <c r="A793" s="23" t="s">
        <v>602</v>
      </c>
    </row>
    <row r="794" spans="1:1" ht="12.75">
      <c r="A794" s="23" t="s">
        <v>603</v>
      </c>
    </row>
    <row r="795" spans="1:1" ht="12.75">
      <c r="A795" s="23" t="s">
        <v>604</v>
      </c>
    </row>
    <row r="796" spans="1:1" ht="12.75">
      <c r="A796" s="23" t="s">
        <v>605</v>
      </c>
    </row>
    <row r="797" spans="1:1" ht="12.75">
      <c r="A797" s="23" t="s">
        <v>606</v>
      </c>
    </row>
    <row r="798" spans="1:1" ht="12.75">
      <c r="A798" s="23" t="s">
        <v>607</v>
      </c>
    </row>
    <row r="799" spans="1:1" ht="12.75">
      <c r="A799" s="23" t="s">
        <v>608</v>
      </c>
    </row>
    <row r="800" spans="1:1" ht="12.75">
      <c r="A800" s="23" t="s">
        <v>609</v>
      </c>
    </row>
    <row r="801" spans="1:1" ht="12.75">
      <c r="A801" s="23" t="s">
        <v>610</v>
      </c>
    </row>
    <row r="802" spans="1:1" ht="12.75">
      <c r="A802" s="23" t="s">
        <v>611</v>
      </c>
    </row>
    <row r="803" spans="1:1" ht="12.75">
      <c r="A803" s="23" t="s">
        <v>612</v>
      </c>
    </row>
    <row r="804" spans="1:1" ht="12.75">
      <c r="A804" s="23" t="s">
        <v>613</v>
      </c>
    </row>
    <row r="805" spans="1:1" ht="12.75">
      <c r="A805" s="23" t="s">
        <v>614</v>
      </c>
    </row>
    <row r="806" spans="1:1" ht="12.75">
      <c r="A806" s="23" t="s">
        <v>615</v>
      </c>
    </row>
    <row r="807" spans="1:1" ht="12.75">
      <c r="A807" s="23" t="s">
        <v>616</v>
      </c>
    </row>
    <row r="808" spans="1:1" ht="12.75">
      <c r="A808" s="23" t="s">
        <v>617</v>
      </c>
    </row>
    <row r="809" spans="1:1" ht="12.75">
      <c r="A809" s="23" t="s">
        <v>618</v>
      </c>
    </row>
    <row r="810" spans="1:1" ht="12.75">
      <c r="A810" s="23" t="s">
        <v>619</v>
      </c>
    </row>
    <row r="811" spans="1:1" ht="12.75">
      <c r="A811" s="23" t="s">
        <v>620</v>
      </c>
    </row>
    <row r="812" spans="1:1" ht="12.75">
      <c r="A812" s="23" t="s">
        <v>621</v>
      </c>
    </row>
    <row r="813" spans="1:1" ht="12.75">
      <c r="A813" s="23" t="s">
        <v>622</v>
      </c>
    </row>
    <row r="814" spans="1:1" ht="12.75">
      <c r="A814" s="23" t="s">
        <v>623</v>
      </c>
    </row>
    <row r="815" spans="1:1" ht="12.75">
      <c r="A815" s="23" t="s">
        <v>624</v>
      </c>
    </row>
    <row r="816" spans="1:1" ht="12.75">
      <c r="A816" s="23" t="s">
        <v>625</v>
      </c>
    </row>
    <row r="817" spans="1:1" ht="12.75">
      <c r="A817" s="23" t="s">
        <v>626</v>
      </c>
    </row>
    <row r="818" spans="1:1" ht="12.75">
      <c r="A818" s="23" t="s">
        <v>627</v>
      </c>
    </row>
    <row r="819" spans="1:1" ht="12.75">
      <c r="A819" s="23" t="s">
        <v>628</v>
      </c>
    </row>
    <row r="820" spans="1:1" ht="12.75">
      <c r="A820" s="23" t="s">
        <v>629</v>
      </c>
    </row>
    <row r="821" spans="1:1" ht="12.75">
      <c r="A821" s="23" t="s">
        <v>630</v>
      </c>
    </row>
    <row r="822" spans="1:1" ht="12.75">
      <c r="A822" s="23" t="s">
        <v>631</v>
      </c>
    </row>
    <row r="823" spans="1:1" ht="12.75">
      <c r="A823" s="23" t="s">
        <v>632</v>
      </c>
    </row>
    <row r="824" spans="1:1" ht="12.75">
      <c r="A824" s="23" t="s">
        <v>633</v>
      </c>
    </row>
    <row r="825" spans="1:1" ht="12.75">
      <c r="A825" s="23" t="s">
        <v>634</v>
      </c>
    </row>
    <row r="826" spans="1:1" ht="12.75">
      <c r="A826" s="23" t="s">
        <v>635</v>
      </c>
    </row>
    <row r="827" spans="1:1" ht="12.75">
      <c r="A827" s="23" t="s">
        <v>636</v>
      </c>
    </row>
    <row r="828" spans="1:1" ht="12.75">
      <c r="A828" s="23" t="s">
        <v>637</v>
      </c>
    </row>
    <row r="829" spans="1:1" ht="12.75">
      <c r="A829" s="23" t="s">
        <v>638</v>
      </c>
    </row>
    <row r="830" spans="1:1" ht="12.75">
      <c r="A830" s="23" t="s">
        <v>639</v>
      </c>
    </row>
    <row r="831" spans="1:1" ht="12.75">
      <c r="A831" s="23" t="s">
        <v>640</v>
      </c>
    </row>
    <row r="832" spans="1:1" ht="12.75">
      <c r="A832" s="23" t="s">
        <v>641</v>
      </c>
    </row>
    <row r="833" spans="1:1" ht="12.75">
      <c r="A833" s="23" t="s">
        <v>642</v>
      </c>
    </row>
    <row r="834" spans="1:1" ht="12.75">
      <c r="A834" s="23" t="s">
        <v>643</v>
      </c>
    </row>
    <row r="835" spans="1:1" ht="12.75">
      <c r="A835" s="23" t="s">
        <v>644</v>
      </c>
    </row>
    <row r="836" spans="1:1" ht="12.75">
      <c r="A836" s="23" t="s">
        <v>645</v>
      </c>
    </row>
    <row r="837" spans="1:1" ht="12.75">
      <c r="A837" s="23" t="s">
        <v>646</v>
      </c>
    </row>
    <row r="838" spans="1:1" ht="12.75">
      <c r="A838" s="23" t="s">
        <v>647</v>
      </c>
    </row>
    <row r="839" spans="1:1" ht="12.75">
      <c r="A839" s="23" t="s">
        <v>648</v>
      </c>
    </row>
    <row r="840" spans="1:1" ht="12.75">
      <c r="A840" s="23" t="s">
        <v>649</v>
      </c>
    </row>
    <row r="841" spans="1:1" ht="12.75">
      <c r="A841" s="23" t="s">
        <v>650</v>
      </c>
    </row>
    <row r="842" spans="1:1" ht="12.75">
      <c r="A842" s="23" t="s">
        <v>651</v>
      </c>
    </row>
    <row r="843" spans="1:1" ht="12.75">
      <c r="A843" s="23" t="s">
        <v>652</v>
      </c>
    </row>
    <row r="844" spans="1:1" ht="12.75">
      <c r="A844" s="23" t="s">
        <v>653</v>
      </c>
    </row>
    <row r="845" spans="1:1" ht="12.75">
      <c r="A845" s="23" t="s">
        <v>654</v>
      </c>
    </row>
    <row r="846" spans="1:1" ht="12.75">
      <c r="A846" s="23" t="s">
        <v>655</v>
      </c>
    </row>
    <row r="847" spans="1:1" ht="12.75">
      <c r="A847" s="23" t="s">
        <v>656</v>
      </c>
    </row>
    <row r="848" spans="1:1" ht="12.75">
      <c r="A848" s="23" t="s">
        <v>657</v>
      </c>
    </row>
    <row r="849" spans="1:1" ht="12.75">
      <c r="A849" s="23" t="s">
        <v>658</v>
      </c>
    </row>
    <row r="850" spans="1:1" ht="12.75">
      <c r="A850" s="23" t="s">
        <v>659</v>
      </c>
    </row>
    <row r="851" spans="1:1" ht="12.75">
      <c r="A851" s="23" t="s">
        <v>660</v>
      </c>
    </row>
    <row r="852" spans="1:1" ht="12.75">
      <c r="A852" s="23" t="s">
        <v>661</v>
      </c>
    </row>
    <row r="853" spans="1:1" ht="12.75">
      <c r="A853" s="23" t="s">
        <v>662</v>
      </c>
    </row>
    <row r="854" spans="1:1" ht="12.75">
      <c r="A854" s="23" t="s">
        <v>663</v>
      </c>
    </row>
    <row r="855" spans="1:1" ht="12.75">
      <c r="A855" s="23" t="s">
        <v>664</v>
      </c>
    </row>
    <row r="856" spans="1:1" ht="12.75">
      <c r="A856" s="23" t="s">
        <v>665</v>
      </c>
    </row>
    <row r="857" spans="1:1" ht="12.75">
      <c r="A857" s="23" t="s">
        <v>666</v>
      </c>
    </row>
    <row r="858" spans="1:1" ht="12.75">
      <c r="A858" s="23" t="s">
        <v>667</v>
      </c>
    </row>
    <row r="859" spans="1:1" ht="12.75">
      <c r="A859" s="23" t="s">
        <v>668</v>
      </c>
    </row>
    <row r="860" spans="1:1" ht="12.75">
      <c r="A860" s="23" t="s">
        <v>669</v>
      </c>
    </row>
    <row r="861" spans="1:1" ht="12.75">
      <c r="A861" s="23" t="s">
        <v>670</v>
      </c>
    </row>
    <row r="862" spans="1:1" ht="12.75">
      <c r="A862" s="23" t="s">
        <v>671</v>
      </c>
    </row>
    <row r="863" spans="1:1" ht="12.75">
      <c r="A863" s="23" t="s">
        <v>672</v>
      </c>
    </row>
    <row r="864" spans="1:1" ht="12.75">
      <c r="A864" s="23" t="s">
        <v>673</v>
      </c>
    </row>
    <row r="865" spans="1:1" ht="12.75">
      <c r="A865" s="23" t="s">
        <v>674</v>
      </c>
    </row>
    <row r="866" spans="1:1" ht="12.75">
      <c r="A866" s="23" t="s">
        <v>675</v>
      </c>
    </row>
    <row r="867" spans="1:1" ht="12.75">
      <c r="A867" s="23" t="s">
        <v>676</v>
      </c>
    </row>
    <row r="868" spans="1:1" ht="12.75">
      <c r="A868" s="23" t="s">
        <v>677</v>
      </c>
    </row>
    <row r="869" spans="1:1" ht="12.75">
      <c r="A869" s="23" t="s">
        <v>678</v>
      </c>
    </row>
    <row r="870" spans="1:1" ht="12.75">
      <c r="A870" s="23" t="s">
        <v>679</v>
      </c>
    </row>
    <row r="871" spans="1:1" ht="12.75">
      <c r="A871" s="23" t="s">
        <v>680</v>
      </c>
    </row>
    <row r="872" spans="1:1" ht="12.75">
      <c r="A872" s="23" t="s">
        <v>681</v>
      </c>
    </row>
    <row r="873" spans="1:1" ht="12.75">
      <c r="A873" s="23" t="s">
        <v>682</v>
      </c>
    </row>
    <row r="874" spans="1:1" ht="12.75">
      <c r="A874" s="23" t="s">
        <v>683</v>
      </c>
    </row>
    <row r="875" spans="1:1" ht="12.75">
      <c r="A875" s="23" t="s">
        <v>684</v>
      </c>
    </row>
    <row r="876" spans="1:1" ht="12.75">
      <c r="A876" s="23" t="s">
        <v>685</v>
      </c>
    </row>
    <row r="877" spans="1:1" ht="12.75">
      <c r="A877" s="23" t="s">
        <v>686</v>
      </c>
    </row>
    <row r="878" spans="1:1" ht="12.75">
      <c r="A878" s="23" t="s">
        <v>687</v>
      </c>
    </row>
    <row r="879" spans="1:1" ht="12.75">
      <c r="A879" s="23" t="s">
        <v>688</v>
      </c>
    </row>
    <row r="880" spans="1:1" ht="12.75">
      <c r="A880" s="23" t="s">
        <v>689</v>
      </c>
    </row>
    <row r="881" spans="1:1" ht="12.75">
      <c r="A881" s="23" t="s">
        <v>690</v>
      </c>
    </row>
    <row r="882" spans="1:1" ht="12.75">
      <c r="A882" s="23" t="s">
        <v>691</v>
      </c>
    </row>
    <row r="883" spans="1:1" ht="12.75">
      <c r="A883" s="23" t="s">
        <v>692</v>
      </c>
    </row>
    <row r="884" spans="1:1" ht="12.75">
      <c r="A884" s="23" t="s">
        <v>693</v>
      </c>
    </row>
    <row r="885" spans="1:1" ht="12.75">
      <c r="A885" s="23" t="s">
        <v>694</v>
      </c>
    </row>
    <row r="886" spans="1:1" ht="12.75">
      <c r="A886" s="23" t="s">
        <v>695</v>
      </c>
    </row>
    <row r="887" spans="1:1" ht="12.75">
      <c r="A887" s="23" t="s">
        <v>696</v>
      </c>
    </row>
    <row r="888" spans="1:1" ht="12.75">
      <c r="A888" s="23" t="s">
        <v>697</v>
      </c>
    </row>
    <row r="889" spans="1:1" ht="12.75">
      <c r="A889" s="23" t="s">
        <v>698</v>
      </c>
    </row>
    <row r="890" spans="1:1" ht="12.75">
      <c r="A890" s="23" t="s">
        <v>699</v>
      </c>
    </row>
    <row r="891" spans="1:1" ht="12.75">
      <c r="A891" s="23" t="s">
        <v>700</v>
      </c>
    </row>
    <row r="892" spans="1:1" ht="12.75">
      <c r="A892" s="23" t="s">
        <v>701</v>
      </c>
    </row>
    <row r="893" spans="1:1" ht="12.75">
      <c r="A893" s="23" t="s">
        <v>702</v>
      </c>
    </row>
    <row r="894" spans="1:1" ht="12.75">
      <c r="A894" s="23" t="s">
        <v>703</v>
      </c>
    </row>
    <row r="895" spans="1:1" ht="12.75">
      <c r="A895" s="23" t="s">
        <v>704</v>
      </c>
    </row>
    <row r="896" spans="1:1" ht="12.75">
      <c r="A896" s="23" t="s">
        <v>705</v>
      </c>
    </row>
    <row r="897" spans="1:1" ht="12.75">
      <c r="A897" s="23" t="s">
        <v>706</v>
      </c>
    </row>
    <row r="898" spans="1:1" ht="12.75">
      <c r="A898" s="23" t="s">
        <v>707</v>
      </c>
    </row>
    <row r="899" spans="1:1" ht="12.75">
      <c r="A899" s="23" t="s">
        <v>708</v>
      </c>
    </row>
    <row r="900" spans="1:1" ht="12.75">
      <c r="A900" s="23" t="s">
        <v>709</v>
      </c>
    </row>
    <row r="901" spans="1:1" ht="12.75">
      <c r="A901" s="23" t="s">
        <v>710</v>
      </c>
    </row>
    <row r="902" spans="1:1" ht="12.75">
      <c r="A902" s="23" t="s">
        <v>711</v>
      </c>
    </row>
    <row r="903" spans="1:1" ht="12.75">
      <c r="A903" s="23" t="s">
        <v>712</v>
      </c>
    </row>
    <row r="904" spans="1:1" ht="12.75">
      <c r="A904" s="23" t="s">
        <v>713</v>
      </c>
    </row>
    <row r="905" spans="1:1" ht="12.75">
      <c r="A905" s="23" t="s">
        <v>714</v>
      </c>
    </row>
    <row r="906" spans="1:1" ht="12.75">
      <c r="A906" s="23" t="s">
        <v>715</v>
      </c>
    </row>
    <row r="907" spans="1:1" ht="12.75">
      <c r="A907" s="23" t="s">
        <v>716</v>
      </c>
    </row>
    <row r="908" spans="1:1" ht="12.75">
      <c r="A908" s="23" t="s">
        <v>717</v>
      </c>
    </row>
    <row r="909" spans="1:1" ht="12.75">
      <c r="A909" s="23" t="s">
        <v>718</v>
      </c>
    </row>
    <row r="910" spans="1:1" ht="12.75">
      <c r="A910" s="23" t="s">
        <v>719</v>
      </c>
    </row>
    <row r="911" spans="1:1" ht="12.75">
      <c r="A911" s="23" t="s">
        <v>720</v>
      </c>
    </row>
    <row r="912" spans="1:1" ht="12.75">
      <c r="A912" s="23" t="s">
        <v>721</v>
      </c>
    </row>
    <row r="913" spans="1:1" ht="12.75">
      <c r="A913" s="23" t="s">
        <v>722</v>
      </c>
    </row>
    <row r="914" spans="1:1" ht="12.75">
      <c r="A914" s="23" t="s">
        <v>723</v>
      </c>
    </row>
    <row r="915" spans="1:1" ht="12.75">
      <c r="A915" s="23" t="s">
        <v>724</v>
      </c>
    </row>
    <row r="916" spans="1:1" ht="12.75">
      <c r="A916" s="23" t="s">
        <v>725</v>
      </c>
    </row>
    <row r="917" spans="1:1" ht="12.75">
      <c r="A917" s="23" t="s">
        <v>726</v>
      </c>
    </row>
    <row r="918" spans="1:1" ht="12.75">
      <c r="A918" s="23" t="s">
        <v>727</v>
      </c>
    </row>
    <row r="919" spans="1:1" ht="12.75">
      <c r="A919" s="23" t="s">
        <v>728</v>
      </c>
    </row>
    <row r="920" spans="1:1" ht="12.75">
      <c r="A920" s="23" t="s">
        <v>729</v>
      </c>
    </row>
    <row r="921" spans="1:1" ht="12.75">
      <c r="A921" s="23" t="s">
        <v>730</v>
      </c>
    </row>
    <row r="922" spans="1:1" ht="12.75">
      <c r="A922" s="23" t="s">
        <v>731</v>
      </c>
    </row>
    <row r="923" spans="1:1" ht="12.75">
      <c r="A923" s="23" t="s">
        <v>732</v>
      </c>
    </row>
    <row r="924" spans="1:1" ht="12.75">
      <c r="A924" s="23" t="s">
        <v>733</v>
      </c>
    </row>
    <row r="925" spans="1:1" ht="12.75">
      <c r="A925" s="23" t="s">
        <v>734</v>
      </c>
    </row>
    <row r="926" spans="1:1" ht="12.75">
      <c r="A926" s="23" t="s">
        <v>735</v>
      </c>
    </row>
    <row r="927" spans="1:1" ht="12.75">
      <c r="A927" s="23" t="s">
        <v>736</v>
      </c>
    </row>
    <row r="928" spans="1:1" ht="12.75">
      <c r="A928" s="23" t="s">
        <v>737</v>
      </c>
    </row>
    <row r="929" spans="1:1" ht="12.75">
      <c r="A929" s="23" t="s">
        <v>738</v>
      </c>
    </row>
    <row r="930" spans="1:1" ht="12.75">
      <c r="A930" s="23" t="s">
        <v>739</v>
      </c>
    </row>
    <row r="931" spans="1:1" ht="12.75">
      <c r="A931" s="23" t="s">
        <v>740</v>
      </c>
    </row>
    <row r="932" spans="1:1" ht="12.75">
      <c r="A932" s="23" t="s">
        <v>741</v>
      </c>
    </row>
    <row r="933" spans="1:1" ht="12.75">
      <c r="A933" s="23" t="s">
        <v>742</v>
      </c>
    </row>
    <row r="934" spans="1:1" ht="12.75">
      <c r="A934" s="23" t="s">
        <v>743</v>
      </c>
    </row>
    <row r="935" spans="1:1" ht="12.75">
      <c r="A935" s="23" t="s">
        <v>744</v>
      </c>
    </row>
    <row r="936" spans="1:1" ht="12.75">
      <c r="A936" s="23" t="s">
        <v>745</v>
      </c>
    </row>
    <row r="937" spans="1:1" ht="12.75">
      <c r="A937" s="23" t="s">
        <v>746</v>
      </c>
    </row>
    <row r="938" spans="1:1" ht="12.75">
      <c r="A938" s="23" t="s">
        <v>747</v>
      </c>
    </row>
    <row r="939" spans="1:1" ht="12.75">
      <c r="A939" s="23" t="s">
        <v>748</v>
      </c>
    </row>
    <row r="940" spans="1:1" ht="12.75">
      <c r="A940" s="23" t="s">
        <v>749</v>
      </c>
    </row>
    <row r="941" spans="1:1" ht="12.75">
      <c r="A941" s="23" t="s">
        <v>750</v>
      </c>
    </row>
    <row r="942" spans="1:1" ht="12.75">
      <c r="A942" s="23" t="s">
        <v>751</v>
      </c>
    </row>
    <row r="943" spans="1:1" ht="12.75">
      <c r="A943" s="23" t="s">
        <v>752</v>
      </c>
    </row>
    <row r="944" spans="1:1" ht="12.75">
      <c r="A944" s="23" t="s">
        <v>753</v>
      </c>
    </row>
    <row r="945" spans="1:1" ht="12.75">
      <c r="A945" s="23" t="s">
        <v>754</v>
      </c>
    </row>
    <row r="946" spans="1:1" ht="12.75">
      <c r="A946" s="23" t="s">
        <v>755</v>
      </c>
    </row>
    <row r="947" spans="1:1" ht="12.75">
      <c r="A947" s="23" t="s">
        <v>756</v>
      </c>
    </row>
    <row r="948" spans="1:1" ht="12.75">
      <c r="A948" s="23" t="s">
        <v>757</v>
      </c>
    </row>
    <row r="949" spans="1:1" ht="12.75">
      <c r="A949" s="23" t="s">
        <v>758</v>
      </c>
    </row>
    <row r="950" spans="1:1" ht="12.75">
      <c r="A950" s="23" t="s">
        <v>759</v>
      </c>
    </row>
    <row r="951" spans="1:1" ht="12.75">
      <c r="A951" s="23" t="s">
        <v>760</v>
      </c>
    </row>
    <row r="952" spans="1:1" ht="12.75">
      <c r="A952" s="23" t="s">
        <v>761</v>
      </c>
    </row>
    <row r="953" spans="1:1" ht="12.75">
      <c r="A953" s="23" t="s">
        <v>762</v>
      </c>
    </row>
    <row r="954" spans="1:1" ht="12.75">
      <c r="A954" s="23" t="s">
        <v>763</v>
      </c>
    </row>
    <row r="955" spans="1:1" ht="12.75">
      <c r="A955" s="23" t="s">
        <v>764</v>
      </c>
    </row>
    <row r="956" spans="1:1" ht="12.75">
      <c r="A956" s="23" t="s">
        <v>765</v>
      </c>
    </row>
    <row r="957" spans="1:1" ht="12.75">
      <c r="A957" s="23" t="s">
        <v>766</v>
      </c>
    </row>
    <row r="958" spans="1:1" ht="12.75">
      <c r="A958" s="23" t="s">
        <v>767</v>
      </c>
    </row>
    <row r="959" spans="1:1" ht="12.75">
      <c r="A959" s="23" t="s">
        <v>768</v>
      </c>
    </row>
    <row r="960" spans="1:1" ht="12.75">
      <c r="A960" s="23" t="s">
        <v>769</v>
      </c>
    </row>
    <row r="961" spans="1:1" ht="12.75">
      <c r="A961" s="23" t="s">
        <v>770</v>
      </c>
    </row>
    <row r="962" spans="1:1" ht="12.75">
      <c r="A962" s="23" t="s">
        <v>771</v>
      </c>
    </row>
    <row r="963" spans="1:1" ht="12.75">
      <c r="A963" s="23" t="s">
        <v>772</v>
      </c>
    </row>
    <row r="964" spans="1:1" ht="12.75">
      <c r="A964" s="23" t="s">
        <v>773</v>
      </c>
    </row>
    <row r="965" spans="1:1" ht="12.75">
      <c r="A965" s="23" t="s">
        <v>774</v>
      </c>
    </row>
    <row r="966" spans="1:1" ht="12.75">
      <c r="A966" s="23" t="s">
        <v>775</v>
      </c>
    </row>
    <row r="967" spans="1:1" ht="12.75">
      <c r="A967" s="23" t="s">
        <v>776</v>
      </c>
    </row>
    <row r="968" spans="1:1" ht="12.75">
      <c r="A968" s="23" t="s">
        <v>777</v>
      </c>
    </row>
    <row r="969" spans="1:1" ht="12.75">
      <c r="A969" s="23" t="s">
        <v>778</v>
      </c>
    </row>
    <row r="970" spans="1:1" ht="12.75">
      <c r="A970" s="23" t="s">
        <v>779</v>
      </c>
    </row>
    <row r="971" spans="1:1" ht="12.75">
      <c r="A971" s="23" t="s">
        <v>780</v>
      </c>
    </row>
    <row r="972" spans="1:1" ht="12.75">
      <c r="A972" s="23" t="s">
        <v>781</v>
      </c>
    </row>
    <row r="973" spans="1:1" ht="12.75">
      <c r="A973" s="23" t="s">
        <v>782</v>
      </c>
    </row>
    <row r="974" spans="1:1" ht="12.75">
      <c r="A974" s="23" t="s">
        <v>783</v>
      </c>
    </row>
    <row r="975" spans="1:1" ht="12.75">
      <c r="A975" s="23" t="s">
        <v>784</v>
      </c>
    </row>
    <row r="976" spans="1:1" ht="12.75">
      <c r="A976" s="23" t="s">
        <v>785</v>
      </c>
    </row>
    <row r="977" spans="1:1" ht="12.75">
      <c r="A977" s="23" t="s">
        <v>786</v>
      </c>
    </row>
    <row r="978" spans="1:1" ht="12.75">
      <c r="A978" s="23" t="s">
        <v>787</v>
      </c>
    </row>
    <row r="979" spans="1:1" ht="12.75">
      <c r="A979" s="23" t="s">
        <v>788</v>
      </c>
    </row>
    <row r="980" spans="1:1" ht="12.75">
      <c r="A980" s="23" t="s">
        <v>789</v>
      </c>
    </row>
    <row r="981" spans="1:1" ht="12.75">
      <c r="A981" s="23" t="s">
        <v>790</v>
      </c>
    </row>
    <row r="982" spans="1:1" ht="12.75">
      <c r="A982" s="23" t="s">
        <v>791</v>
      </c>
    </row>
    <row r="983" spans="1:1" ht="12.75">
      <c r="A983" s="23" t="s">
        <v>792</v>
      </c>
    </row>
    <row r="984" spans="1:1" ht="12.75">
      <c r="A984" s="23" t="s">
        <v>793</v>
      </c>
    </row>
    <row r="985" spans="1:1" ht="12.75">
      <c r="A985" s="23" t="s">
        <v>794</v>
      </c>
    </row>
    <row r="986" spans="1:1" ht="12.75">
      <c r="A986" s="23" t="s">
        <v>795</v>
      </c>
    </row>
    <row r="987" spans="1:1" ht="12.75">
      <c r="A987" s="23" t="s">
        <v>796</v>
      </c>
    </row>
    <row r="988" spans="1:1" ht="12.75">
      <c r="A988" s="23" t="s">
        <v>797</v>
      </c>
    </row>
    <row r="989" spans="1:1" ht="12.75">
      <c r="A989" s="23" t="s">
        <v>798</v>
      </c>
    </row>
    <row r="990" spans="1:1" ht="12.75">
      <c r="A990" s="23" t="s">
        <v>799</v>
      </c>
    </row>
    <row r="991" spans="1:1" ht="12.75">
      <c r="A991" s="23" t="s">
        <v>800</v>
      </c>
    </row>
    <row r="992" spans="1:1" ht="12.75">
      <c r="A992" s="23" t="s">
        <v>801</v>
      </c>
    </row>
    <row r="993" spans="1:1" ht="12.75">
      <c r="A993" s="23" t="s">
        <v>802</v>
      </c>
    </row>
    <row r="994" spans="1:1" ht="12.75">
      <c r="A994" s="23" t="s">
        <v>803</v>
      </c>
    </row>
    <row r="995" spans="1:1" ht="12.75">
      <c r="A995" s="23" t="s">
        <v>804</v>
      </c>
    </row>
    <row r="996" spans="1:1" ht="12.75">
      <c r="A996" s="23" t="s">
        <v>805</v>
      </c>
    </row>
    <row r="997" spans="1:1" ht="12.75">
      <c r="A997" s="23" t="s">
        <v>806</v>
      </c>
    </row>
    <row r="998" spans="1:1" ht="12.75">
      <c r="A998" s="23" t="s">
        <v>807</v>
      </c>
    </row>
    <row r="999" spans="1:1" ht="12.75">
      <c r="A999" s="23" t="s">
        <v>808</v>
      </c>
    </row>
    <row r="1000" spans="1:1" ht="12.75">
      <c r="A1000" s="23" t="s">
        <v>809</v>
      </c>
    </row>
    <row r="1001" spans="1:1" ht="12.75">
      <c r="A1001" s="23" t="s">
        <v>810</v>
      </c>
    </row>
    <row r="1002" spans="1:1" ht="12.75">
      <c r="A1002" s="23" t="s">
        <v>811</v>
      </c>
    </row>
    <row r="1003" spans="1:1" ht="12.75">
      <c r="A1003" s="23" t="s">
        <v>812</v>
      </c>
    </row>
    <row r="1004" spans="1:1" ht="12.75">
      <c r="A1004" s="23" t="s">
        <v>813</v>
      </c>
    </row>
    <row r="1005" spans="1:1" ht="12.75">
      <c r="A1005" s="23" t="s">
        <v>814</v>
      </c>
    </row>
    <row r="1006" spans="1:1" ht="12.75">
      <c r="A1006" s="23" t="s">
        <v>815</v>
      </c>
    </row>
    <row r="1007" spans="1:1" ht="12.75">
      <c r="A1007" s="23" t="s">
        <v>816</v>
      </c>
    </row>
    <row r="1008" spans="1:1" ht="12.75">
      <c r="A1008" s="23" t="s">
        <v>817</v>
      </c>
    </row>
    <row r="1009" spans="1:1" ht="12.75">
      <c r="A1009" s="23" t="s">
        <v>818</v>
      </c>
    </row>
    <row r="1010" spans="1:1" ht="12.75">
      <c r="A1010" s="23" t="s">
        <v>819</v>
      </c>
    </row>
    <row r="1011" spans="1:1" ht="12.75">
      <c r="A1011" s="23" t="s">
        <v>820</v>
      </c>
    </row>
    <row r="1012" spans="1:1" ht="12.75">
      <c r="A1012" s="23" t="s">
        <v>821</v>
      </c>
    </row>
    <row r="1013" spans="1:1" ht="12.75">
      <c r="A1013" s="23" t="s">
        <v>822</v>
      </c>
    </row>
    <row r="1014" spans="1:1" ht="12.75">
      <c r="A1014" s="23" t="s">
        <v>823</v>
      </c>
    </row>
    <row r="1015" spans="1:1" ht="12.75">
      <c r="A1015" s="23" t="s">
        <v>824</v>
      </c>
    </row>
    <row r="1016" spans="1:1" ht="12.75">
      <c r="A1016" s="23" t="s">
        <v>825</v>
      </c>
    </row>
    <row r="1017" spans="1:1" ht="12.75">
      <c r="A1017" s="23" t="s">
        <v>826</v>
      </c>
    </row>
    <row r="1018" spans="1:1" ht="12.75">
      <c r="A1018" s="23" t="s">
        <v>827</v>
      </c>
    </row>
    <row r="1019" spans="1:1" ht="12.75">
      <c r="A1019" s="23" t="s">
        <v>828</v>
      </c>
    </row>
    <row r="1020" spans="1:1" ht="12.75">
      <c r="A1020" s="23" t="s">
        <v>829</v>
      </c>
    </row>
    <row r="1021" spans="1:1" ht="12.75">
      <c r="A1021" s="23" t="s">
        <v>830</v>
      </c>
    </row>
    <row r="1022" spans="1:1" ht="12.75">
      <c r="A1022" s="23" t="s">
        <v>831</v>
      </c>
    </row>
    <row r="1023" spans="1:1" ht="12.75">
      <c r="A1023" s="23" t="s">
        <v>832</v>
      </c>
    </row>
    <row r="1024" spans="1:1" ht="12.75">
      <c r="A1024" s="23" t="s">
        <v>833</v>
      </c>
    </row>
    <row r="1025" spans="1:1" ht="12.75">
      <c r="A1025" s="23" t="s">
        <v>834</v>
      </c>
    </row>
    <row r="1026" spans="1:1" ht="12.75">
      <c r="A1026" s="23" t="s">
        <v>835</v>
      </c>
    </row>
    <row r="1027" spans="1:1" ht="12.75">
      <c r="A1027" s="23" t="s">
        <v>836</v>
      </c>
    </row>
    <row r="1028" spans="1:1" ht="12.75">
      <c r="A1028" s="23" t="s">
        <v>837</v>
      </c>
    </row>
    <row r="1029" spans="1:1" ht="12.75">
      <c r="A1029" s="23" t="s">
        <v>838</v>
      </c>
    </row>
    <row r="1030" spans="1:1" ht="12.75">
      <c r="A1030" s="23" t="s">
        <v>839</v>
      </c>
    </row>
    <row r="1031" spans="1:1" ht="12.75">
      <c r="A1031" s="23" t="s">
        <v>840</v>
      </c>
    </row>
    <row r="1032" spans="1:1" ht="12.75">
      <c r="A1032" s="23" t="s">
        <v>841</v>
      </c>
    </row>
    <row r="1033" spans="1:1" ht="12.75">
      <c r="A1033" s="23" t="s">
        <v>842</v>
      </c>
    </row>
    <row r="1034" spans="1:1" ht="12.75">
      <c r="A1034" s="23" t="s">
        <v>843</v>
      </c>
    </row>
    <row r="1035" spans="1:1" ht="12.75">
      <c r="A1035" s="23" t="s">
        <v>844</v>
      </c>
    </row>
    <row r="1036" spans="1:1" ht="12.75">
      <c r="A1036" s="23" t="s">
        <v>845</v>
      </c>
    </row>
    <row r="1037" spans="1:1" ht="12.75">
      <c r="A1037" s="23" t="s">
        <v>846</v>
      </c>
    </row>
    <row r="1038" spans="1:1" ht="12.75">
      <c r="A1038" s="23" t="s">
        <v>847</v>
      </c>
    </row>
    <row r="1039" spans="1:1" ht="12.75">
      <c r="A1039" s="23" t="s">
        <v>848</v>
      </c>
    </row>
    <row r="1040" spans="1:1" ht="12.75">
      <c r="A1040" s="23" t="s">
        <v>849</v>
      </c>
    </row>
    <row r="1041" spans="1:1" ht="12.75">
      <c r="A1041" s="23" t="s">
        <v>850</v>
      </c>
    </row>
    <row r="1042" spans="1:1" ht="12.75">
      <c r="A1042" s="23" t="s">
        <v>851</v>
      </c>
    </row>
    <row r="1043" spans="1:1" ht="12.75">
      <c r="A1043" s="23" t="s">
        <v>852</v>
      </c>
    </row>
    <row r="1044" spans="1:1" ht="12.75">
      <c r="A1044" s="23" t="s">
        <v>853</v>
      </c>
    </row>
    <row r="1045" spans="1:1" ht="12.75">
      <c r="A1045" s="23" t="s">
        <v>854</v>
      </c>
    </row>
    <row r="1046" spans="1:1" ht="12.75">
      <c r="A1046" s="23" t="s">
        <v>855</v>
      </c>
    </row>
    <row r="1047" spans="1:1" ht="12.75">
      <c r="A1047" s="23" t="s">
        <v>856</v>
      </c>
    </row>
    <row r="1048" spans="1:1" ht="12.75">
      <c r="A1048" s="23" t="s">
        <v>857</v>
      </c>
    </row>
    <row r="1049" spans="1:1" ht="12.75">
      <c r="A1049" s="23" t="s">
        <v>858</v>
      </c>
    </row>
    <row r="1050" spans="1:1" ht="12.75">
      <c r="A1050" s="23" t="s">
        <v>859</v>
      </c>
    </row>
    <row r="1051" spans="1:1" ht="12.75">
      <c r="A1051" s="23" t="s">
        <v>860</v>
      </c>
    </row>
    <row r="1052" spans="1:1" ht="12.75">
      <c r="A1052" s="23" t="s">
        <v>861</v>
      </c>
    </row>
    <row r="1053" spans="1:1" ht="12.75">
      <c r="A1053" s="23" t="s">
        <v>862</v>
      </c>
    </row>
    <row r="1054" spans="1:1" ht="12.75">
      <c r="A1054" s="23" t="s">
        <v>863</v>
      </c>
    </row>
    <row r="1055" spans="1:1" ht="12.75">
      <c r="A1055" s="23" t="s">
        <v>864</v>
      </c>
    </row>
    <row r="1056" spans="1:1" ht="12.75">
      <c r="A1056" s="23" t="s">
        <v>865</v>
      </c>
    </row>
    <row r="1057" spans="1:1" ht="12.75">
      <c r="A1057" s="23" t="s">
        <v>866</v>
      </c>
    </row>
    <row r="1058" spans="1:1" ht="12.75">
      <c r="A1058" s="23" t="s">
        <v>867</v>
      </c>
    </row>
    <row r="1059" spans="1:1" ht="12.75">
      <c r="A1059" s="23" t="s">
        <v>868</v>
      </c>
    </row>
    <row r="1060" spans="1:1" ht="12.75">
      <c r="A1060" s="23" t="s">
        <v>869</v>
      </c>
    </row>
    <row r="1061" spans="1:1" ht="12.75">
      <c r="A1061" s="23" t="s">
        <v>870</v>
      </c>
    </row>
    <row r="1062" spans="1:1" ht="12.75">
      <c r="A1062" s="23" t="s">
        <v>871</v>
      </c>
    </row>
    <row r="1063" spans="1:1" ht="12.75">
      <c r="A1063" s="23" t="s">
        <v>872</v>
      </c>
    </row>
    <row r="1064" spans="1:1" ht="12.75">
      <c r="A1064" s="23" t="s">
        <v>873</v>
      </c>
    </row>
    <row r="1065" spans="1:1" ht="12.75">
      <c r="A1065" s="23" t="s">
        <v>874</v>
      </c>
    </row>
    <row r="1066" spans="1:1" ht="12.75">
      <c r="A1066" s="23" t="s">
        <v>875</v>
      </c>
    </row>
    <row r="1067" spans="1:1" ht="12.75">
      <c r="A1067" s="23" t="s">
        <v>876</v>
      </c>
    </row>
    <row r="1068" spans="1:1" ht="12.75">
      <c r="A1068" s="23" t="s">
        <v>877</v>
      </c>
    </row>
    <row r="1069" spans="1:1" ht="12.75">
      <c r="A1069" s="23" t="s">
        <v>878</v>
      </c>
    </row>
    <row r="1070" spans="1:1" ht="12.75">
      <c r="A1070" s="23" t="s">
        <v>879</v>
      </c>
    </row>
    <row r="1071" spans="1:1" ht="12.75">
      <c r="A1071" s="23" t="s">
        <v>880</v>
      </c>
    </row>
    <row r="1072" spans="1:1" ht="12.75">
      <c r="A1072" s="23" t="s">
        <v>881</v>
      </c>
    </row>
    <row r="1073" spans="1:1" ht="12.75">
      <c r="A1073" s="23" t="s">
        <v>882</v>
      </c>
    </row>
    <row r="1074" spans="1:1" ht="12.75">
      <c r="A1074" s="23" t="s">
        <v>883</v>
      </c>
    </row>
    <row r="1075" spans="1:1" ht="12.75">
      <c r="A1075" s="23" t="s">
        <v>884</v>
      </c>
    </row>
    <row r="1076" spans="1:1" ht="12.75">
      <c r="A1076" s="23" t="s">
        <v>885</v>
      </c>
    </row>
    <row r="1077" spans="1:1" ht="12.75">
      <c r="A1077" s="23" t="s">
        <v>886</v>
      </c>
    </row>
    <row r="1078" spans="1:1" ht="12.75">
      <c r="A1078" s="23" t="s">
        <v>887</v>
      </c>
    </row>
    <row r="1079" spans="1:1" ht="12.75">
      <c r="A1079" s="23" t="s">
        <v>888</v>
      </c>
    </row>
    <row r="1080" spans="1:1" ht="12.75">
      <c r="A1080" s="23" t="s">
        <v>889</v>
      </c>
    </row>
    <row r="1081" spans="1:1" ht="12.75">
      <c r="A1081" s="23" t="s">
        <v>890</v>
      </c>
    </row>
    <row r="1082" spans="1:1" ht="12.75">
      <c r="A1082" s="23" t="s">
        <v>891</v>
      </c>
    </row>
    <row r="1083" spans="1:1" ht="12.75">
      <c r="A1083" s="23" t="s">
        <v>892</v>
      </c>
    </row>
    <row r="1084" spans="1:1" ht="12.75">
      <c r="A1084" s="23" t="s">
        <v>893</v>
      </c>
    </row>
    <row r="1085" spans="1:1" ht="12.75">
      <c r="A1085" s="23" t="s">
        <v>894</v>
      </c>
    </row>
    <row r="1086" spans="1:1" ht="12.75">
      <c r="A1086" s="23" t="s">
        <v>895</v>
      </c>
    </row>
    <row r="1087" spans="1:1" ht="12.75">
      <c r="A1087" s="23" t="s">
        <v>896</v>
      </c>
    </row>
    <row r="1088" spans="1:1" ht="12.75">
      <c r="A1088" s="23" t="s">
        <v>897</v>
      </c>
    </row>
    <row r="1089" spans="1:1" ht="12.75">
      <c r="A1089" s="23" t="s">
        <v>898</v>
      </c>
    </row>
    <row r="1090" spans="1:1" ht="12.75">
      <c r="A1090" s="23" t="s">
        <v>899</v>
      </c>
    </row>
    <row r="1091" spans="1:1" ht="12.75">
      <c r="A1091" s="23" t="s">
        <v>900</v>
      </c>
    </row>
    <row r="1092" spans="1:1" ht="12.75">
      <c r="A1092" s="23" t="s">
        <v>901</v>
      </c>
    </row>
    <row r="1093" spans="1:1" ht="12.75">
      <c r="A1093" s="23" t="s">
        <v>902</v>
      </c>
    </row>
    <row r="1094" spans="1:1" ht="12.75">
      <c r="A1094" s="23" t="s">
        <v>903</v>
      </c>
    </row>
    <row r="1095" spans="1:1" ht="12.75">
      <c r="A1095" s="23" t="s">
        <v>904</v>
      </c>
    </row>
    <row r="1096" spans="1:1" ht="12.75">
      <c r="A1096" s="23" t="s">
        <v>905</v>
      </c>
    </row>
    <row r="1097" spans="1:1" ht="12.75">
      <c r="A1097" s="23" t="s">
        <v>906</v>
      </c>
    </row>
    <row r="1098" spans="1:1" ht="12.75">
      <c r="A1098" s="23" t="s">
        <v>907</v>
      </c>
    </row>
    <row r="1099" spans="1:1" ht="12.75">
      <c r="A1099" s="23" t="s">
        <v>908</v>
      </c>
    </row>
    <row r="1100" spans="1:1" ht="12.75">
      <c r="A1100" s="23" t="s">
        <v>909</v>
      </c>
    </row>
    <row r="1101" spans="1:1" ht="12.75">
      <c r="A1101" s="23" t="s">
        <v>910</v>
      </c>
    </row>
    <row r="1102" spans="1:1" ht="12.75">
      <c r="A1102" s="23" t="s">
        <v>911</v>
      </c>
    </row>
    <row r="1103" spans="1:1" ht="12.75">
      <c r="A1103" s="23" t="s">
        <v>912</v>
      </c>
    </row>
    <row r="1104" spans="1:1" ht="12.75">
      <c r="A1104" s="23" t="s">
        <v>913</v>
      </c>
    </row>
    <row r="1105" spans="1:1" ht="12.75">
      <c r="A1105" s="23" t="s">
        <v>914</v>
      </c>
    </row>
    <row r="1106" spans="1:1" ht="12.75">
      <c r="A1106" s="23" t="s">
        <v>915</v>
      </c>
    </row>
    <row r="1107" spans="1:1" ht="12.75">
      <c r="A1107" s="23" t="s">
        <v>916</v>
      </c>
    </row>
    <row r="1108" spans="1:1" ht="12.75">
      <c r="A1108" s="23" t="s">
        <v>917</v>
      </c>
    </row>
    <row r="1109" spans="1:1" ht="12.75">
      <c r="A1109" s="23" t="s">
        <v>918</v>
      </c>
    </row>
    <row r="1110" spans="1:1" ht="12.75">
      <c r="A1110" s="23" t="s">
        <v>919</v>
      </c>
    </row>
    <row r="1111" spans="1:1" ht="12.75">
      <c r="A1111" s="23" t="s">
        <v>920</v>
      </c>
    </row>
    <row r="1112" spans="1:1" ht="12.75">
      <c r="A1112" s="23" t="s">
        <v>921</v>
      </c>
    </row>
    <row r="1113" spans="1:1" ht="12.75">
      <c r="A1113" s="23" t="s">
        <v>922</v>
      </c>
    </row>
    <row r="1114" spans="1:1" ht="12.75">
      <c r="A1114" s="23" t="s">
        <v>923</v>
      </c>
    </row>
    <row r="1115" spans="1:1" ht="12.75">
      <c r="A1115" s="23" t="s">
        <v>924</v>
      </c>
    </row>
    <row r="1116" spans="1:1" ht="12.75">
      <c r="A1116" s="23" t="s">
        <v>925</v>
      </c>
    </row>
    <row r="1117" spans="1:1" ht="12.75">
      <c r="A1117" s="23" t="s">
        <v>926</v>
      </c>
    </row>
    <row r="1118" spans="1:1" ht="12.75">
      <c r="A1118" s="23" t="s">
        <v>927</v>
      </c>
    </row>
    <row r="1119" spans="1:1" ht="12.75">
      <c r="A1119" s="23" t="s">
        <v>928</v>
      </c>
    </row>
    <row r="1120" spans="1:1" ht="12.75">
      <c r="A1120" s="23" t="s">
        <v>929</v>
      </c>
    </row>
    <row r="1121" spans="1:1" ht="12.75">
      <c r="A1121" s="23" t="s">
        <v>930</v>
      </c>
    </row>
    <row r="1122" spans="1:1" ht="12.75">
      <c r="A1122" s="23" t="s">
        <v>931</v>
      </c>
    </row>
    <row r="1123" spans="1:1" ht="12.75">
      <c r="A1123" s="23" t="s">
        <v>932</v>
      </c>
    </row>
    <row r="1124" spans="1:1" ht="12.75">
      <c r="A1124" s="23" t="s">
        <v>933</v>
      </c>
    </row>
    <row r="1125" spans="1:1" ht="12.75">
      <c r="A1125" s="23" t="s">
        <v>934</v>
      </c>
    </row>
    <row r="1126" spans="1:1" ht="12.75">
      <c r="A1126" s="23" t="s">
        <v>935</v>
      </c>
    </row>
    <row r="1127" spans="1:1" ht="12.75">
      <c r="A1127" s="23" t="s">
        <v>936</v>
      </c>
    </row>
    <row r="1128" spans="1:1" ht="12.75">
      <c r="A1128" s="23" t="s">
        <v>937</v>
      </c>
    </row>
    <row r="1129" spans="1:1" ht="12.75">
      <c r="A1129" s="23" t="s">
        <v>938</v>
      </c>
    </row>
    <row r="1130" spans="1:1" ht="12.75">
      <c r="A1130" s="23" t="s">
        <v>939</v>
      </c>
    </row>
    <row r="1131" spans="1:1" ht="12.75">
      <c r="A1131" s="23" t="s">
        <v>940</v>
      </c>
    </row>
    <row r="1132" spans="1:1" ht="12.75">
      <c r="A1132" s="23" t="s">
        <v>941</v>
      </c>
    </row>
    <row r="1133" spans="1:1" ht="12.75">
      <c r="A1133" s="23" t="s">
        <v>942</v>
      </c>
    </row>
    <row r="1134" spans="1:1" ht="12.75">
      <c r="A1134" s="23" t="s">
        <v>943</v>
      </c>
    </row>
    <row r="1135" spans="1:1" ht="12.75">
      <c r="A1135" s="23" t="s">
        <v>944</v>
      </c>
    </row>
    <row r="1136" spans="1:1" ht="12.75">
      <c r="A1136" s="23" t="s">
        <v>945</v>
      </c>
    </row>
    <row r="1137" spans="1:1" ht="12.75">
      <c r="A1137" s="23" t="s">
        <v>946</v>
      </c>
    </row>
    <row r="1138" spans="1:1" ht="12.75">
      <c r="A1138" s="23" t="s">
        <v>947</v>
      </c>
    </row>
    <row r="1139" spans="1:1" ht="12.75">
      <c r="A1139" s="23" t="s">
        <v>948</v>
      </c>
    </row>
    <row r="1140" spans="1:1" ht="12.75">
      <c r="A1140" s="23" t="s">
        <v>949</v>
      </c>
    </row>
    <row r="1141" spans="1:1" ht="12.75">
      <c r="A1141" s="23" t="s">
        <v>950</v>
      </c>
    </row>
    <row r="1142" spans="1:1" ht="12.75">
      <c r="A1142" s="23" t="s">
        <v>951</v>
      </c>
    </row>
    <row r="1143" spans="1:1" ht="12.75">
      <c r="A1143" s="23" t="s">
        <v>952</v>
      </c>
    </row>
    <row r="1144" spans="1:1" ht="12.75">
      <c r="A1144" s="23" t="s">
        <v>953</v>
      </c>
    </row>
    <row r="1145" spans="1:1" ht="12.75">
      <c r="A1145" s="23" t="s">
        <v>954</v>
      </c>
    </row>
    <row r="1146" spans="1:1" ht="12.75">
      <c r="A1146" s="23" t="s">
        <v>955</v>
      </c>
    </row>
    <row r="1147" spans="1:1" ht="12.75">
      <c r="A1147" s="23" t="s">
        <v>956</v>
      </c>
    </row>
    <row r="1148" spans="1:1" ht="12.75">
      <c r="A1148" s="23" t="s">
        <v>957</v>
      </c>
    </row>
    <row r="1149" spans="1:1" ht="12.75">
      <c r="A1149" s="23" t="s">
        <v>958</v>
      </c>
    </row>
    <row r="1150" spans="1:1" ht="12.75">
      <c r="A1150" s="23" t="s">
        <v>959</v>
      </c>
    </row>
    <row r="1151" spans="1:1" ht="12.75">
      <c r="A1151" s="23" t="s">
        <v>960</v>
      </c>
    </row>
    <row r="1152" spans="1:1" ht="12.75">
      <c r="A1152" s="23" t="s">
        <v>961</v>
      </c>
    </row>
    <row r="1153" spans="1:1" ht="12.75">
      <c r="A1153" s="23" t="s">
        <v>962</v>
      </c>
    </row>
    <row r="1154" spans="1:1" ht="12.75">
      <c r="A1154" s="23" t="s">
        <v>963</v>
      </c>
    </row>
    <row r="1155" spans="1:1" ht="12.75">
      <c r="A1155" s="23" t="s">
        <v>964</v>
      </c>
    </row>
    <row r="1156" spans="1:1" ht="12.75">
      <c r="A1156" s="23" t="s">
        <v>965</v>
      </c>
    </row>
    <row r="1157" spans="1:1" ht="12.75">
      <c r="A1157" s="23" t="s">
        <v>966</v>
      </c>
    </row>
    <row r="1158" spans="1:1" ht="12.75">
      <c r="A1158" s="23" t="s">
        <v>967</v>
      </c>
    </row>
    <row r="1159" spans="1:1" ht="12.75">
      <c r="A1159" s="23" t="s">
        <v>968</v>
      </c>
    </row>
    <row r="1160" spans="1:1" ht="12.75">
      <c r="A1160" s="23" t="s">
        <v>969</v>
      </c>
    </row>
    <row r="1161" spans="1:1" ht="12.75">
      <c r="A1161" s="23" t="s">
        <v>970</v>
      </c>
    </row>
    <row r="1162" spans="1:1" ht="12.75">
      <c r="A1162" s="23" t="s">
        <v>971</v>
      </c>
    </row>
    <row r="1163" spans="1:1" ht="12.75">
      <c r="A1163" s="23" t="s">
        <v>972</v>
      </c>
    </row>
    <row r="1164" spans="1:1" ht="12.75">
      <c r="A1164" s="23" t="s">
        <v>973</v>
      </c>
    </row>
    <row r="1165" spans="1:1" ht="12.75">
      <c r="A1165" s="23" t="s">
        <v>974</v>
      </c>
    </row>
    <row r="1166" spans="1:1" ht="12.75">
      <c r="A1166" s="23" t="s">
        <v>975</v>
      </c>
    </row>
    <row r="1167" spans="1:1" ht="12.75">
      <c r="A1167" s="23" t="s">
        <v>976</v>
      </c>
    </row>
    <row r="1168" spans="1:1" ht="12.75">
      <c r="A1168" s="23" t="s">
        <v>977</v>
      </c>
    </row>
    <row r="1169" spans="1:1" ht="12.75">
      <c r="A1169" s="23" t="s">
        <v>978</v>
      </c>
    </row>
    <row r="1170" spans="1:1" ht="12.75">
      <c r="A1170" s="23" t="s">
        <v>979</v>
      </c>
    </row>
    <row r="1171" spans="1:1" ht="12.75">
      <c r="A1171" s="23" t="s">
        <v>980</v>
      </c>
    </row>
    <row r="1172" spans="1:1" ht="12.75">
      <c r="A1172" s="23" t="s">
        <v>981</v>
      </c>
    </row>
    <row r="1173" spans="1:1" ht="12.75">
      <c r="A1173" s="23" t="s">
        <v>982</v>
      </c>
    </row>
    <row r="1174" spans="1:1" ht="12.75">
      <c r="A1174" s="23" t="s">
        <v>983</v>
      </c>
    </row>
    <row r="1175" spans="1:1" ht="12.75">
      <c r="A1175" s="23" t="s">
        <v>984</v>
      </c>
    </row>
    <row r="1176" spans="1:1" ht="12.75">
      <c r="A1176" s="23" t="s">
        <v>985</v>
      </c>
    </row>
    <row r="1177" spans="1:1" ht="12.75">
      <c r="A1177" s="23" t="s">
        <v>986</v>
      </c>
    </row>
    <row r="1178" spans="1:1" ht="12.75">
      <c r="A1178" s="23" t="s">
        <v>987</v>
      </c>
    </row>
    <row r="1179" spans="1:1" ht="12.75">
      <c r="A1179" s="23" t="s">
        <v>988</v>
      </c>
    </row>
    <row r="1180" spans="1:1" ht="12.75">
      <c r="A1180" s="23" t="s">
        <v>989</v>
      </c>
    </row>
    <row r="1181" spans="1:1" ht="12.75">
      <c r="A1181" s="23" t="s">
        <v>990</v>
      </c>
    </row>
    <row r="1182" spans="1:1" ht="12.75">
      <c r="A1182" s="23" t="s">
        <v>991</v>
      </c>
    </row>
    <row r="1183" spans="1:1" ht="12.75">
      <c r="A1183" s="23" t="s">
        <v>992</v>
      </c>
    </row>
    <row r="1184" spans="1:1" ht="12.75">
      <c r="A1184" s="23" t="s">
        <v>993</v>
      </c>
    </row>
    <row r="1185" spans="1:1" ht="12.75">
      <c r="A1185" s="23" t="s">
        <v>994</v>
      </c>
    </row>
    <row r="1186" spans="1:1" ht="12.75">
      <c r="A1186" s="23" t="s">
        <v>995</v>
      </c>
    </row>
    <row r="1187" spans="1:1" ht="12.75">
      <c r="A1187" s="23" t="s">
        <v>996</v>
      </c>
    </row>
    <row r="1188" spans="1:1" ht="12.75">
      <c r="A1188" s="23" t="s">
        <v>997</v>
      </c>
    </row>
    <row r="1189" spans="1:1" ht="12.75">
      <c r="A1189" s="23" t="s">
        <v>998</v>
      </c>
    </row>
    <row r="1190" spans="1:1" ht="12.75">
      <c r="A1190" s="23" t="s">
        <v>999</v>
      </c>
    </row>
    <row r="1191" spans="1:1" ht="12.75">
      <c r="A1191" s="23" t="s">
        <v>1000</v>
      </c>
    </row>
    <row r="1192" spans="1:1" ht="12.75">
      <c r="A1192" s="23" t="s">
        <v>1001</v>
      </c>
    </row>
    <row r="1193" spans="1:1" ht="12.75">
      <c r="A1193" s="23" t="s">
        <v>1002</v>
      </c>
    </row>
    <row r="1194" spans="1:1" ht="12.75">
      <c r="A1194" s="23" t="s">
        <v>1003</v>
      </c>
    </row>
    <row r="1195" spans="1:1" ht="12.75">
      <c r="A1195" s="23" t="s">
        <v>1004</v>
      </c>
    </row>
    <row r="1196" spans="1:1" ht="12.75">
      <c r="A1196" s="23" t="s">
        <v>1005</v>
      </c>
    </row>
    <row r="1197" spans="1:1" ht="12.75">
      <c r="A1197" s="23" t="s">
        <v>1006</v>
      </c>
    </row>
    <row r="1198" spans="1:1" ht="12.75">
      <c r="A1198" s="23" t="s">
        <v>1007</v>
      </c>
    </row>
    <row r="1199" spans="1:1" ht="12.75">
      <c r="A1199" s="23" t="s">
        <v>1008</v>
      </c>
    </row>
    <row r="1200" spans="1:1" ht="12.75">
      <c r="A1200" s="23" t="s">
        <v>1009</v>
      </c>
    </row>
    <row r="1201" spans="1:1" ht="12.75">
      <c r="A1201" s="23" t="s">
        <v>1010</v>
      </c>
    </row>
    <row r="1202" spans="1:1" ht="12.75">
      <c r="A1202" s="23" t="s">
        <v>1011</v>
      </c>
    </row>
    <row r="1203" spans="1:1" ht="12.75">
      <c r="A1203" s="23" t="s">
        <v>1012</v>
      </c>
    </row>
    <row r="1204" spans="1:1" ht="12.75">
      <c r="A1204" s="23" t="s">
        <v>1013</v>
      </c>
    </row>
    <row r="1205" spans="1:1" ht="12.75">
      <c r="A1205" s="23" t="s">
        <v>1014</v>
      </c>
    </row>
    <row r="1206" spans="1:1" ht="12.75">
      <c r="A1206" s="23" t="s">
        <v>1015</v>
      </c>
    </row>
    <row r="1207" spans="1:1" ht="12.75">
      <c r="A1207" s="23" t="s">
        <v>1016</v>
      </c>
    </row>
    <row r="1208" spans="1:1" ht="12.75">
      <c r="A1208" s="23" t="s">
        <v>1017</v>
      </c>
    </row>
    <row r="1209" spans="1:1" ht="12.75">
      <c r="A1209" s="23" t="s">
        <v>1018</v>
      </c>
    </row>
    <row r="1210" spans="1:1" ht="12.75">
      <c r="A1210" s="23" t="s">
        <v>1019</v>
      </c>
    </row>
    <row r="1211" spans="1:1" ht="12.75">
      <c r="A1211" s="23" t="s">
        <v>1020</v>
      </c>
    </row>
    <row r="1212" spans="1:1" ht="12.75">
      <c r="A1212" s="23" t="s">
        <v>1021</v>
      </c>
    </row>
    <row r="1213" spans="1:1" ht="12.75">
      <c r="A1213" s="23" t="s">
        <v>1022</v>
      </c>
    </row>
    <row r="1214" spans="1:1" ht="12.75">
      <c r="A1214" s="23" t="s">
        <v>1023</v>
      </c>
    </row>
    <row r="1215" spans="1:1" ht="12.75">
      <c r="A1215" s="23" t="s">
        <v>1024</v>
      </c>
    </row>
    <row r="1216" spans="1:1" ht="12.75">
      <c r="A1216" s="23" t="s">
        <v>1025</v>
      </c>
    </row>
    <row r="1217" spans="1:1" ht="12.75">
      <c r="A1217" s="23" t="s">
        <v>1026</v>
      </c>
    </row>
    <row r="1218" spans="1:1" ht="12.75">
      <c r="A1218" s="23" t="s">
        <v>1027</v>
      </c>
    </row>
    <row r="1219" spans="1:1" ht="12.75">
      <c r="A1219" s="23" t="s">
        <v>1028</v>
      </c>
    </row>
    <row r="1220" spans="1:1" ht="12.75">
      <c r="A1220" s="23" t="s">
        <v>1029</v>
      </c>
    </row>
    <row r="1221" spans="1:1" ht="12.75">
      <c r="A1221" s="23" t="s">
        <v>1030</v>
      </c>
    </row>
    <row r="1222" spans="1:1" ht="12.75">
      <c r="A1222" s="23" t="s">
        <v>1031</v>
      </c>
    </row>
    <row r="1223" spans="1:1" ht="12.75">
      <c r="A1223" s="23" t="s">
        <v>1032</v>
      </c>
    </row>
    <row r="1224" spans="1:1" ht="12.75">
      <c r="A1224" s="23" t="s">
        <v>1033</v>
      </c>
    </row>
    <row r="1225" spans="1:1" ht="12.75">
      <c r="A1225" s="23" t="s">
        <v>1034</v>
      </c>
    </row>
    <row r="1226" spans="1:1" ht="12.75">
      <c r="A1226" s="23" t="s">
        <v>1035</v>
      </c>
    </row>
    <row r="1227" spans="1:1" ht="12.75">
      <c r="A1227" s="23" t="s">
        <v>1036</v>
      </c>
    </row>
    <row r="1228" spans="1:1" ht="12.75">
      <c r="A1228" s="23" t="s">
        <v>1037</v>
      </c>
    </row>
    <row r="1229" spans="1:1" ht="12.75">
      <c r="A1229" s="23" t="s">
        <v>1038</v>
      </c>
    </row>
    <row r="1230" spans="1:1" ht="12.75">
      <c r="A1230" s="23" t="s">
        <v>1039</v>
      </c>
    </row>
    <row r="1231" spans="1:1" ht="12.75">
      <c r="A1231" s="23" t="s">
        <v>1040</v>
      </c>
    </row>
    <row r="1232" spans="1:1" ht="12.75">
      <c r="A1232" s="23" t="s">
        <v>1041</v>
      </c>
    </row>
    <row r="1233" spans="1:1" ht="12.75">
      <c r="A1233" s="23" t="s">
        <v>1042</v>
      </c>
    </row>
    <row r="1234" spans="1:1" ht="12.75">
      <c r="A1234" s="23" t="s">
        <v>1043</v>
      </c>
    </row>
    <row r="1235" spans="1:1" ht="12.75">
      <c r="A1235" s="23" t="s">
        <v>1044</v>
      </c>
    </row>
    <row r="1236" spans="1:1" ht="12.75">
      <c r="A1236" s="23" t="s">
        <v>1045</v>
      </c>
    </row>
    <row r="1237" spans="1:1" ht="12.75">
      <c r="A1237" s="23" t="s">
        <v>1046</v>
      </c>
    </row>
    <row r="1238" spans="1:1" ht="12.75">
      <c r="A1238" s="23" t="s">
        <v>1047</v>
      </c>
    </row>
    <row r="1239" spans="1:1" ht="12.75">
      <c r="A1239" s="23" t="s">
        <v>1048</v>
      </c>
    </row>
    <row r="1240" spans="1:1" ht="12.75">
      <c r="A1240" s="23" t="s">
        <v>1049</v>
      </c>
    </row>
    <row r="1241" spans="1:1" ht="12.75">
      <c r="A1241" s="23" t="s">
        <v>1050</v>
      </c>
    </row>
    <row r="1242" spans="1:1" ht="12.75">
      <c r="A1242" s="23" t="s">
        <v>1051</v>
      </c>
    </row>
    <row r="1243" spans="1:1" ht="12.75">
      <c r="A1243" s="23" t="s">
        <v>1052</v>
      </c>
    </row>
    <row r="1244" spans="1:1" ht="12.75">
      <c r="A1244" s="23" t="s">
        <v>1053</v>
      </c>
    </row>
    <row r="1245" spans="1:1" ht="12.75">
      <c r="A1245" s="23" t="s">
        <v>1054</v>
      </c>
    </row>
    <row r="1246" spans="1:1" ht="12.75">
      <c r="A1246" s="23" t="s">
        <v>1055</v>
      </c>
    </row>
    <row r="1247" spans="1:1" ht="12.75">
      <c r="A1247" s="23" t="s">
        <v>1056</v>
      </c>
    </row>
    <row r="1248" spans="1:1" ht="12.75">
      <c r="A1248" s="23" t="s">
        <v>1057</v>
      </c>
    </row>
    <row r="1249" spans="1:1" ht="12.75">
      <c r="A1249" s="23" t="s">
        <v>1058</v>
      </c>
    </row>
    <row r="1250" spans="1:1" ht="12.75">
      <c r="A1250" s="23" t="s">
        <v>1059</v>
      </c>
    </row>
    <row r="1251" spans="1:1" ht="12.75">
      <c r="A1251" s="23" t="s">
        <v>1060</v>
      </c>
    </row>
    <row r="1252" spans="1:1" ht="12.75">
      <c r="A1252" s="23" t="s">
        <v>1061</v>
      </c>
    </row>
    <row r="1253" spans="1:1" ht="12.75">
      <c r="A1253" s="23" t="s">
        <v>1062</v>
      </c>
    </row>
    <row r="1254" spans="1:1" ht="12.75">
      <c r="A1254" s="23" t="s">
        <v>1063</v>
      </c>
    </row>
    <row r="1255" spans="1:1" ht="12.75">
      <c r="A1255" s="23" t="s">
        <v>1064</v>
      </c>
    </row>
    <row r="1256" spans="1:1" ht="12.75">
      <c r="A1256" s="23" t="s">
        <v>1065</v>
      </c>
    </row>
    <row r="1257" spans="1:1" ht="12.75">
      <c r="A1257" s="23" t="s">
        <v>1066</v>
      </c>
    </row>
    <row r="1258" spans="1:1" ht="12.75">
      <c r="A1258" s="23" t="s">
        <v>1067</v>
      </c>
    </row>
    <row r="1259" spans="1:1" ht="12.75">
      <c r="A1259" s="23" t="s">
        <v>1068</v>
      </c>
    </row>
    <row r="1260" spans="1:1" ht="12.75">
      <c r="A1260" s="23" t="s">
        <v>1069</v>
      </c>
    </row>
    <row r="1261" spans="1:1" ht="12.75">
      <c r="A1261" s="23" t="s">
        <v>1070</v>
      </c>
    </row>
    <row r="1262" spans="1:1" ht="12.75">
      <c r="A1262" s="23" t="s">
        <v>1071</v>
      </c>
    </row>
    <row r="1263" spans="1:1" ht="12.75">
      <c r="A1263" s="23" t="s">
        <v>1072</v>
      </c>
    </row>
    <row r="1264" spans="1:1" ht="12.75">
      <c r="A1264" s="23" t="s">
        <v>1073</v>
      </c>
    </row>
    <row r="1265" spans="1:1" ht="12.75">
      <c r="A1265" s="23" t="s">
        <v>1074</v>
      </c>
    </row>
    <row r="1266" spans="1:1" ht="12.75">
      <c r="A1266" s="23" t="s">
        <v>1075</v>
      </c>
    </row>
    <row r="1267" spans="1:1" ht="12.75">
      <c r="A1267" s="23" t="s">
        <v>1076</v>
      </c>
    </row>
    <row r="1268" spans="1:1" ht="12.75">
      <c r="A1268" s="23" t="s">
        <v>1077</v>
      </c>
    </row>
    <row r="1269" spans="1:1" ht="12.75">
      <c r="A1269" s="23" t="s">
        <v>1078</v>
      </c>
    </row>
    <row r="1270" spans="1:1" ht="12.75">
      <c r="A1270" s="23" t="s">
        <v>1079</v>
      </c>
    </row>
    <row r="1271" spans="1:1" ht="12.75">
      <c r="A1271" s="23" t="s">
        <v>1080</v>
      </c>
    </row>
    <row r="1272" spans="1:1" ht="12.75">
      <c r="A1272" s="23" t="s">
        <v>1081</v>
      </c>
    </row>
    <row r="1273" spans="1:1" ht="12.75">
      <c r="A1273" s="23" t="s">
        <v>1082</v>
      </c>
    </row>
    <row r="1274" spans="1:1" ht="12.75">
      <c r="A1274" s="23" t="s">
        <v>1083</v>
      </c>
    </row>
    <row r="1275" spans="1:1" ht="12.75">
      <c r="A1275" s="23" t="s">
        <v>1084</v>
      </c>
    </row>
    <row r="1276" spans="1:1" ht="12.75">
      <c r="A1276" s="23" t="s">
        <v>1085</v>
      </c>
    </row>
    <row r="1277" spans="1:1" ht="12.75">
      <c r="A1277" s="23" t="s">
        <v>1086</v>
      </c>
    </row>
    <row r="1278" spans="1:1" ht="12.75">
      <c r="A1278" s="23" t="s">
        <v>1087</v>
      </c>
    </row>
    <row r="1279" spans="1:1" ht="12.75">
      <c r="A1279" s="23" t="s">
        <v>1088</v>
      </c>
    </row>
    <row r="1280" spans="1:1" ht="12.75">
      <c r="A1280" s="23" t="s">
        <v>1089</v>
      </c>
    </row>
    <row r="1281" spans="1:1" ht="12.75">
      <c r="A1281" s="23" t="s">
        <v>1090</v>
      </c>
    </row>
    <row r="1282" spans="1:1" ht="12.75">
      <c r="A1282" s="23" t="s">
        <v>1091</v>
      </c>
    </row>
    <row r="1283" spans="1:1" ht="12.75">
      <c r="A1283" s="23" t="s">
        <v>1092</v>
      </c>
    </row>
    <row r="1284" spans="1:1" ht="12.75">
      <c r="A1284" s="23" t="s">
        <v>1093</v>
      </c>
    </row>
    <row r="1285" spans="1:1" ht="12.75">
      <c r="A1285" s="23" t="s">
        <v>1094</v>
      </c>
    </row>
    <row r="1286" spans="1:1" ht="12.75">
      <c r="A1286" s="23" t="s">
        <v>1095</v>
      </c>
    </row>
    <row r="1287" spans="1:1" ht="12.75">
      <c r="A1287" s="23" t="s">
        <v>1096</v>
      </c>
    </row>
    <row r="1288" spans="1:1" ht="12.75">
      <c r="A1288" s="23" t="s">
        <v>1097</v>
      </c>
    </row>
    <row r="1289" spans="1:1" ht="12.75">
      <c r="A1289" s="23" t="s">
        <v>1098</v>
      </c>
    </row>
    <row r="1290" spans="1:1" ht="12.75">
      <c r="A1290" s="23" t="s">
        <v>1099</v>
      </c>
    </row>
    <row r="1291" spans="1:1" ht="12.75">
      <c r="A1291" s="23" t="s">
        <v>1100</v>
      </c>
    </row>
    <row r="1292" spans="1:1" ht="12.75">
      <c r="A1292" s="23" t="s">
        <v>1101</v>
      </c>
    </row>
    <row r="1293" spans="1:1" ht="12.75">
      <c r="A1293" s="23" t="s">
        <v>1102</v>
      </c>
    </row>
    <row r="1294" spans="1:1" ht="12.75">
      <c r="A1294" s="23" t="s">
        <v>1103</v>
      </c>
    </row>
    <row r="1295" spans="1:1" ht="12.75">
      <c r="A1295" s="23" t="s">
        <v>1104</v>
      </c>
    </row>
    <row r="1296" spans="1:1" ht="12.75">
      <c r="A1296" s="23" t="s">
        <v>1105</v>
      </c>
    </row>
    <row r="1297" spans="1:1" ht="12.75">
      <c r="A1297" s="23" t="s">
        <v>1106</v>
      </c>
    </row>
    <row r="1298" spans="1:1" ht="12.75">
      <c r="A1298" s="23" t="s">
        <v>1107</v>
      </c>
    </row>
    <row r="1299" spans="1:1" ht="12.75">
      <c r="A1299" s="23" t="s">
        <v>1108</v>
      </c>
    </row>
    <row r="1300" spans="1:1" ht="12.75">
      <c r="A1300" s="23" t="s">
        <v>1109</v>
      </c>
    </row>
    <row r="1301" spans="1:1" ht="12.75">
      <c r="A1301" s="23" t="s">
        <v>1110</v>
      </c>
    </row>
    <row r="1302" spans="1:1" ht="12.75">
      <c r="A1302" s="23" t="s">
        <v>1111</v>
      </c>
    </row>
    <row r="1303" spans="1:1" ht="12.75">
      <c r="A1303" s="23" t="s">
        <v>1112</v>
      </c>
    </row>
    <row r="1304" spans="1:1" ht="12.75">
      <c r="A1304" s="23" t="s">
        <v>1113</v>
      </c>
    </row>
    <row r="1305" spans="1:1" ht="12.75">
      <c r="A1305" s="23" t="s">
        <v>1114</v>
      </c>
    </row>
    <row r="1306" spans="1:1" ht="12.75">
      <c r="A1306" s="23" t="s">
        <v>1115</v>
      </c>
    </row>
    <row r="1307" spans="1:1" ht="12.75">
      <c r="A1307" s="23" t="s">
        <v>1116</v>
      </c>
    </row>
    <row r="1308" spans="1:1" ht="12.75">
      <c r="A1308" s="23" t="s">
        <v>1117</v>
      </c>
    </row>
    <row r="1309" spans="1:1" ht="12.75">
      <c r="A1309" s="23" t="s">
        <v>1118</v>
      </c>
    </row>
    <row r="1310" spans="1:1" ht="12.75">
      <c r="A1310" s="23" t="s">
        <v>1119</v>
      </c>
    </row>
    <row r="1311" spans="1:1" ht="12.75">
      <c r="A1311" s="23" t="s">
        <v>1120</v>
      </c>
    </row>
    <row r="1312" spans="1:1" ht="12.75">
      <c r="A1312" s="23" t="s">
        <v>1121</v>
      </c>
    </row>
    <row r="1313" spans="1:1" ht="12.75">
      <c r="A1313" s="23" t="s">
        <v>1122</v>
      </c>
    </row>
    <row r="1314" spans="1:1" ht="12.75">
      <c r="A1314" s="23" t="s">
        <v>1123</v>
      </c>
    </row>
    <row r="1315" spans="1:1" ht="12.75">
      <c r="A1315" s="23" t="s">
        <v>1124</v>
      </c>
    </row>
    <row r="1316" spans="1:1" ht="12.75">
      <c r="A1316" s="23" t="s">
        <v>1125</v>
      </c>
    </row>
    <row r="1317" spans="1:1" ht="12.75">
      <c r="A1317" s="23" t="s">
        <v>1126</v>
      </c>
    </row>
    <row r="1318" spans="1:1" ht="12.75">
      <c r="A1318" s="23" t="s">
        <v>1127</v>
      </c>
    </row>
    <row r="1319" spans="1:1" ht="12.75">
      <c r="A1319" s="23" t="s">
        <v>1128</v>
      </c>
    </row>
    <row r="1320" spans="1:1" ht="12.75">
      <c r="A1320" s="23" t="s">
        <v>1129</v>
      </c>
    </row>
    <row r="1321" spans="1:1" ht="12.75">
      <c r="A1321" s="23" t="s">
        <v>1130</v>
      </c>
    </row>
    <row r="1322" spans="1:1" ht="12.75">
      <c r="A1322" s="23" t="s">
        <v>1131</v>
      </c>
    </row>
    <row r="1323" spans="1:1" ht="12.75">
      <c r="A1323" s="23" t="s">
        <v>1132</v>
      </c>
    </row>
    <row r="1324" spans="1:1" ht="12.75">
      <c r="A1324" s="23" t="s">
        <v>1133</v>
      </c>
    </row>
    <row r="1325" spans="1:1" ht="12.75">
      <c r="A1325" s="23" t="s">
        <v>1134</v>
      </c>
    </row>
    <row r="1326" spans="1:1" ht="12.75">
      <c r="A1326" s="23" t="s">
        <v>1135</v>
      </c>
    </row>
    <row r="1327" spans="1:1" ht="12.75">
      <c r="A1327" s="23" t="s">
        <v>1136</v>
      </c>
    </row>
    <row r="1328" spans="1:1" ht="12.75">
      <c r="A1328" s="23" t="s">
        <v>1137</v>
      </c>
    </row>
    <row r="1329" spans="1:1" ht="12.75">
      <c r="A1329" s="23" t="s">
        <v>1138</v>
      </c>
    </row>
    <row r="1330" spans="1:1" ht="12.75">
      <c r="A1330" s="23" t="s">
        <v>1139</v>
      </c>
    </row>
    <row r="1331" spans="1:1" ht="12.75">
      <c r="A1331" s="23" t="s">
        <v>1140</v>
      </c>
    </row>
    <row r="1332" spans="1:1" ht="12.75">
      <c r="A1332" s="23" t="s">
        <v>1141</v>
      </c>
    </row>
    <row r="1333" spans="1:1" ht="12.75">
      <c r="A1333" s="23" t="s">
        <v>1142</v>
      </c>
    </row>
    <row r="1334" spans="1:1" ht="12.75">
      <c r="A1334" s="23" t="s">
        <v>1143</v>
      </c>
    </row>
    <row r="1335" spans="1:1" ht="12.75">
      <c r="A1335" s="23" t="s">
        <v>1144</v>
      </c>
    </row>
    <row r="1336" spans="1:1" ht="12.75">
      <c r="A1336" s="23" t="s">
        <v>1145</v>
      </c>
    </row>
    <row r="1337" spans="1:1" ht="12.75">
      <c r="A1337" s="23" t="s">
        <v>1146</v>
      </c>
    </row>
    <row r="1338" spans="1:1" ht="12.75">
      <c r="A1338" s="23" t="s">
        <v>1147</v>
      </c>
    </row>
    <row r="1339" spans="1:1" ht="12.75">
      <c r="A1339" s="23" t="s">
        <v>1148</v>
      </c>
    </row>
    <row r="1340" spans="1:1" ht="12.75">
      <c r="A1340" s="23" t="s">
        <v>1149</v>
      </c>
    </row>
    <row r="1341" spans="1:1" ht="12.75">
      <c r="A1341" s="23" t="s">
        <v>1150</v>
      </c>
    </row>
    <row r="1342" spans="1:1" ht="12.75">
      <c r="A1342" s="23" t="s">
        <v>1151</v>
      </c>
    </row>
    <row r="1343" spans="1:1" ht="12.75">
      <c r="A1343" s="23" t="s">
        <v>1152</v>
      </c>
    </row>
    <row r="1344" spans="1:1" ht="12.75">
      <c r="A1344" s="23" t="s">
        <v>1153</v>
      </c>
    </row>
    <row r="1345" spans="1:1" ht="12.75">
      <c r="A1345" s="23" t="s">
        <v>1154</v>
      </c>
    </row>
    <row r="1346" spans="1:1" ht="12.75">
      <c r="A1346" s="23" t="s">
        <v>1155</v>
      </c>
    </row>
    <row r="1347" spans="1:1" ht="12.75">
      <c r="A1347" s="23" t="s">
        <v>1156</v>
      </c>
    </row>
    <row r="1348" spans="1:1" ht="12.75">
      <c r="A1348" s="23" t="s">
        <v>1157</v>
      </c>
    </row>
    <row r="1349" spans="1:1" ht="12.75">
      <c r="A1349" s="23" t="s">
        <v>1158</v>
      </c>
    </row>
    <row r="1350" spans="1:1" ht="12.75">
      <c r="A1350" s="23" t="s">
        <v>1159</v>
      </c>
    </row>
    <row r="1351" spans="1:1" ht="12.75">
      <c r="A1351" s="23" t="s">
        <v>1160</v>
      </c>
    </row>
    <row r="1352" spans="1:1" ht="12.75">
      <c r="A1352" s="23" t="s">
        <v>1161</v>
      </c>
    </row>
    <row r="1353" spans="1:1" ht="12.75">
      <c r="A1353" s="23" t="s">
        <v>1162</v>
      </c>
    </row>
    <row r="1354" spans="1:1" ht="12.75">
      <c r="A1354" s="23" t="s">
        <v>1163</v>
      </c>
    </row>
    <row r="1355" spans="1:1" ht="12.75">
      <c r="A1355" s="23" t="s">
        <v>1164</v>
      </c>
    </row>
    <row r="1356" spans="1:1" ht="12.75">
      <c r="A1356" s="23" t="s">
        <v>1165</v>
      </c>
    </row>
    <row r="1357" spans="1:1" ht="12.75">
      <c r="A1357" s="23" t="s">
        <v>1166</v>
      </c>
    </row>
    <row r="1358" spans="1:1" ht="12.75">
      <c r="A1358" s="23" t="s">
        <v>1167</v>
      </c>
    </row>
    <row r="1359" spans="1:1" ht="12.75">
      <c r="A1359" s="23" t="s">
        <v>1168</v>
      </c>
    </row>
    <row r="1360" spans="1:1" ht="12.75">
      <c r="A1360" s="23" t="s">
        <v>1169</v>
      </c>
    </row>
    <row r="1361" spans="1:1" ht="12.75">
      <c r="A1361" s="23" t="s">
        <v>1170</v>
      </c>
    </row>
    <row r="1362" spans="1:1" ht="12.75">
      <c r="A1362" s="23" t="s">
        <v>1171</v>
      </c>
    </row>
    <row r="1363" spans="1:1" ht="12.75">
      <c r="A1363" s="23" t="s">
        <v>1172</v>
      </c>
    </row>
    <row r="1364" spans="1:1" ht="12.75">
      <c r="A1364" s="23" t="s">
        <v>1173</v>
      </c>
    </row>
    <row r="1365" spans="1:1" ht="12.75">
      <c r="A1365" s="23" t="s">
        <v>1174</v>
      </c>
    </row>
    <row r="1366" spans="1:1" ht="12.75">
      <c r="A1366" s="23" t="s">
        <v>1175</v>
      </c>
    </row>
    <row r="1367" spans="1:1" ht="12.75">
      <c r="A1367" s="23" t="s">
        <v>1176</v>
      </c>
    </row>
    <row r="1368" spans="1:1" ht="12.75">
      <c r="A1368" s="23" t="s">
        <v>1177</v>
      </c>
    </row>
    <row r="1369" spans="1:1" ht="12.75">
      <c r="A1369" s="23" t="s">
        <v>1178</v>
      </c>
    </row>
    <row r="1370" spans="1:1" ht="12.75">
      <c r="A1370" s="23" t="s">
        <v>1179</v>
      </c>
    </row>
    <row r="1371" spans="1:1" ht="12.75">
      <c r="A1371" s="23" t="s">
        <v>1180</v>
      </c>
    </row>
    <row r="1372" spans="1:1" ht="12.75">
      <c r="A1372" s="23" t="s">
        <v>1181</v>
      </c>
    </row>
    <row r="1373" spans="1:1" ht="12.75">
      <c r="A1373" s="23" t="s">
        <v>1182</v>
      </c>
    </row>
    <row r="1374" spans="1:1" ht="12.75">
      <c r="A1374" s="23" t="s">
        <v>1183</v>
      </c>
    </row>
    <row r="1375" spans="1:1" ht="12.75">
      <c r="A1375" s="23" t="s">
        <v>1184</v>
      </c>
    </row>
    <row r="1376" spans="1:1" ht="12.75">
      <c r="A1376" s="23" t="s">
        <v>1185</v>
      </c>
    </row>
    <row r="1377" spans="1:1" ht="12.75">
      <c r="A1377" s="23" t="s">
        <v>1186</v>
      </c>
    </row>
    <row r="1378" spans="1:1" ht="12.75">
      <c r="A1378" s="23" t="s">
        <v>1187</v>
      </c>
    </row>
    <row r="1379" spans="1:1" ht="12.75">
      <c r="A1379" s="23" t="s">
        <v>1188</v>
      </c>
    </row>
    <row r="1380" spans="1:1" ht="12.75">
      <c r="A1380" s="23" t="s">
        <v>1189</v>
      </c>
    </row>
    <row r="1381" spans="1:1" ht="12.75">
      <c r="A1381" s="23" t="s">
        <v>1190</v>
      </c>
    </row>
    <row r="1382" spans="1:1" ht="12.75">
      <c r="A1382" s="23" t="s">
        <v>1191</v>
      </c>
    </row>
    <row r="1383" spans="1:1" ht="12.75">
      <c r="A1383" s="23" t="s">
        <v>1192</v>
      </c>
    </row>
    <row r="1384" spans="1:1" ht="12.75">
      <c r="A1384" s="23" t="s">
        <v>1193</v>
      </c>
    </row>
    <row r="1385" spans="1:1" ht="12.75">
      <c r="A1385" s="23" t="s">
        <v>1194</v>
      </c>
    </row>
    <row r="1386" spans="1:1" ht="12.75">
      <c r="A1386" s="23" t="s">
        <v>1195</v>
      </c>
    </row>
    <row r="1387" spans="1:1" ht="12.75">
      <c r="A1387" s="23" t="s">
        <v>1196</v>
      </c>
    </row>
    <row r="1388" spans="1:1" ht="12.75">
      <c r="A1388" s="23" t="s">
        <v>1197</v>
      </c>
    </row>
    <row r="1389" spans="1:1" ht="12.75">
      <c r="A1389" s="23" t="s">
        <v>1198</v>
      </c>
    </row>
    <row r="1390" spans="1:1" ht="12.75">
      <c r="A1390" s="23" t="s">
        <v>1199</v>
      </c>
    </row>
    <row r="1391" spans="1:1" ht="12.75">
      <c r="A1391" s="23" t="s">
        <v>1200</v>
      </c>
    </row>
    <row r="1392" spans="1:1" ht="12.75">
      <c r="A1392" s="23" t="s">
        <v>1201</v>
      </c>
    </row>
    <row r="1393" spans="1:1" ht="12.75">
      <c r="A1393" s="23" t="s">
        <v>1202</v>
      </c>
    </row>
    <row r="1394" spans="1:1" ht="12.75">
      <c r="A1394" s="23" t="s">
        <v>1203</v>
      </c>
    </row>
    <row r="1395" spans="1:1" ht="12.75">
      <c r="A1395" s="23" t="s">
        <v>1204</v>
      </c>
    </row>
    <row r="1396" spans="1:1" ht="12.75">
      <c r="A1396" s="23" t="s">
        <v>1205</v>
      </c>
    </row>
    <row r="1397" spans="1:1" ht="12.75">
      <c r="A1397" s="23" t="s">
        <v>1206</v>
      </c>
    </row>
    <row r="1398" spans="1:1" ht="12.75">
      <c r="A1398" s="23" t="s">
        <v>1207</v>
      </c>
    </row>
    <row r="1399" spans="1:1" ht="12.75">
      <c r="A1399" s="23" t="s">
        <v>1208</v>
      </c>
    </row>
    <row r="1400" spans="1:1" ht="12.75">
      <c r="A1400" s="23" t="s">
        <v>1209</v>
      </c>
    </row>
    <row r="1401" spans="1:1" ht="12.75">
      <c r="A1401" s="23" t="s">
        <v>1210</v>
      </c>
    </row>
    <row r="1402" spans="1:1" ht="12.75">
      <c r="A1402" s="23" t="s">
        <v>1211</v>
      </c>
    </row>
    <row r="1403" spans="1:1" ht="12.75">
      <c r="A1403" s="23" t="s">
        <v>1212</v>
      </c>
    </row>
    <row r="1404" spans="1:1" ht="12.75">
      <c r="A1404" s="23" t="s">
        <v>1213</v>
      </c>
    </row>
    <row r="1405" spans="1:1" ht="12.75">
      <c r="A1405" s="23" t="s">
        <v>1214</v>
      </c>
    </row>
    <row r="1406" spans="1:1" ht="12.75">
      <c r="A1406" s="23" t="s">
        <v>1215</v>
      </c>
    </row>
    <row r="1407" spans="1:1" ht="12.75">
      <c r="A1407" s="23" t="s">
        <v>1216</v>
      </c>
    </row>
    <row r="1408" spans="1:1" ht="12.75">
      <c r="A1408" s="23" t="s">
        <v>1217</v>
      </c>
    </row>
    <row r="1409" spans="1:1" ht="12.75">
      <c r="A1409" s="23" t="s">
        <v>1218</v>
      </c>
    </row>
    <row r="1410" spans="1:1" ht="12.75">
      <c r="A1410" s="23" t="s">
        <v>1219</v>
      </c>
    </row>
    <row r="1411" spans="1:1" ht="12.75">
      <c r="A1411" s="23" t="s">
        <v>1220</v>
      </c>
    </row>
    <row r="1412" spans="1:1" ht="12.75">
      <c r="A1412" s="23" t="s">
        <v>1221</v>
      </c>
    </row>
    <row r="1413" spans="1:1" ht="12.75">
      <c r="A1413" s="23" t="s">
        <v>1222</v>
      </c>
    </row>
    <row r="1414" spans="1:1" ht="12.75">
      <c r="A1414" s="23" t="s">
        <v>1223</v>
      </c>
    </row>
    <row r="1415" spans="1:1" ht="12.75">
      <c r="A1415" s="23" t="s">
        <v>1224</v>
      </c>
    </row>
    <row r="1416" spans="1:1" ht="12.75">
      <c r="A1416" s="23" t="s">
        <v>1225</v>
      </c>
    </row>
    <row r="1417" spans="1:1" ht="12.75">
      <c r="A1417" s="23" t="s">
        <v>1226</v>
      </c>
    </row>
    <row r="1418" spans="1:1" ht="12.75">
      <c r="A1418" s="23" t="s">
        <v>1227</v>
      </c>
    </row>
    <row r="1419" spans="1:1" ht="12.75">
      <c r="A1419" s="23" t="s">
        <v>1228</v>
      </c>
    </row>
    <row r="1420" spans="1:1" ht="12.75">
      <c r="A1420" s="23" t="s">
        <v>1229</v>
      </c>
    </row>
    <row r="1421" spans="1:1" ht="12.75">
      <c r="A1421" s="23" t="s">
        <v>1230</v>
      </c>
    </row>
    <row r="1422" spans="1:1" ht="12.75">
      <c r="A1422" s="23" t="s">
        <v>1231</v>
      </c>
    </row>
    <row r="1423" spans="1:1" ht="12.75">
      <c r="A1423" s="23" t="s">
        <v>1232</v>
      </c>
    </row>
    <row r="1424" spans="1:1" ht="12.75">
      <c r="A1424" s="23" t="s">
        <v>1233</v>
      </c>
    </row>
    <row r="1425" spans="1:1" ht="12.75">
      <c r="A1425" s="23" t="s">
        <v>1234</v>
      </c>
    </row>
    <row r="1426" spans="1:1" ht="12.75">
      <c r="A1426" s="23" t="s">
        <v>1235</v>
      </c>
    </row>
    <row r="1427" spans="1:1" ht="12.75">
      <c r="A1427" s="23" t="s">
        <v>1236</v>
      </c>
    </row>
    <row r="1428" spans="1:1" ht="12.75">
      <c r="A1428" s="23" t="s">
        <v>1237</v>
      </c>
    </row>
    <row r="1429" spans="1:1" ht="12.75">
      <c r="A1429" s="23" t="s">
        <v>1238</v>
      </c>
    </row>
    <row r="1430" spans="1:1" ht="12.75">
      <c r="A1430" s="23" t="s">
        <v>1239</v>
      </c>
    </row>
    <row r="1431" spans="1:1" ht="12.75">
      <c r="A1431" s="23" t="s">
        <v>1240</v>
      </c>
    </row>
    <row r="1432" spans="1:1" ht="12.75">
      <c r="A1432" s="23" t="s">
        <v>1241</v>
      </c>
    </row>
    <row r="1433" spans="1:1" ht="12.75">
      <c r="A1433" s="23" t="s">
        <v>1242</v>
      </c>
    </row>
    <row r="1434" spans="1:1" ht="12.75">
      <c r="A1434" s="23" t="s">
        <v>1243</v>
      </c>
    </row>
    <row r="1435" spans="1:1" ht="12.75">
      <c r="A1435" s="23" t="s">
        <v>1244</v>
      </c>
    </row>
    <row r="1436" spans="1:1" ht="12.75">
      <c r="A1436" s="23" t="s">
        <v>1245</v>
      </c>
    </row>
    <row r="1437" spans="1:1" ht="12.75">
      <c r="A1437" s="23" t="s">
        <v>1246</v>
      </c>
    </row>
    <row r="1438" spans="1:1" ht="12.75">
      <c r="A1438" s="23" t="s">
        <v>1247</v>
      </c>
    </row>
    <row r="1439" spans="1:1" ht="12.75">
      <c r="A1439" s="23" t="s">
        <v>1248</v>
      </c>
    </row>
    <row r="1440" spans="1:1" ht="12.75">
      <c r="A1440" s="23" t="s">
        <v>1249</v>
      </c>
    </row>
    <row r="1441" spans="1:1" ht="12.75">
      <c r="A1441" s="23" t="s">
        <v>1250</v>
      </c>
    </row>
    <row r="1442" spans="1:1" ht="12.75">
      <c r="A1442" s="23" t="s">
        <v>1251</v>
      </c>
    </row>
    <row r="1443" spans="1:1" ht="12.75">
      <c r="A1443" s="23" t="s">
        <v>1252</v>
      </c>
    </row>
    <row r="1444" spans="1:1" ht="12.75">
      <c r="A1444" s="23" t="s">
        <v>1253</v>
      </c>
    </row>
    <row r="1445" spans="1:1" ht="12.75">
      <c r="A1445" s="23" t="s">
        <v>1254</v>
      </c>
    </row>
    <row r="1446" spans="1:1" ht="12.75">
      <c r="A1446" s="23" t="s">
        <v>1255</v>
      </c>
    </row>
    <row r="1447" spans="1:1" ht="12.75">
      <c r="A1447" s="23" t="s">
        <v>1256</v>
      </c>
    </row>
    <row r="1448" spans="1:1" ht="12.75">
      <c r="A1448" s="23" t="s">
        <v>1257</v>
      </c>
    </row>
    <row r="1449" spans="1:1" ht="12.75">
      <c r="A1449" s="23" t="s">
        <v>1258</v>
      </c>
    </row>
    <row r="1450" spans="1:1" ht="12.75">
      <c r="A1450" s="23" t="s">
        <v>1259</v>
      </c>
    </row>
    <row r="1451" spans="1:1" ht="12.75">
      <c r="A1451" s="23" t="s">
        <v>1260</v>
      </c>
    </row>
    <row r="1452" spans="1:1" ht="12.75">
      <c r="A1452" s="23" t="s">
        <v>1261</v>
      </c>
    </row>
    <row r="1453" spans="1:1" ht="12.75">
      <c r="A1453" s="23" t="s">
        <v>1262</v>
      </c>
    </row>
    <row r="1454" spans="1:1" ht="12.75">
      <c r="A1454" s="23" t="s">
        <v>1263</v>
      </c>
    </row>
    <row r="1455" spans="1:1" ht="12.75">
      <c r="A1455" s="23" t="s">
        <v>1264</v>
      </c>
    </row>
    <row r="1456" spans="1:1" ht="12.75">
      <c r="A1456" s="23" t="s">
        <v>1265</v>
      </c>
    </row>
    <row r="1457" spans="1:1" ht="12.75">
      <c r="A1457" s="23" t="s">
        <v>1266</v>
      </c>
    </row>
    <row r="1458" spans="1:1" ht="12.75">
      <c r="A1458" s="23" t="s">
        <v>1267</v>
      </c>
    </row>
    <row r="1459" spans="1:1" ht="12.75">
      <c r="A1459" s="23" t="s">
        <v>1268</v>
      </c>
    </row>
    <row r="1460" spans="1:1" ht="12.75">
      <c r="A1460" s="23" t="s">
        <v>1269</v>
      </c>
    </row>
    <row r="1461" spans="1:1" ht="12.75">
      <c r="A1461" s="23" t="s">
        <v>1270</v>
      </c>
    </row>
    <row r="1462" spans="1:1" ht="12.75">
      <c r="A1462" s="23" t="s">
        <v>1271</v>
      </c>
    </row>
    <row r="1463" spans="1:1" ht="12.75">
      <c r="A1463" s="23" t="s">
        <v>1272</v>
      </c>
    </row>
    <row r="1464" spans="1:1" ht="12.75">
      <c r="A1464" s="23" t="s">
        <v>1273</v>
      </c>
    </row>
    <row r="1465" spans="1:1" ht="12.75">
      <c r="A1465" s="23" t="s">
        <v>1274</v>
      </c>
    </row>
    <row r="1466" spans="1:1" ht="12.75">
      <c r="A1466" s="23" t="s">
        <v>1275</v>
      </c>
    </row>
    <row r="1467" spans="1:1" ht="12.75">
      <c r="A1467" s="23" t="s">
        <v>1276</v>
      </c>
    </row>
    <row r="1468" spans="1:1" ht="12.75">
      <c r="A1468" s="23" t="s">
        <v>1277</v>
      </c>
    </row>
    <row r="1469" spans="1:1" ht="12.75">
      <c r="A1469" s="23" t="s">
        <v>1278</v>
      </c>
    </row>
    <row r="1470" spans="1:1" ht="12.75">
      <c r="A1470" s="23" t="s">
        <v>1279</v>
      </c>
    </row>
    <row r="1471" spans="1:1" ht="12.75">
      <c r="A1471" s="23" t="s">
        <v>1280</v>
      </c>
    </row>
    <row r="1472" spans="1:1" ht="12.75">
      <c r="A1472" s="23" t="s">
        <v>1281</v>
      </c>
    </row>
    <row r="1473" spans="1:1" ht="12.75">
      <c r="A1473" s="23" t="s">
        <v>1282</v>
      </c>
    </row>
    <row r="1474" spans="1:1" ht="12.75">
      <c r="A1474" s="23" t="s">
        <v>1283</v>
      </c>
    </row>
    <row r="1475" spans="1:1" ht="12.75">
      <c r="A1475" s="23" t="s">
        <v>1284</v>
      </c>
    </row>
    <row r="1476" spans="1:1" ht="12.75">
      <c r="A1476" s="23" t="s">
        <v>1285</v>
      </c>
    </row>
    <row r="1477" spans="1:1" ht="12.75">
      <c r="A1477" s="23" t="s">
        <v>1286</v>
      </c>
    </row>
    <row r="1478" spans="1:1" ht="12.75">
      <c r="A1478" s="23" t="s">
        <v>1287</v>
      </c>
    </row>
    <row r="1479" spans="1:1" ht="12.75">
      <c r="A1479" s="23" t="s">
        <v>1288</v>
      </c>
    </row>
    <row r="1480" spans="1:1" ht="12.75">
      <c r="A1480" s="23" t="s">
        <v>1289</v>
      </c>
    </row>
    <row r="1481" spans="1:1" ht="12.75">
      <c r="A1481" s="23" t="s">
        <v>1290</v>
      </c>
    </row>
    <row r="1482" spans="1:1" ht="12.75">
      <c r="A1482" s="23" t="s">
        <v>1291</v>
      </c>
    </row>
    <row r="1483" spans="1:1" ht="12.75">
      <c r="A1483" s="23" t="s">
        <v>1292</v>
      </c>
    </row>
    <row r="1484" spans="1:1" ht="12.75">
      <c r="A1484" s="23" t="s">
        <v>1293</v>
      </c>
    </row>
    <row r="1485" spans="1:1" ht="12.75">
      <c r="A1485" s="23" t="s">
        <v>1294</v>
      </c>
    </row>
    <row r="1486" spans="1:1" ht="12.75">
      <c r="A1486" s="23" t="s">
        <v>1295</v>
      </c>
    </row>
    <row r="1487" spans="1:1" ht="12.75">
      <c r="A1487" s="23" t="s">
        <v>1296</v>
      </c>
    </row>
    <row r="1488" spans="1:1" ht="12.75">
      <c r="A1488" s="23" t="s">
        <v>1297</v>
      </c>
    </row>
    <row r="1489" spans="1:1" ht="12.75">
      <c r="A1489" s="23" t="s">
        <v>1298</v>
      </c>
    </row>
    <row r="1490" spans="1:1" ht="12.75">
      <c r="A1490" s="23" t="s">
        <v>1299</v>
      </c>
    </row>
    <row r="1491" spans="1:1" ht="12.75">
      <c r="A1491" s="23" t="s">
        <v>1300</v>
      </c>
    </row>
    <row r="1492" spans="1:1" ht="12.75">
      <c r="A1492" s="23" t="s">
        <v>1301</v>
      </c>
    </row>
    <row r="1493" spans="1:1" ht="12.75">
      <c r="A1493" s="23" t="s">
        <v>1302</v>
      </c>
    </row>
    <row r="1494" spans="1:1" ht="12.75">
      <c r="A1494" s="23" t="s">
        <v>1303</v>
      </c>
    </row>
    <row r="1495" spans="1:1" ht="12.75">
      <c r="A1495" s="23" t="s">
        <v>1304</v>
      </c>
    </row>
    <row r="1496" spans="1:1" ht="12.75">
      <c r="A1496" s="23" t="s">
        <v>1305</v>
      </c>
    </row>
    <row r="1497" spans="1:1" ht="12.75">
      <c r="A1497" s="23" t="s">
        <v>1306</v>
      </c>
    </row>
    <row r="1498" spans="1:1" ht="12.75">
      <c r="A1498" s="23" t="s">
        <v>1307</v>
      </c>
    </row>
    <row r="1499" spans="1:1" ht="12.75">
      <c r="A1499" s="23" t="s">
        <v>1308</v>
      </c>
    </row>
    <row r="1500" spans="1:1" ht="12.75">
      <c r="A1500" s="23" t="s">
        <v>1309</v>
      </c>
    </row>
    <row r="1501" spans="1:1" ht="12.75">
      <c r="A1501" s="23" t="s">
        <v>1310</v>
      </c>
    </row>
    <row r="1502" spans="1:1" ht="12.75">
      <c r="A1502" s="23" t="s">
        <v>1311</v>
      </c>
    </row>
    <row r="1503" spans="1:1" ht="12.75">
      <c r="A1503" s="23" t="s">
        <v>1312</v>
      </c>
    </row>
    <row r="1504" spans="1:1" ht="12.75">
      <c r="A1504" s="23" t="s">
        <v>1313</v>
      </c>
    </row>
    <row r="1505" spans="1:1" ht="12.75">
      <c r="A1505" s="23" t="s">
        <v>1314</v>
      </c>
    </row>
    <row r="1506" spans="1:1" ht="12.75">
      <c r="A1506" s="23" t="s">
        <v>1315</v>
      </c>
    </row>
    <row r="1507" spans="1:1" ht="12.75">
      <c r="A1507" s="23" t="s">
        <v>1316</v>
      </c>
    </row>
    <row r="1508" spans="1:1" ht="12.75">
      <c r="A1508" s="23" t="s">
        <v>1317</v>
      </c>
    </row>
    <row r="1509" spans="1:1" ht="12.75">
      <c r="A1509" s="23" t="s">
        <v>1318</v>
      </c>
    </row>
    <row r="1510" spans="1:1" ht="12.75">
      <c r="A1510" s="23" t="s">
        <v>1319</v>
      </c>
    </row>
    <row r="1511" spans="1:1" ht="12.75">
      <c r="A1511" s="23" t="s">
        <v>1320</v>
      </c>
    </row>
    <row r="1512" spans="1:1" ht="12.75">
      <c r="A1512" s="23" t="s">
        <v>1321</v>
      </c>
    </row>
    <row r="1513" spans="1:1" ht="12.75">
      <c r="A1513" s="23" t="s">
        <v>1322</v>
      </c>
    </row>
    <row r="1514" spans="1:1" ht="12.75">
      <c r="A1514" s="23" t="s">
        <v>1323</v>
      </c>
    </row>
    <row r="1515" spans="1:1" ht="12.75">
      <c r="A1515" s="23" t="s">
        <v>1324</v>
      </c>
    </row>
    <row r="1516" spans="1:1" ht="12.75">
      <c r="A1516" s="23" t="s">
        <v>1325</v>
      </c>
    </row>
    <row r="1517" spans="1:1" ht="12.75">
      <c r="A1517" s="23" t="s">
        <v>1326</v>
      </c>
    </row>
    <row r="1518" spans="1:1" ht="12.75">
      <c r="A1518" s="23" t="s">
        <v>1327</v>
      </c>
    </row>
    <row r="1519" spans="1:1" ht="12.75">
      <c r="A1519" s="23" t="s">
        <v>1328</v>
      </c>
    </row>
    <row r="1520" spans="1:1" ht="12.75">
      <c r="A1520" s="23" t="s">
        <v>1329</v>
      </c>
    </row>
    <row r="1521" spans="1:1" ht="12.75">
      <c r="A1521" s="23" t="s">
        <v>1330</v>
      </c>
    </row>
    <row r="1522" spans="1:1" ht="12.75">
      <c r="A1522" s="23" t="s">
        <v>1331</v>
      </c>
    </row>
    <row r="1523" spans="1:1" ht="12.75">
      <c r="A1523" s="23" t="s">
        <v>1332</v>
      </c>
    </row>
    <row r="1524" spans="1:1" ht="12.75">
      <c r="A1524" s="23" t="s">
        <v>1333</v>
      </c>
    </row>
    <row r="1525" spans="1:1" ht="12.75">
      <c r="A1525" s="23" t="s">
        <v>1334</v>
      </c>
    </row>
    <row r="1526" spans="1:1" ht="12.75">
      <c r="A1526" s="23" t="s">
        <v>1335</v>
      </c>
    </row>
    <row r="1527" spans="1:1" ht="12.75">
      <c r="A1527" s="23" t="s">
        <v>1336</v>
      </c>
    </row>
    <row r="1528" spans="1:1" ht="12.75">
      <c r="A1528" s="23" t="s">
        <v>1337</v>
      </c>
    </row>
    <row r="1529" spans="1:1" ht="12.75">
      <c r="A1529" s="23" t="s">
        <v>1338</v>
      </c>
    </row>
    <row r="1530" spans="1:1" ht="12.75">
      <c r="A1530" s="23" t="s">
        <v>1339</v>
      </c>
    </row>
    <row r="1531" spans="1:1" ht="12.75">
      <c r="A1531" s="23" t="s">
        <v>1340</v>
      </c>
    </row>
    <row r="1532" spans="1:1" ht="12.75">
      <c r="A1532" s="23" t="s">
        <v>1341</v>
      </c>
    </row>
    <row r="1533" spans="1:1" ht="12.75">
      <c r="A1533" s="23" t="s">
        <v>1342</v>
      </c>
    </row>
    <row r="1534" spans="1:1" ht="12.75">
      <c r="A1534" s="23" t="s">
        <v>1343</v>
      </c>
    </row>
    <row r="1535" spans="1:1" ht="12.75">
      <c r="A1535" s="23" t="s">
        <v>1344</v>
      </c>
    </row>
    <row r="1536" spans="1:1" ht="12.75">
      <c r="A1536" s="23" t="s">
        <v>1345</v>
      </c>
    </row>
    <row r="1537" spans="1:1" ht="12.75">
      <c r="A1537" s="23" t="s">
        <v>1346</v>
      </c>
    </row>
    <row r="1538" spans="1:1" ht="12.75">
      <c r="A1538" s="23" t="s">
        <v>1347</v>
      </c>
    </row>
    <row r="1539" spans="1:1" ht="12.75">
      <c r="A1539" s="23" t="s">
        <v>1348</v>
      </c>
    </row>
    <row r="1540" spans="1:1" ht="12.75">
      <c r="A1540" s="23" t="s">
        <v>1349</v>
      </c>
    </row>
    <row r="1541" spans="1:1" ht="12.75">
      <c r="A1541" s="23" t="s">
        <v>1350</v>
      </c>
    </row>
    <row r="1542" spans="1:1" ht="12.75">
      <c r="A1542" s="23" t="s">
        <v>1351</v>
      </c>
    </row>
    <row r="1543" spans="1:1" ht="12.75">
      <c r="A1543" s="23" t="s">
        <v>1352</v>
      </c>
    </row>
    <row r="1544" spans="1:1" ht="12.75">
      <c r="A1544" s="23" t="s">
        <v>1353</v>
      </c>
    </row>
    <row r="1545" spans="1:1" ht="12.75">
      <c r="A1545" s="23" t="s">
        <v>1354</v>
      </c>
    </row>
    <row r="1546" spans="1:1" ht="12.75">
      <c r="A1546" s="23" t="s">
        <v>1355</v>
      </c>
    </row>
    <row r="1547" spans="1:1" ht="12.75">
      <c r="A1547" s="23" t="s">
        <v>1356</v>
      </c>
    </row>
    <row r="1548" spans="1:1" ht="12.75">
      <c r="A1548" s="23" t="s">
        <v>1357</v>
      </c>
    </row>
    <row r="1549" spans="1:1" ht="12.75">
      <c r="A1549" s="23" t="s">
        <v>1358</v>
      </c>
    </row>
    <row r="1550" spans="1:1" ht="12.75">
      <c r="A1550" s="23" t="s">
        <v>1359</v>
      </c>
    </row>
    <row r="1551" spans="1:1" ht="12.75">
      <c r="A1551" s="23" t="s">
        <v>1360</v>
      </c>
    </row>
    <row r="1552" spans="1:1" ht="12.75">
      <c r="A1552" s="23" t="s">
        <v>1361</v>
      </c>
    </row>
    <row r="1553" spans="1:1" ht="12.75">
      <c r="A1553" s="23" t="s">
        <v>1362</v>
      </c>
    </row>
    <row r="1554" spans="1:1" ht="12.75">
      <c r="A1554" s="23" t="s">
        <v>1363</v>
      </c>
    </row>
    <row r="1555" spans="1:1" ht="12.75">
      <c r="A1555" s="23" t="s">
        <v>1364</v>
      </c>
    </row>
    <row r="1556" spans="1:1" ht="12.75">
      <c r="A1556" s="23" t="s">
        <v>1365</v>
      </c>
    </row>
    <row r="1557" spans="1:1" ht="12.75">
      <c r="A1557" s="23" t="s">
        <v>1366</v>
      </c>
    </row>
    <row r="1558" spans="1:1" ht="12.75">
      <c r="A1558" s="23" t="s">
        <v>1367</v>
      </c>
    </row>
    <row r="1559" spans="1:1" ht="12.75">
      <c r="A1559" s="23" t="s">
        <v>1368</v>
      </c>
    </row>
    <row r="1560" spans="1:1" ht="12.75">
      <c r="A1560" s="23" t="s">
        <v>1369</v>
      </c>
    </row>
    <row r="1561" spans="1:1" ht="12.75">
      <c r="A1561" s="23" t="s">
        <v>1370</v>
      </c>
    </row>
    <row r="1562" spans="1:1" ht="12.75">
      <c r="A1562" s="23" t="s">
        <v>1371</v>
      </c>
    </row>
    <row r="1563" spans="1:1" ht="12.75">
      <c r="A1563" s="23" t="s">
        <v>1372</v>
      </c>
    </row>
    <row r="1564" spans="1:1" ht="12.75">
      <c r="A1564" s="23" t="s">
        <v>1373</v>
      </c>
    </row>
    <row r="1565" spans="1:1" ht="12.75">
      <c r="A1565" s="23" t="s">
        <v>1374</v>
      </c>
    </row>
    <row r="1566" spans="1:1" ht="12.75">
      <c r="A1566" s="23" t="s">
        <v>1375</v>
      </c>
    </row>
    <row r="1567" spans="1:1" ht="12.75">
      <c r="A1567" s="23" t="s">
        <v>1376</v>
      </c>
    </row>
    <row r="1568" spans="1:1" ht="12.75">
      <c r="A1568" s="23" t="s">
        <v>1377</v>
      </c>
    </row>
    <row r="1569" spans="1:1" ht="12.75">
      <c r="A1569" s="23" t="s">
        <v>1378</v>
      </c>
    </row>
    <row r="1570" spans="1:1" ht="12.75">
      <c r="A1570" s="23" t="s">
        <v>1379</v>
      </c>
    </row>
    <row r="1571" spans="1:1" ht="12.75">
      <c r="A1571" s="23" t="s">
        <v>1380</v>
      </c>
    </row>
    <row r="1572" spans="1:1" ht="12.75">
      <c r="A1572" s="23" t="s">
        <v>1381</v>
      </c>
    </row>
    <row r="1573" spans="1:1" ht="12.75">
      <c r="A1573" s="23" t="s">
        <v>1382</v>
      </c>
    </row>
    <row r="1574" spans="1:1" ht="12.75">
      <c r="A1574" s="23" t="s">
        <v>1383</v>
      </c>
    </row>
    <row r="1575" spans="1:1" ht="12.75">
      <c r="A1575" s="23" t="s">
        <v>1384</v>
      </c>
    </row>
    <row r="1576" spans="1:1" ht="12.75">
      <c r="A1576" s="23" t="s">
        <v>1385</v>
      </c>
    </row>
    <row r="1577" spans="1:1" ht="12.75">
      <c r="A1577" s="23" t="s">
        <v>1386</v>
      </c>
    </row>
    <row r="1578" spans="1:1" ht="12.75">
      <c r="A1578" s="23" t="s">
        <v>1387</v>
      </c>
    </row>
    <row r="1579" spans="1:1" ht="12.75">
      <c r="A1579" s="23" t="s">
        <v>1388</v>
      </c>
    </row>
    <row r="1580" spans="1:1" ht="12.75">
      <c r="A1580" s="23" t="s">
        <v>1389</v>
      </c>
    </row>
    <row r="1581" spans="1:1" ht="12.75">
      <c r="A1581" s="23" t="s">
        <v>1390</v>
      </c>
    </row>
    <row r="1582" spans="1:1" ht="12.75">
      <c r="A1582" s="23" t="s">
        <v>1391</v>
      </c>
    </row>
    <row r="1583" spans="1:1" ht="12.75">
      <c r="A1583" s="23" t="s">
        <v>1392</v>
      </c>
    </row>
    <row r="1584" spans="1:1" ht="12.75">
      <c r="A1584" s="23" t="s">
        <v>1393</v>
      </c>
    </row>
    <row r="1585" spans="1:1" ht="12.75">
      <c r="A1585" s="23" t="s">
        <v>1394</v>
      </c>
    </row>
    <row r="1586" spans="1:1" ht="12.75">
      <c r="A1586" s="23" t="s">
        <v>1395</v>
      </c>
    </row>
    <row r="1587" spans="1:1" ht="12.75">
      <c r="A1587" s="23" t="s">
        <v>1396</v>
      </c>
    </row>
    <row r="1588" spans="1:1" ht="12.75">
      <c r="A1588" s="23" t="s">
        <v>1397</v>
      </c>
    </row>
    <row r="1589" spans="1:1" ht="12.75">
      <c r="A1589" s="23" t="s">
        <v>1398</v>
      </c>
    </row>
    <row r="1590" spans="1:1" ht="12.75">
      <c r="A1590" s="23" t="s">
        <v>1399</v>
      </c>
    </row>
    <row r="1591" spans="1:1" ht="12.75">
      <c r="A1591" s="23" t="s">
        <v>1400</v>
      </c>
    </row>
    <row r="1592" spans="1:1" ht="12.75">
      <c r="A1592" s="23" t="s">
        <v>1401</v>
      </c>
    </row>
    <row r="1593" spans="1:1" ht="12.75">
      <c r="A1593" s="23" t="s">
        <v>1402</v>
      </c>
    </row>
    <row r="1594" spans="1:1" ht="12.75">
      <c r="A1594" s="23" t="s">
        <v>1403</v>
      </c>
    </row>
    <row r="1595" spans="1:1" ht="12.75">
      <c r="A1595" s="23" t="s">
        <v>1404</v>
      </c>
    </row>
    <row r="1596" spans="1:1" ht="12.75">
      <c r="A1596" s="23" t="s">
        <v>1405</v>
      </c>
    </row>
    <row r="1597" spans="1:1" ht="12.75">
      <c r="A1597" s="23" t="s">
        <v>1406</v>
      </c>
    </row>
    <row r="1598" spans="1:1" ht="12.75">
      <c r="A1598" s="23" t="s">
        <v>1407</v>
      </c>
    </row>
    <row r="1599" spans="1:1" ht="12.75">
      <c r="A1599" s="23" t="s">
        <v>1408</v>
      </c>
    </row>
    <row r="1600" spans="1:1" ht="12.75">
      <c r="A1600" s="23" t="s">
        <v>1409</v>
      </c>
    </row>
    <row r="1601" spans="1:1" ht="12.75">
      <c r="A1601" s="23" t="s">
        <v>1410</v>
      </c>
    </row>
    <row r="1602" spans="1:1" ht="12.75">
      <c r="A1602" s="23" t="s">
        <v>1411</v>
      </c>
    </row>
    <row r="1603" spans="1:1" ht="12.75">
      <c r="A1603" s="23" t="s">
        <v>1412</v>
      </c>
    </row>
    <row r="1604" spans="1:1" ht="12.75">
      <c r="A1604" s="23" t="s">
        <v>1413</v>
      </c>
    </row>
    <row r="1605" spans="1:1" ht="12.75">
      <c r="A1605" s="23" t="s">
        <v>1414</v>
      </c>
    </row>
    <row r="1606" spans="1:1" ht="12.75">
      <c r="A1606" s="23" t="s">
        <v>1415</v>
      </c>
    </row>
    <row r="1607" spans="1:1" ht="12.75">
      <c r="A1607" s="23" t="s">
        <v>1416</v>
      </c>
    </row>
    <row r="1608" spans="1:1" ht="12.75">
      <c r="A1608" s="23" t="s">
        <v>1417</v>
      </c>
    </row>
    <row r="1609" spans="1:1" ht="12.75">
      <c r="A1609" s="23" t="s">
        <v>1418</v>
      </c>
    </row>
    <row r="1610" spans="1:1" ht="12.75">
      <c r="A1610" s="23" t="s">
        <v>1419</v>
      </c>
    </row>
    <row r="1611" spans="1:1" ht="12.75">
      <c r="A1611" s="23" t="s">
        <v>1420</v>
      </c>
    </row>
    <row r="1612" spans="1:1" ht="12.75">
      <c r="A1612" s="23" t="s">
        <v>1421</v>
      </c>
    </row>
    <row r="1613" spans="1:1" ht="12.75">
      <c r="A1613" s="23" t="s">
        <v>1422</v>
      </c>
    </row>
    <row r="1614" spans="1:1" ht="12.75">
      <c r="A1614" s="23" t="s">
        <v>1423</v>
      </c>
    </row>
    <row r="1615" spans="1:1" ht="12.75">
      <c r="A1615" s="23" t="s">
        <v>1424</v>
      </c>
    </row>
    <row r="1616" spans="1:1" ht="12.75">
      <c r="A1616" s="23" t="s">
        <v>1425</v>
      </c>
    </row>
    <row r="1617" spans="1:1" ht="12.75">
      <c r="A1617" s="23" t="s">
        <v>1426</v>
      </c>
    </row>
    <row r="1618" spans="1:1" ht="12.75">
      <c r="A1618" s="23" t="s">
        <v>1427</v>
      </c>
    </row>
    <row r="1619" spans="1:1" ht="12.75">
      <c r="A1619" s="23" t="s">
        <v>1428</v>
      </c>
    </row>
    <row r="1620" spans="1:1" ht="12.75">
      <c r="A1620" s="23" t="s">
        <v>1429</v>
      </c>
    </row>
    <row r="1621" spans="1:1" ht="12.75">
      <c r="A1621" s="23" t="s">
        <v>1430</v>
      </c>
    </row>
    <row r="1622" spans="1:1" ht="12.75">
      <c r="A1622" s="23" t="s">
        <v>1431</v>
      </c>
    </row>
    <row r="1623" spans="1:1" ht="12.75">
      <c r="A1623" s="23" t="s">
        <v>1432</v>
      </c>
    </row>
    <row r="1624" spans="1:1" ht="12.75">
      <c r="A1624" s="23" t="s">
        <v>1433</v>
      </c>
    </row>
    <row r="1625" spans="1:1" ht="12.75">
      <c r="A1625" s="23" t="s">
        <v>1434</v>
      </c>
    </row>
    <row r="1626" spans="1:1" ht="12.75">
      <c r="A1626" s="23" t="s">
        <v>1435</v>
      </c>
    </row>
    <row r="1627" spans="1:1" ht="12.75">
      <c r="A1627" s="23" t="s">
        <v>1436</v>
      </c>
    </row>
    <row r="1628" spans="1:1" ht="12.75">
      <c r="A1628" s="23" t="s">
        <v>1437</v>
      </c>
    </row>
    <row r="1629" spans="1:1" ht="12.75">
      <c r="A1629" s="23" t="s">
        <v>1438</v>
      </c>
    </row>
    <row r="1630" spans="1:1" ht="12.75">
      <c r="A1630" s="23" t="s">
        <v>1439</v>
      </c>
    </row>
    <row r="1631" spans="1:1" ht="12.75">
      <c r="A1631" s="23" t="s">
        <v>1440</v>
      </c>
    </row>
    <row r="1632" spans="1:1" ht="12.75">
      <c r="A1632" s="23" t="s">
        <v>1441</v>
      </c>
    </row>
    <row r="1633" spans="1:1" ht="12.75">
      <c r="A1633" s="23" t="s">
        <v>1442</v>
      </c>
    </row>
    <row r="1634" spans="1:1" ht="12.75">
      <c r="A1634" s="23" t="s">
        <v>1443</v>
      </c>
    </row>
    <row r="1635" spans="1:1" ht="12.75">
      <c r="A1635" s="23" t="s">
        <v>1444</v>
      </c>
    </row>
    <row r="1636" spans="1:1" ht="12.75">
      <c r="A1636" s="23" t="s">
        <v>1445</v>
      </c>
    </row>
    <row r="1637" spans="1:1" ht="12.75">
      <c r="A1637" s="23" t="s">
        <v>1446</v>
      </c>
    </row>
    <row r="1638" spans="1:1" ht="12.75">
      <c r="A1638" s="23" t="s">
        <v>1447</v>
      </c>
    </row>
    <row r="1639" spans="1:1" ht="12.75">
      <c r="A1639" s="23" t="s">
        <v>1448</v>
      </c>
    </row>
    <row r="1640" spans="1:1" ht="12.75">
      <c r="A1640" s="23" t="s">
        <v>1449</v>
      </c>
    </row>
    <row r="1641" spans="1:1" ht="12.75">
      <c r="A1641" s="23" t="s">
        <v>1450</v>
      </c>
    </row>
    <row r="1642" spans="1:1" ht="12.75">
      <c r="A1642" s="23" t="s">
        <v>1451</v>
      </c>
    </row>
    <row r="1643" spans="1:1" ht="12.75">
      <c r="A1643" s="23" t="s">
        <v>1452</v>
      </c>
    </row>
    <row r="1644" spans="1:1" ht="12.75">
      <c r="A1644" s="23" t="s">
        <v>1453</v>
      </c>
    </row>
    <row r="1645" spans="1:1" ht="12.75">
      <c r="A1645" s="23" t="s">
        <v>1454</v>
      </c>
    </row>
    <row r="1646" spans="1:1" ht="12.75">
      <c r="A1646" s="23" t="s">
        <v>1455</v>
      </c>
    </row>
    <row r="1647" spans="1:1" ht="12.75">
      <c r="A1647" s="23" t="s">
        <v>1456</v>
      </c>
    </row>
    <row r="1648" spans="1:1" ht="12.75">
      <c r="A1648" s="23" t="s">
        <v>1457</v>
      </c>
    </row>
    <row r="1649" spans="1:1" ht="12.75">
      <c r="A1649" s="23" t="s">
        <v>1458</v>
      </c>
    </row>
    <row r="1650" spans="1:1" ht="12.75">
      <c r="A1650" s="23" t="s">
        <v>1459</v>
      </c>
    </row>
    <row r="1651" spans="1:1" ht="12.75">
      <c r="A1651" s="23" t="s">
        <v>1460</v>
      </c>
    </row>
    <row r="1652" spans="1:1" ht="12.75">
      <c r="A1652" s="23" t="s">
        <v>1461</v>
      </c>
    </row>
    <row r="1653" spans="1:1" ht="12.75">
      <c r="A1653" s="23" t="s">
        <v>1462</v>
      </c>
    </row>
    <row r="1654" spans="1:1" ht="12.75">
      <c r="A1654" s="23" t="s">
        <v>1463</v>
      </c>
    </row>
    <row r="1655" spans="1:1" ht="12.75">
      <c r="A1655" s="23" t="s">
        <v>1464</v>
      </c>
    </row>
    <row r="1656" spans="1:1" ht="12.75">
      <c r="A1656" s="23" t="s">
        <v>1465</v>
      </c>
    </row>
    <row r="1657" spans="1:1" ht="12.75">
      <c r="A1657" s="23" t="s">
        <v>1466</v>
      </c>
    </row>
    <row r="1658" spans="1:1" ht="12.75">
      <c r="A1658" s="23" t="s">
        <v>1467</v>
      </c>
    </row>
    <row r="1659" spans="1:1" ht="12.75">
      <c r="A1659" s="23" t="s">
        <v>1468</v>
      </c>
    </row>
    <row r="1660" spans="1:1" ht="12.75">
      <c r="A1660" s="23" t="s">
        <v>1469</v>
      </c>
    </row>
    <row r="1661" spans="1:1" ht="12.75">
      <c r="A1661" s="23" t="s">
        <v>1470</v>
      </c>
    </row>
    <row r="1662" spans="1:1" ht="12.75">
      <c r="A1662" s="23" t="s">
        <v>1471</v>
      </c>
    </row>
    <row r="1663" spans="1:1" ht="12.75">
      <c r="A1663" s="23" t="s">
        <v>1472</v>
      </c>
    </row>
    <row r="1664" spans="1:1" ht="12.75">
      <c r="A1664" s="23" t="s">
        <v>1473</v>
      </c>
    </row>
    <row r="1665" spans="1:1" ht="12.75">
      <c r="A1665" s="23" t="s">
        <v>1474</v>
      </c>
    </row>
    <row r="1666" spans="1:1" ht="12.75">
      <c r="A1666" s="23" t="s">
        <v>1475</v>
      </c>
    </row>
    <row r="1667" spans="1:1" ht="12.75">
      <c r="A1667" s="23" t="s">
        <v>1476</v>
      </c>
    </row>
    <row r="1668" spans="1:1" ht="12.75">
      <c r="A1668" s="23" t="s">
        <v>1477</v>
      </c>
    </row>
    <row r="1669" spans="1:1" ht="12.75">
      <c r="A1669" s="23" t="s">
        <v>1478</v>
      </c>
    </row>
    <row r="1670" spans="1:1" ht="12.75">
      <c r="A1670" s="23" t="s">
        <v>1479</v>
      </c>
    </row>
    <row r="1671" spans="1:1" ht="12.75">
      <c r="A1671" s="23" t="s">
        <v>1480</v>
      </c>
    </row>
    <row r="1672" spans="1:1" ht="12.75">
      <c r="A1672" s="23" t="s">
        <v>1481</v>
      </c>
    </row>
    <row r="1673" spans="1:1" ht="12.75">
      <c r="A1673" s="23" t="s">
        <v>1482</v>
      </c>
    </row>
    <row r="1674" spans="1:1" ht="12.75">
      <c r="A1674" s="23" t="s">
        <v>1483</v>
      </c>
    </row>
    <row r="1675" spans="1:1" ht="12.75">
      <c r="A1675" s="23" t="s">
        <v>1484</v>
      </c>
    </row>
    <row r="1676" spans="1:1" ht="12.75">
      <c r="A1676" s="23" t="s">
        <v>1485</v>
      </c>
    </row>
    <row r="1677" spans="1:1" ht="12.75">
      <c r="A1677" s="23" t="s">
        <v>1486</v>
      </c>
    </row>
    <row r="1678" spans="1:1" ht="12.75">
      <c r="A1678" s="23" t="s">
        <v>1487</v>
      </c>
    </row>
    <row r="1679" spans="1:1" ht="12.75">
      <c r="A1679" s="23" t="s">
        <v>1488</v>
      </c>
    </row>
    <row r="1680" spans="1:1" ht="12.75">
      <c r="A1680" s="23" t="s">
        <v>1489</v>
      </c>
    </row>
    <row r="1681" spans="1:1" ht="12.75">
      <c r="A1681" s="23" t="s">
        <v>1490</v>
      </c>
    </row>
    <row r="1682" spans="1:1" ht="12.75">
      <c r="A1682" s="23" t="s">
        <v>1491</v>
      </c>
    </row>
    <row r="1683" spans="1:1" ht="12.75">
      <c r="A1683" s="23" t="s">
        <v>1492</v>
      </c>
    </row>
    <row r="1684" spans="1:1" ht="12.75">
      <c r="A1684" s="23" t="s">
        <v>1493</v>
      </c>
    </row>
    <row r="1685" spans="1:1" ht="12.75">
      <c r="A1685" s="23" t="s">
        <v>1494</v>
      </c>
    </row>
    <row r="1686" spans="1:1" ht="12.75">
      <c r="A1686" s="23" t="s">
        <v>1495</v>
      </c>
    </row>
    <row r="1687" spans="1:1" ht="12.75">
      <c r="A1687" s="23" t="s">
        <v>1496</v>
      </c>
    </row>
    <row r="1688" spans="1:1" ht="12.75">
      <c r="A1688" s="23" t="s">
        <v>1497</v>
      </c>
    </row>
    <row r="1689" spans="1:1" ht="12.75">
      <c r="A1689" s="23" t="s">
        <v>1498</v>
      </c>
    </row>
    <row r="1690" spans="1:1" ht="12.75">
      <c r="A1690" s="23" t="s">
        <v>1499</v>
      </c>
    </row>
    <row r="1691" spans="1:1" ht="12.75">
      <c r="A1691" s="23" t="s">
        <v>1500</v>
      </c>
    </row>
    <row r="1692" spans="1:1" ht="12.75">
      <c r="A1692" s="23" t="s">
        <v>1501</v>
      </c>
    </row>
    <row r="1693" spans="1:1" ht="12.75">
      <c r="A1693" s="23" t="s">
        <v>1502</v>
      </c>
    </row>
    <row r="1694" spans="1:1" ht="12.75">
      <c r="A1694" s="23" t="s">
        <v>1503</v>
      </c>
    </row>
    <row r="1695" spans="1:1" ht="12.75">
      <c r="A1695" s="23" t="s">
        <v>1504</v>
      </c>
    </row>
    <row r="1696" spans="1:1" ht="12.75">
      <c r="A1696" s="23" t="s">
        <v>1505</v>
      </c>
    </row>
    <row r="1697" spans="1:1" ht="12.75">
      <c r="A1697" s="23" t="s">
        <v>1506</v>
      </c>
    </row>
    <row r="1698" spans="1:1" ht="12.75">
      <c r="A1698" s="23" t="s">
        <v>1507</v>
      </c>
    </row>
    <row r="1699" spans="1:1" ht="12.75">
      <c r="A1699" s="23" t="s">
        <v>1508</v>
      </c>
    </row>
    <row r="1700" spans="1:1" ht="12.75">
      <c r="A1700" s="23" t="s">
        <v>1509</v>
      </c>
    </row>
    <row r="1701" spans="1:1" ht="12.75">
      <c r="A1701" s="23" t="s">
        <v>1510</v>
      </c>
    </row>
    <row r="1702" spans="1:1" ht="12.75">
      <c r="A1702" s="23" t="s">
        <v>1511</v>
      </c>
    </row>
    <row r="1703" spans="1:1" ht="12.75">
      <c r="A1703" s="23" t="s">
        <v>1512</v>
      </c>
    </row>
    <row r="1704" spans="1:1" ht="12.75">
      <c r="A1704" s="23" t="s">
        <v>1513</v>
      </c>
    </row>
    <row r="1705" spans="1:1" ht="12.75">
      <c r="A1705" s="23" t="s">
        <v>1514</v>
      </c>
    </row>
    <row r="1706" spans="1:1" ht="12.75">
      <c r="A1706" s="23" t="s">
        <v>1515</v>
      </c>
    </row>
    <row r="1707" spans="1:1" ht="12.75">
      <c r="A1707" s="23" t="s">
        <v>1516</v>
      </c>
    </row>
    <row r="1708" spans="1:1" ht="12.75">
      <c r="A1708" s="23" t="s">
        <v>1517</v>
      </c>
    </row>
    <row r="1709" spans="1:1" ht="12.75">
      <c r="A1709" s="23" t="s">
        <v>1518</v>
      </c>
    </row>
    <row r="1710" spans="1:1" ht="12.75">
      <c r="A1710" s="23" t="s">
        <v>1519</v>
      </c>
    </row>
    <row r="1711" spans="1:1" ht="12.75">
      <c r="A1711" s="23" t="s">
        <v>1520</v>
      </c>
    </row>
    <row r="1712" spans="1:1" ht="12.75">
      <c r="A1712" s="23" t="s">
        <v>1521</v>
      </c>
    </row>
    <row r="1713" spans="1:1" ht="12.75">
      <c r="A1713" s="23" t="s">
        <v>1522</v>
      </c>
    </row>
    <row r="1714" spans="1:1" ht="12.75">
      <c r="A1714" s="23" t="s">
        <v>1523</v>
      </c>
    </row>
    <row r="1715" spans="1:1" ht="12.75">
      <c r="A1715" s="23" t="s">
        <v>1524</v>
      </c>
    </row>
    <row r="1716" spans="1:1" ht="12.75">
      <c r="A1716" s="23" t="s">
        <v>1525</v>
      </c>
    </row>
    <row r="1717" spans="1:1" ht="12.75">
      <c r="A1717" s="23" t="s">
        <v>1526</v>
      </c>
    </row>
    <row r="1718" spans="1:1" ht="12.75">
      <c r="A1718" s="23" t="s">
        <v>1527</v>
      </c>
    </row>
    <row r="1719" spans="1:1" ht="12.75">
      <c r="A1719" s="23" t="s">
        <v>1528</v>
      </c>
    </row>
    <row r="1720" spans="1:1" ht="12.75">
      <c r="A1720" s="23" t="s">
        <v>1529</v>
      </c>
    </row>
    <row r="1721" spans="1:1" ht="12.75">
      <c r="A1721" s="23" t="s">
        <v>1530</v>
      </c>
    </row>
    <row r="1722" spans="1:1" ht="12.75">
      <c r="A1722" s="23" t="s">
        <v>1531</v>
      </c>
    </row>
    <row r="1723" spans="1:1" ht="12.75">
      <c r="A1723" s="23" t="s">
        <v>1532</v>
      </c>
    </row>
    <row r="1724" spans="1:1" ht="12.75">
      <c r="A1724" s="23" t="s">
        <v>1533</v>
      </c>
    </row>
    <row r="1725" spans="1:1" ht="12.75">
      <c r="A1725" s="23" t="s">
        <v>1534</v>
      </c>
    </row>
    <row r="1726" spans="1:1" ht="12.75">
      <c r="A1726" s="23" t="s">
        <v>1535</v>
      </c>
    </row>
    <row r="1727" spans="1:1" ht="12.75">
      <c r="A1727" s="23" t="s">
        <v>1536</v>
      </c>
    </row>
    <row r="1728" spans="1:1" ht="12.75">
      <c r="A1728" s="23" t="s">
        <v>1537</v>
      </c>
    </row>
    <row r="1729" spans="1:1" ht="12.75">
      <c r="A1729" s="23" t="s">
        <v>1538</v>
      </c>
    </row>
    <row r="1730" spans="1:1" ht="12.75">
      <c r="A1730" s="23" t="s">
        <v>1539</v>
      </c>
    </row>
    <row r="1731" spans="1:1" ht="12.75">
      <c r="A1731" s="23" t="s">
        <v>1540</v>
      </c>
    </row>
    <row r="1732" spans="1:1" ht="12.75">
      <c r="A1732" s="23" t="s">
        <v>1541</v>
      </c>
    </row>
    <row r="1733" spans="1:1" ht="12.75">
      <c r="A1733" s="23" t="s">
        <v>1542</v>
      </c>
    </row>
    <row r="1734" spans="1:1" ht="12.75">
      <c r="A1734" s="23" t="s">
        <v>1543</v>
      </c>
    </row>
    <row r="1735" spans="1:1" ht="12.75">
      <c r="A1735" s="23" t="s">
        <v>1544</v>
      </c>
    </row>
    <row r="1736" spans="1:1" ht="12.75">
      <c r="A1736" s="23" t="s">
        <v>1545</v>
      </c>
    </row>
    <row r="1737" spans="1:1" ht="12.75">
      <c r="A1737" s="23" t="s">
        <v>1546</v>
      </c>
    </row>
    <row r="1738" spans="1:1" ht="12.75">
      <c r="A1738" s="23" t="s">
        <v>1547</v>
      </c>
    </row>
    <row r="1739" spans="1:1" ht="12.75">
      <c r="A1739" s="23" t="s">
        <v>1548</v>
      </c>
    </row>
    <row r="1740" spans="1:1" ht="12.75">
      <c r="A1740" s="23" t="s">
        <v>1549</v>
      </c>
    </row>
    <row r="1741" spans="1:1" ht="12.75">
      <c r="A1741" s="23" t="s">
        <v>1550</v>
      </c>
    </row>
    <row r="1742" spans="1:1" ht="12.75">
      <c r="A1742" s="23" t="s">
        <v>1551</v>
      </c>
    </row>
    <row r="1743" spans="1:1" ht="12.75">
      <c r="A1743" s="23" t="s">
        <v>1552</v>
      </c>
    </row>
    <row r="1744" spans="1:1" ht="12.75">
      <c r="A1744" s="23" t="s">
        <v>1553</v>
      </c>
    </row>
    <row r="1745" spans="1:1" ht="12.75">
      <c r="A1745" s="23" t="s">
        <v>1554</v>
      </c>
    </row>
    <row r="1746" spans="1:1" ht="12.75">
      <c r="A1746" s="23" t="s">
        <v>1555</v>
      </c>
    </row>
    <row r="1747" spans="1:1" ht="12.75">
      <c r="A1747" s="23" t="s">
        <v>1556</v>
      </c>
    </row>
    <row r="1748" spans="1:1" ht="12.75">
      <c r="A1748" s="23" t="s">
        <v>1557</v>
      </c>
    </row>
    <row r="1749" spans="1:1" ht="12.75">
      <c r="A1749" s="23" t="s">
        <v>1558</v>
      </c>
    </row>
    <row r="1750" spans="1:1" ht="12.75">
      <c r="A1750" s="23" t="s">
        <v>1559</v>
      </c>
    </row>
    <row r="1751" spans="1:1" ht="12.75">
      <c r="A1751" s="23" t="s">
        <v>1560</v>
      </c>
    </row>
    <row r="1752" spans="1:1" ht="12.75">
      <c r="A1752" s="23" t="s">
        <v>1561</v>
      </c>
    </row>
    <row r="1753" spans="1:1" ht="12.75">
      <c r="A1753" s="23" t="s">
        <v>1562</v>
      </c>
    </row>
    <row r="1754" spans="1:1" ht="12.75">
      <c r="A1754" s="23" t="s">
        <v>1563</v>
      </c>
    </row>
    <row r="1755" spans="1:1" ht="12.75">
      <c r="A1755" s="23" t="s">
        <v>1564</v>
      </c>
    </row>
    <row r="1756" spans="1:1" ht="12.75">
      <c r="A1756" s="23" t="s">
        <v>1565</v>
      </c>
    </row>
    <row r="1757" spans="1:1" ht="12.75">
      <c r="A1757" s="23" t="s">
        <v>1566</v>
      </c>
    </row>
    <row r="1758" spans="1:1" ht="12.75">
      <c r="A1758" s="23" t="s">
        <v>1567</v>
      </c>
    </row>
    <row r="1759" spans="1:1" ht="12.75">
      <c r="A1759" s="23" t="s">
        <v>1568</v>
      </c>
    </row>
    <row r="1760" spans="1:1" ht="12.75">
      <c r="A1760" s="23" t="s">
        <v>1569</v>
      </c>
    </row>
    <row r="1761" spans="1:1" ht="12.75">
      <c r="A1761" s="23" t="s">
        <v>1570</v>
      </c>
    </row>
    <row r="1762" spans="1:1" ht="12.75">
      <c r="A1762" s="23" t="s">
        <v>1571</v>
      </c>
    </row>
    <row r="1763" spans="1:1" ht="12.75">
      <c r="A1763" s="23" t="s">
        <v>1572</v>
      </c>
    </row>
    <row r="1764" spans="1:1" ht="12.75">
      <c r="A1764" s="23" t="s">
        <v>1573</v>
      </c>
    </row>
    <row r="1765" spans="1:1" ht="12.75">
      <c r="A1765" s="23" t="s">
        <v>1574</v>
      </c>
    </row>
    <row r="1766" spans="1:1" ht="12.75">
      <c r="A1766" s="23" t="s">
        <v>1575</v>
      </c>
    </row>
    <row r="1767" spans="1:1" ht="12.75">
      <c r="A1767" s="23" t="s">
        <v>1576</v>
      </c>
    </row>
    <row r="1768" spans="1:1" ht="12.75">
      <c r="A1768" s="23" t="s">
        <v>1577</v>
      </c>
    </row>
    <row r="1769" spans="1:1" ht="12.75">
      <c r="A1769" s="23" t="s">
        <v>1578</v>
      </c>
    </row>
    <row r="1770" spans="1:1" ht="12.75">
      <c r="A1770" s="23" t="s">
        <v>1579</v>
      </c>
    </row>
    <row r="1771" spans="1:1" ht="12.75">
      <c r="A1771" s="23" t="s">
        <v>1580</v>
      </c>
    </row>
    <row r="1772" spans="1:1" ht="12.75">
      <c r="A1772" s="23" t="s">
        <v>1581</v>
      </c>
    </row>
    <row r="1773" spans="1:1" ht="12.75">
      <c r="A1773" s="23" t="s">
        <v>1582</v>
      </c>
    </row>
    <row r="1774" spans="1:1" ht="12.75">
      <c r="A1774" s="23" t="s">
        <v>1583</v>
      </c>
    </row>
    <row r="1775" spans="1:1" ht="12.75">
      <c r="A1775" s="23" t="s">
        <v>1584</v>
      </c>
    </row>
    <row r="1776" spans="1:1" ht="12.75">
      <c r="A1776" s="23" t="s">
        <v>1585</v>
      </c>
    </row>
    <row r="1777" spans="1:1" ht="12.75">
      <c r="A1777" s="23" t="s">
        <v>1586</v>
      </c>
    </row>
    <row r="1778" spans="1:1" ht="12.75">
      <c r="A1778" s="23" t="s">
        <v>1587</v>
      </c>
    </row>
    <row r="1779" spans="1:1" ht="12.75">
      <c r="A1779" s="23" t="s">
        <v>1588</v>
      </c>
    </row>
    <row r="1780" spans="1:1" ht="12.75">
      <c r="A1780" s="23" t="s">
        <v>1589</v>
      </c>
    </row>
    <row r="1781" spans="1:1" ht="12.75">
      <c r="A1781" s="23" t="s">
        <v>1590</v>
      </c>
    </row>
    <row r="1782" spans="1:1" ht="12.75">
      <c r="A1782" s="23" t="s">
        <v>1591</v>
      </c>
    </row>
    <row r="1783" spans="1:1" ht="12.75">
      <c r="A1783" s="23" t="s">
        <v>1592</v>
      </c>
    </row>
    <row r="1784" spans="1:1" ht="12.75">
      <c r="A1784" s="23" t="s">
        <v>1593</v>
      </c>
    </row>
    <row r="1785" spans="1:1" ht="12.75">
      <c r="A1785" s="23" t="s">
        <v>1594</v>
      </c>
    </row>
    <row r="1786" spans="1:1" ht="12.75">
      <c r="A1786" s="23" t="s">
        <v>1595</v>
      </c>
    </row>
    <row r="1787" spans="1:1" ht="12.75">
      <c r="A1787" s="23" t="s">
        <v>1596</v>
      </c>
    </row>
    <row r="1788" spans="1:1" ht="12.75">
      <c r="A1788" s="23" t="s">
        <v>1597</v>
      </c>
    </row>
    <row r="1789" spans="1:1" ht="12.75">
      <c r="A1789" s="23" t="s">
        <v>1598</v>
      </c>
    </row>
    <row r="1790" spans="1:1" ht="12.75">
      <c r="A1790" s="23" t="s">
        <v>1599</v>
      </c>
    </row>
    <row r="1791" spans="1:1" ht="12.75">
      <c r="A1791" s="23" t="s">
        <v>1600</v>
      </c>
    </row>
    <row r="1792" spans="1:1" ht="12.75">
      <c r="A1792" s="23" t="s">
        <v>1601</v>
      </c>
    </row>
    <row r="1793" spans="1:1" ht="12.75">
      <c r="A1793" s="23" t="s">
        <v>1602</v>
      </c>
    </row>
    <row r="1794" spans="1:1" ht="12.75">
      <c r="A1794" s="23" t="s">
        <v>1603</v>
      </c>
    </row>
    <row r="1795" spans="1:1" ht="12.75">
      <c r="A1795" s="23" t="s">
        <v>1604</v>
      </c>
    </row>
    <row r="1796" spans="1:1" ht="12.75">
      <c r="A1796" s="23" t="s">
        <v>1605</v>
      </c>
    </row>
    <row r="1797" spans="1:1" ht="12.75">
      <c r="A1797" s="23" t="s">
        <v>1606</v>
      </c>
    </row>
    <row r="1798" spans="1:1" ht="12.75">
      <c r="A1798" s="23" t="s">
        <v>1607</v>
      </c>
    </row>
    <row r="1799" spans="1:1" ht="12.75">
      <c r="A1799" s="23" t="s">
        <v>1608</v>
      </c>
    </row>
    <row r="1800" spans="1:1" ht="12.75">
      <c r="A1800" s="23" t="s">
        <v>1609</v>
      </c>
    </row>
    <row r="1801" spans="1:1" ht="12.75">
      <c r="A1801" s="23" t="s">
        <v>1610</v>
      </c>
    </row>
    <row r="1802" spans="1:1" ht="12.75">
      <c r="A1802" s="23" t="s">
        <v>1611</v>
      </c>
    </row>
    <row r="1803" spans="1:1" ht="12.75">
      <c r="A1803" s="23" t="s">
        <v>1612</v>
      </c>
    </row>
    <row r="1804" spans="1:1" ht="12.75">
      <c r="A1804" s="23" t="s">
        <v>1613</v>
      </c>
    </row>
    <row r="1805" spans="1:1" ht="12.75">
      <c r="A1805" s="23" t="s">
        <v>1614</v>
      </c>
    </row>
    <row r="1806" spans="1:1" ht="12.75">
      <c r="A1806" s="23" t="s">
        <v>1615</v>
      </c>
    </row>
    <row r="1807" spans="1:1" ht="12.75">
      <c r="A1807" s="23" t="s">
        <v>1616</v>
      </c>
    </row>
    <row r="1808" spans="1:1" ht="12.75">
      <c r="A1808" s="23" t="s">
        <v>1617</v>
      </c>
    </row>
    <row r="1809" spans="1:1" ht="12.75">
      <c r="A1809" s="23" t="s">
        <v>1618</v>
      </c>
    </row>
    <row r="1810" spans="1:1" ht="12.75">
      <c r="A1810" s="23" t="s">
        <v>1619</v>
      </c>
    </row>
    <row r="1811" spans="1:1" ht="12.75">
      <c r="A1811" s="23" t="s">
        <v>1620</v>
      </c>
    </row>
    <row r="1812" spans="1:1" ht="12.75">
      <c r="A1812" s="23" t="s">
        <v>1621</v>
      </c>
    </row>
    <row r="1813" spans="1:1" ht="12.75">
      <c r="A1813" s="23" t="s">
        <v>1622</v>
      </c>
    </row>
    <row r="1814" spans="1:1" ht="12.75">
      <c r="A1814" s="23" t="s">
        <v>1623</v>
      </c>
    </row>
    <row r="1815" spans="1:1" ht="12.75">
      <c r="A1815" s="23" t="s">
        <v>1624</v>
      </c>
    </row>
    <row r="1816" spans="1:1" ht="12.75">
      <c r="A1816" s="23" t="s">
        <v>1625</v>
      </c>
    </row>
    <row r="1817" spans="1:1" ht="12.75">
      <c r="A1817" s="23" t="s">
        <v>1626</v>
      </c>
    </row>
    <row r="1818" spans="1:1" ht="12.75">
      <c r="A1818" s="23" t="s">
        <v>1627</v>
      </c>
    </row>
    <row r="1819" spans="1:1" ht="12.75">
      <c r="A1819" s="23" t="s">
        <v>1628</v>
      </c>
    </row>
    <row r="1820" spans="1:1" ht="12.75">
      <c r="A1820" s="23" t="s">
        <v>1629</v>
      </c>
    </row>
    <row r="1821" spans="1:1" ht="12.75">
      <c r="A1821" s="23" t="s">
        <v>1630</v>
      </c>
    </row>
    <row r="1822" spans="1:1" ht="12.75">
      <c r="A1822" s="23" t="s">
        <v>1631</v>
      </c>
    </row>
    <row r="1823" spans="1:1" ht="12.75">
      <c r="A1823" s="23" t="s">
        <v>1632</v>
      </c>
    </row>
    <row r="1824" spans="1:1" ht="12.75">
      <c r="A1824" s="23" t="s">
        <v>1633</v>
      </c>
    </row>
    <row r="1825" spans="1:1" ht="12.75">
      <c r="A1825" s="23" t="s">
        <v>1634</v>
      </c>
    </row>
    <row r="1826" spans="1:1" ht="12.75">
      <c r="A1826" s="23" t="s">
        <v>1635</v>
      </c>
    </row>
    <row r="1827" spans="1:1" ht="12.75">
      <c r="A1827" s="23" t="s">
        <v>1636</v>
      </c>
    </row>
    <row r="1828" spans="1:1" ht="12.75">
      <c r="A1828" s="23" t="s">
        <v>1637</v>
      </c>
    </row>
    <row r="1829" spans="1:1" ht="12.75">
      <c r="A1829" s="23" t="s">
        <v>1638</v>
      </c>
    </row>
    <row r="1830" spans="1:1" ht="12.75">
      <c r="A1830" s="23" t="s">
        <v>1639</v>
      </c>
    </row>
    <row r="1831" spans="1:1" ht="12.75">
      <c r="A1831" s="23" t="s">
        <v>1640</v>
      </c>
    </row>
    <row r="1832" spans="1:1" ht="12.75">
      <c r="A1832" s="23" t="s">
        <v>1641</v>
      </c>
    </row>
    <row r="1833" spans="1:1" ht="12.75">
      <c r="A1833" s="23" t="s">
        <v>1642</v>
      </c>
    </row>
    <row r="1834" spans="1:1" ht="12.75">
      <c r="A1834" s="23" t="s">
        <v>1643</v>
      </c>
    </row>
    <row r="1835" spans="1:1" ht="12.75">
      <c r="A1835" s="23" t="s">
        <v>1644</v>
      </c>
    </row>
    <row r="1836" spans="1:1" ht="12.75">
      <c r="A1836" s="23" t="s">
        <v>1645</v>
      </c>
    </row>
    <row r="1837" spans="1:1" ht="12.75">
      <c r="A1837" s="23" t="s">
        <v>1646</v>
      </c>
    </row>
    <row r="1838" spans="1:1" ht="12.75">
      <c r="A1838" s="23" t="s">
        <v>1647</v>
      </c>
    </row>
    <row r="1839" spans="1:1" ht="12.75">
      <c r="A1839" s="23" t="s">
        <v>1648</v>
      </c>
    </row>
    <row r="1840" spans="1:1" ht="12.75">
      <c r="A1840" s="23" t="s">
        <v>1649</v>
      </c>
    </row>
    <row r="1841" spans="1:1" ht="12.75">
      <c r="A1841" s="23" t="s">
        <v>1650</v>
      </c>
    </row>
    <row r="1842" spans="1:1" ht="12.75">
      <c r="A1842" s="23" t="s">
        <v>1651</v>
      </c>
    </row>
    <row r="1843" spans="1:1" ht="12.75">
      <c r="A1843" s="23" t="s">
        <v>1652</v>
      </c>
    </row>
    <row r="1844" spans="1:1" ht="12.75">
      <c r="A1844" s="23" t="s">
        <v>1653</v>
      </c>
    </row>
    <row r="1845" spans="1:1" ht="12.75">
      <c r="A1845" s="23" t="s">
        <v>1654</v>
      </c>
    </row>
    <row r="1846" spans="1:1" ht="12.75">
      <c r="A1846" s="23" t="s">
        <v>1655</v>
      </c>
    </row>
    <row r="1847" spans="1:1" ht="12.75">
      <c r="A1847" s="23" t="s">
        <v>1656</v>
      </c>
    </row>
    <row r="1848" spans="1:1" ht="12.75">
      <c r="A1848" s="23" t="s">
        <v>1657</v>
      </c>
    </row>
    <row r="1849" spans="1:1" ht="12.75">
      <c r="A1849" s="23" t="s">
        <v>1658</v>
      </c>
    </row>
    <row r="1850" spans="1:1" ht="12.75">
      <c r="A1850" s="23" t="s">
        <v>1659</v>
      </c>
    </row>
    <row r="1851" spans="1:1" ht="12.75">
      <c r="A1851" s="23" t="s">
        <v>1660</v>
      </c>
    </row>
    <row r="1852" spans="1:1" ht="12.75">
      <c r="A1852" s="23" t="s">
        <v>1661</v>
      </c>
    </row>
    <row r="1853" spans="1:1" ht="12.75">
      <c r="A1853" s="23" t="s">
        <v>1662</v>
      </c>
    </row>
    <row r="1854" spans="1:1" ht="12.75">
      <c r="A1854" s="23" t="s">
        <v>1663</v>
      </c>
    </row>
    <row r="1855" spans="1:1" ht="12.75">
      <c r="A1855" s="23" t="s">
        <v>1664</v>
      </c>
    </row>
    <row r="1856" spans="1:1" ht="12.75">
      <c r="A1856" s="23" t="s">
        <v>1665</v>
      </c>
    </row>
    <row r="1857" spans="1:1" ht="12.75">
      <c r="A1857" s="23" t="s">
        <v>1666</v>
      </c>
    </row>
    <row r="1858" spans="1:1" ht="12.75">
      <c r="A1858" s="23" t="s">
        <v>1667</v>
      </c>
    </row>
    <row r="1859" spans="1:1" ht="12.75">
      <c r="A1859" s="23" t="s">
        <v>1668</v>
      </c>
    </row>
    <row r="1860" spans="1:1" ht="12.75">
      <c r="A1860" s="23" t="s">
        <v>1669</v>
      </c>
    </row>
    <row r="1861" spans="1:1" ht="12.75">
      <c r="A1861" s="23" t="s">
        <v>1670</v>
      </c>
    </row>
    <row r="1862" spans="1:1" ht="12.75">
      <c r="A1862" s="23" t="s">
        <v>1671</v>
      </c>
    </row>
    <row r="1863" spans="1:1" ht="12.75">
      <c r="A1863" s="23" t="s">
        <v>1672</v>
      </c>
    </row>
    <row r="1864" spans="1:1" ht="12.75">
      <c r="A1864" s="23" t="s">
        <v>1673</v>
      </c>
    </row>
    <row r="1865" spans="1:1" ht="12.75">
      <c r="A1865" s="23" t="s">
        <v>1674</v>
      </c>
    </row>
    <row r="1866" spans="1:1" ht="12.75">
      <c r="A1866" s="23" t="s">
        <v>1675</v>
      </c>
    </row>
    <row r="1867" spans="1:1" ht="12.75">
      <c r="A1867" s="23" t="s">
        <v>1676</v>
      </c>
    </row>
    <row r="1868" spans="1:1" ht="12.75">
      <c r="A1868" s="23" t="s">
        <v>1677</v>
      </c>
    </row>
    <row r="1869" spans="1:1" ht="12.75">
      <c r="A1869" s="23" t="s">
        <v>1678</v>
      </c>
    </row>
    <row r="1870" spans="1:1" ht="12.75">
      <c r="A1870" s="23" t="s">
        <v>1679</v>
      </c>
    </row>
    <row r="1871" spans="1:1" ht="12.75">
      <c r="A1871" s="23" t="s">
        <v>1680</v>
      </c>
    </row>
    <row r="1872" spans="1:1" ht="12.75">
      <c r="A1872" s="23" t="s">
        <v>1681</v>
      </c>
    </row>
    <row r="1873" spans="1:1" ht="12.75">
      <c r="A1873" s="23" t="s">
        <v>1682</v>
      </c>
    </row>
    <row r="1874" spans="1:1" ht="12.75">
      <c r="A1874" s="23" t="s">
        <v>1683</v>
      </c>
    </row>
    <row r="1875" spans="1:1" ht="12.75">
      <c r="A1875" s="23" t="s">
        <v>1684</v>
      </c>
    </row>
    <row r="1876" spans="1:1" ht="12.75">
      <c r="A1876" s="23" t="s">
        <v>1685</v>
      </c>
    </row>
    <row r="1877" spans="1:1" ht="12.75">
      <c r="A1877" s="23" t="s">
        <v>1686</v>
      </c>
    </row>
    <row r="1878" spans="1:1" ht="12.75">
      <c r="A1878" s="23" t="s">
        <v>1687</v>
      </c>
    </row>
    <row r="1879" spans="1:1" ht="12.75">
      <c r="A1879" s="23" t="s">
        <v>1688</v>
      </c>
    </row>
    <row r="1880" spans="1:1" ht="12.75">
      <c r="A1880" s="23" t="s">
        <v>1689</v>
      </c>
    </row>
    <row r="1881" spans="1:1" ht="12.75">
      <c r="A1881" s="23" t="s">
        <v>1690</v>
      </c>
    </row>
    <row r="1882" spans="1:1" ht="12.75">
      <c r="A1882" s="23" t="s">
        <v>1691</v>
      </c>
    </row>
    <row r="1883" spans="1:1" ht="12.75">
      <c r="A1883" s="23" t="s">
        <v>1692</v>
      </c>
    </row>
    <row r="1884" spans="1:1" ht="12.75">
      <c r="A1884" s="23" t="s">
        <v>1693</v>
      </c>
    </row>
    <row r="1885" spans="1:1" ht="12.75">
      <c r="A1885" s="23" t="s">
        <v>1694</v>
      </c>
    </row>
    <row r="1886" spans="1:1" ht="12.75">
      <c r="A1886" s="23" t="s">
        <v>1695</v>
      </c>
    </row>
    <row r="1887" spans="1:1" ht="12.75">
      <c r="A1887" s="23" t="s">
        <v>1696</v>
      </c>
    </row>
    <row r="1888" spans="1:1" ht="12.75">
      <c r="A1888" s="23" t="s">
        <v>1697</v>
      </c>
    </row>
    <row r="1889" spans="1:1" ht="12.75">
      <c r="A1889" s="23" t="s">
        <v>1698</v>
      </c>
    </row>
    <row r="1890" spans="1:1" ht="12.75">
      <c r="A1890" s="23" t="s">
        <v>1699</v>
      </c>
    </row>
    <row r="1891" spans="1:1" ht="12.75">
      <c r="A1891" s="23" t="s">
        <v>1700</v>
      </c>
    </row>
    <row r="1892" spans="1:1" ht="12.75">
      <c r="A1892" s="23" t="s">
        <v>1701</v>
      </c>
    </row>
    <row r="1893" spans="1:1" ht="12.75">
      <c r="A1893" s="23" t="s">
        <v>1702</v>
      </c>
    </row>
    <row r="1894" spans="1:1" ht="12.75">
      <c r="A1894" s="23" t="s">
        <v>1703</v>
      </c>
    </row>
    <row r="1895" spans="1:1" ht="12.75">
      <c r="A1895" s="23" t="s">
        <v>1704</v>
      </c>
    </row>
    <row r="1896" spans="1:1" ht="12.75">
      <c r="A1896" s="23" t="s">
        <v>1705</v>
      </c>
    </row>
    <row r="1897" spans="1:1" ht="12.75">
      <c r="A1897" s="23" t="s">
        <v>1706</v>
      </c>
    </row>
    <row r="1898" spans="1:1" ht="12.75">
      <c r="A1898" s="23" t="s">
        <v>1707</v>
      </c>
    </row>
    <row r="1899" spans="1:1" ht="12.75">
      <c r="A1899" s="23" t="s">
        <v>1708</v>
      </c>
    </row>
    <row r="1900" spans="1:1" ht="12.75">
      <c r="A1900" s="23" t="s">
        <v>1709</v>
      </c>
    </row>
    <row r="1901" spans="1:1" ht="12.75">
      <c r="A1901" s="23" t="s">
        <v>1710</v>
      </c>
    </row>
    <row r="1902" spans="1:1" ht="12.75">
      <c r="A1902" s="23" t="s">
        <v>1711</v>
      </c>
    </row>
    <row r="1903" spans="1:1" ht="12.75">
      <c r="A1903" s="23" t="s">
        <v>1712</v>
      </c>
    </row>
    <row r="1904" spans="1:1" ht="12.75">
      <c r="A1904" s="23" t="s">
        <v>1713</v>
      </c>
    </row>
    <row r="1905" spans="1:1" ht="12.75">
      <c r="A1905" s="23" t="s">
        <v>1714</v>
      </c>
    </row>
    <row r="1906" spans="1:1" ht="12.75">
      <c r="A1906" s="23" t="s">
        <v>1715</v>
      </c>
    </row>
    <row r="1907" spans="1:1" ht="12.75">
      <c r="A1907" s="23" t="s">
        <v>1716</v>
      </c>
    </row>
    <row r="1908" spans="1:1" ht="12.75">
      <c r="A1908" s="23" t="s">
        <v>1717</v>
      </c>
    </row>
    <row r="1909" spans="1:1" ht="12.75">
      <c r="A1909" s="23" t="s">
        <v>1718</v>
      </c>
    </row>
    <row r="1910" spans="1:1" ht="12.75">
      <c r="A1910" s="23" t="s">
        <v>1719</v>
      </c>
    </row>
    <row r="1911" spans="1:1" ht="12.75">
      <c r="A1911" s="23" t="s">
        <v>1720</v>
      </c>
    </row>
    <row r="1912" spans="1:1" ht="12.75">
      <c r="A1912" s="23" t="s">
        <v>1721</v>
      </c>
    </row>
    <row r="1913" spans="1:1" ht="12.75">
      <c r="A1913" s="23" t="s">
        <v>1722</v>
      </c>
    </row>
    <row r="1914" spans="1:1" ht="12.75">
      <c r="A1914" s="23" t="s">
        <v>1723</v>
      </c>
    </row>
    <row r="1915" spans="1:1" ht="12.75">
      <c r="A1915" s="23" t="s">
        <v>1724</v>
      </c>
    </row>
    <row r="1916" spans="1:1" ht="12.75">
      <c r="A1916" s="23" t="s">
        <v>1725</v>
      </c>
    </row>
    <row r="1917" spans="1:1" ht="12.75">
      <c r="A1917" s="23" t="s">
        <v>1726</v>
      </c>
    </row>
    <row r="1918" spans="1:1" ht="12.75">
      <c r="A1918" s="23" t="s">
        <v>1727</v>
      </c>
    </row>
    <row r="1919" spans="1:1" ht="12.75">
      <c r="A1919" s="23" t="s">
        <v>1728</v>
      </c>
    </row>
    <row r="1920" spans="1:1" ht="12.75">
      <c r="A1920" s="23" t="s">
        <v>1729</v>
      </c>
    </row>
    <row r="1921" spans="1:1" ht="12.75">
      <c r="A1921" s="23" t="s">
        <v>1730</v>
      </c>
    </row>
    <row r="1922" spans="1:1" ht="12.75">
      <c r="A1922" s="23" t="s">
        <v>1731</v>
      </c>
    </row>
    <row r="1923" spans="1:1" ht="12.75">
      <c r="A1923" s="23" t="s">
        <v>1732</v>
      </c>
    </row>
    <row r="1924" spans="1:1" ht="12.75">
      <c r="A1924" s="23" t="s">
        <v>1733</v>
      </c>
    </row>
    <row r="1925" spans="1:1" ht="12.75">
      <c r="A1925" s="23" t="s">
        <v>1734</v>
      </c>
    </row>
    <row r="1926" spans="1:1" ht="12.75">
      <c r="A1926" s="23" t="s">
        <v>1735</v>
      </c>
    </row>
    <row r="1927" spans="1:1" ht="12.75">
      <c r="A1927" s="23" t="s">
        <v>1736</v>
      </c>
    </row>
    <row r="1928" spans="1:1" ht="12.75">
      <c r="A1928" s="23" t="s">
        <v>1737</v>
      </c>
    </row>
    <row r="1929" spans="1:1" ht="12.75">
      <c r="A1929" s="23" t="s">
        <v>1738</v>
      </c>
    </row>
    <row r="1930" spans="1:1" ht="12.75">
      <c r="A1930" s="23" t="s">
        <v>1739</v>
      </c>
    </row>
    <row r="1931" spans="1:1" ht="12.75">
      <c r="A1931" s="23" t="s">
        <v>1740</v>
      </c>
    </row>
    <row r="1932" spans="1:1" ht="12.75">
      <c r="A1932" s="23" t="s">
        <v>1741</v>
      </c>
    </row>
    <row r="1933" spans="1:1" ht="12.75">
      <c r="A1933" s="23" t="s">
        <v>1742</v>
      </c>
    </row>
    <row r="1934" spans="1:1" ht="12.75">
      <c r="A1934" s="23" t="s">
        <v>1743</v>
      </c>
    </row>
    <row r="1935" spans="1:1" ht="12.75">
      <c r="A1935" s="23" t="s">
        <v>1744</v>
      </c>
    </row>
    <row r="1936" spans="1:1" ht="12.75">
      <c r="A1936" s="23" t="s">
        <v>1745</v>
      </c>
    </row>
    <row r="1937" spans="1:1" ht="12.75">
      <c r="A1937" s="23" t="s">
        <v>1746</v>
      </c>
    </row>
    <row r="1938" spans="1:1" ht="12.75">
      <c r="A1938" s="23" t="s">
        <v>1747</v>
      </c>
    </row>
    <row r="1939" spans="1:1" ht="12.75">
      <c r="A1939" s="23" t="s">
        <v>1748</v>
      </c>
    </row>
    <row r="1940" spans="1:1" ht="12.75">
      <c r="A1940" s="23" t="s">
        <v>1749</v>
      </c>
    </row>
    <row r="1941" spans="1:1" ht="12.75">
      <c r="A1941" s="23" t="s">
        <v>1750</v>
      </c>
    </row>
    <row r="1942" spans="1:1" ht="12.75">
      <c r="A1942" s="23" t="s">
        <v>1751</v>
      </c>
    </row>
    <row r="1943" spans="1:1" ht="12.75">
      <c r="A1943" s="23" t="s">
        <v>1752</v>
      </c>
    </row>
    <row r="1944" spans="1:1" ht="12.75">
      <c r="A1944" s="23" t="s">
        <v>1753</v>
      </c>
    </row>
    <row r="1945" spans="1:1" ht="12.75">
      <c r="A1945" s="23" t="s">
        <v>1754</v>
      </c>
    </row>
    <row r="1946" spans="1:1" ht="12.75">
      <c r="A1946" s="23" t="s">
        <v>1755</v>
      </c>
    </row>
    <row r="1947" spans="1:1" ht="12.75">
      <c r="A1947" s="23" t="s">
        <v>1756</v>
      </c>
    </row>
    <row r="1948" spans="1:1" ht="12.75">
      <c r="A1948" s="23" t="s">
        <v>1757</v>
      </c>
    </row>
    <row r="1949" spans="1:1" ht="12.75">
      <c r="A1949" s="23" t="s">
        <v>1758</v>
      </c>
    </row>
    <row r="1950" spans="1:1" ht="12.75">
      <c r="A1950" s="23" t="s">
        <v>1759</v>
      </c>
    </row>
    <row r="1951" spans="1:1" ht="12.75">
      <c r="A1951" s="23" t="s">
        <v>1760</v>
      </c>
    </row>
    <row r="1952" spans="1:1" ht="12.75">
      <c r="A1952" s="23" t="s">
        <v>1761</v>
      </c>
    </row>
    <row r="1953" spans="1:1" ht="12.75">
      <c r="A1953" s="23" t="s">
        <v>1762</v>
      </c>
    </row>
    <row r="1954" spans="1:1" ht="12.75">
      <c r="A1954" s="23" t="s">
        <v>1763</v>
      </c>
    </row>
    <row r="1955" spans="1:1" ht="12.75">
      <c r="A1955" s="23" t="s">
        <v>1764</v>
      </c>
    </row>
    <row r="1956" spans="1:1" ht="12.75">
      <c r="A1956" s="23" t="s">
        <v>1765</v>
      </c>
    </row>
    <row r="1957" spans="1:1" ht="12.75">
      <c r="A1957" s="23" t="s">
        <v>1766</v>
      </c>
    </row>
    <row r="1958" spans="1:1" ht="12.75">
      <c r="A1958" s="23" t="s">
        <v>1767</v>
      </c>
    </row>
    <row r="1959" spans="1:1" ht="12.75">
      <c r="A1959" s="23" t="s">
        <v>1768</v>
      </c>
    </row>
    <row r="1960" spans="1:1" ht="12.75">
      <c r="A1960" s="23" t="s">
        <v>1769</v>
      </c>
    </row>
    <row r="1961" spans="1:1" ht="12.75">
      <c r="A1961" s="23" t="s">
        <v>1770</v>
      </c>
    </row>
    <row r="1962" spans="1:1" ht="12.75">
      <c r="A1962" s="23" t="s">
        <v>1771</v>
      </c>
    </row>
    <row r="1963" spans="1:1" ht="12.75">
      <c r="A1963" s="23" t="s">
        <v>1772</v>
      </c>
    </row>
    <row r="1964" spans="1:1" ht="12.75">
      <c r="A1964" s="23" t="s">
        <v>1773</v>
      </c>
    </row>
    <row r="1965" spans="1:1" ht="12.75">
      <c r="A1965" s="23" t="s">
        <v>1774</v>
      </c>
    </row>
    <row r="1966" spans="1:1" ht="12.75">
      <c r="A1966" s="23" t="s">
        <v>1775</v>
      </c>
    </row>
    <row r="1967" spans="1:1" ht="12.75">
      <c r="A1967" s="23" t="s">
        <v>1776</v>
      </c>
    </row>
    <row r="1968" spans="1:1" ht="12.75">
      <c r="A1968" s="23" t="s">
        <v>1777</v>
      </c>
    </row>
    <row r="1969" spans="1:1" ht="12.75">
      <c r="A1969" s="23" t="s">
        <v>1778</v>
      </c>
    </row>
    <row r="1970" spans="1:1" ht="12.75">
      <c r="A1970" s="23" t="s">
        <v>1779</v>
      </c>
    </row>
    <row r="1971" spans="1:1" ht="12.75">
      <c r="A1971" s="23" t="s">
        <v>1780</v>
      </c>
    </row>
    <row r="1972" spans="1:1" ht="12.75">
      <c r="A1972" s="23" t="s">
        <v>1781</v>
      </c>
    </row>
    <row r="1973" spans="1:1" ht="12.75">
      <c r="A1973" s="23" t="s">
        <v>1782</v>
      </c>
    </row>
    <row r="1974" spans="1:1" ht="12.75">
      <c r="A1974" s="23" t="s">
        <v>1783</v>
      </c>
    </row>
    <row r="1975" spans="1:1" ht="12.75">
      <c r="A1975" s="23" t="s">
        <v>1784</v>
      </c>
    </row>
    <row r="1976" spans="1:1" ht="12.75">
      <c r="A1976" s="23" t="s">
        <v>1785</v>
      </c>
    </row>
    <row r="1977" spans="1:1" ht="12.75">
      <c r="A1977" s="23" t="s">
        <v>1786</v>
      </c>
    </row>
    <row r="1978" spans="1:1" ht="12.75">
      <c r="A1978" s="23" t="s">
        <v>1787</v>
      </c>
    </row>
    <row r="1979" spans="1:1" ht="12.75">
      <c r="A1979" s="23" t="s">
        <v>1788</v>
      </c>
    </row>
    <row r="1980" spans="1:1" ht="12.75">
      <c r="A1980" s="23" t="s">
        <v>1789</v>
      </c>
    </row>
    <row r="1981" spans="1:1" ht="12.75">
      <c r="A1981" s="23" t="s">
        <v>1790</v>
      </c>
    </row>
    <row r="1982" spans="1:1" ht="12.75">
      <c r="A1982" s="23" t="s">
        <v>1791</v>
      </c>
    </row>
    <row r="1983" spans="1:1" ht="12.75">
      <c r="A1983" s="23" t="s">
        <v>1792</v>
      </c>
    </row>
    <row r="1984" spans="1:1" ht="12.75">
      <c r="A1984" s="23" t="s">
        <v>1793</v>
      </c>
    </row>
    <row r="1985" spans="1:1" ht="12.75">
      <c r="A1985" s="23" t="s">
        <v>1794</v>
      </c>
    </row>
    <row r="1986" spans="1:1" ht="12.75">
      <c r="A1986" s="23" t="s">
        <v>1795</v>
      </c>
    </row>
    <row r="1987" spans="1:1" ht="12.75">
      <c r="A1987" s="23" t="s">
        <v>1796</v>
      </c>
    </row>
    <row r="1988" spans="1:1" ht="12.75">
      <c r="A1988" s="23" t="s">
        <v>1797</v>
      </c>
    </row>
    <row r="1989" spans="1:1" ht="12.75">
      <c r="A1989" s="23" t="s">
        <v>1798</v>
      </c>
    </row>
    <row r="1990" spans="1:1" ht="12.75">
      <c r="A1990" s="23" t="s">
        <v>1799</v>
      </c>
    </row>
    <row r="1991" spans="1:1" ht="12.75">
      <c r="A1991" s="23" t="s">
        <v>1800</v>
      </c>
    </row>
    <row r="1992" spans="1:1" ht="12.75">
      <c r="A1992" s="23" t="s">
        <v>1801</v>
      </c>
    </row>
    <row r="1993" spans="1:1" ht="12.75">
      <c r="A1993" s="23" t="s">
        <v>1802</v>
      </c>
    </row>
    <row r="1994" spans="1:1" ht="12.75">
      <c r="A1994" s="23" t="s">
        <v>1803</v>
      </c>
    </row>
    <row r="1995" spans="1:1" ht="12.75">
      <c r="A1995" s="23" t="s">
        <v>1804</v>
      </c>
    </row>
    <row r="1996" spans="1:1" ht="12.75">
      <c r="A1996" s="23" t="s">
        <v>1805</v>
      </c>
    </row>
    <row r="1997" spans="1:1" ht="12.75">
      <c r="A1997" s="23" t="s">
        <v>1806</v>
      </c>
    </row>
    <row r="1998" spans="1:1" ht="12.75">
      <c r="A1998" s="23" t="s">
        <v>1807</v>
      </c>
    </row>
    <row r="1999" spans="1:1" ht="12.75">
      <c r="A1999" s="23" t="s">
        <v>1808</v>
      </c>
    </row>
    <row r="2000" spans="1:1" ht="12.75">
      <c r="A2000" s="23" t="s">
        <v>1809</v>
      </c>
    </row>
  </sheetData>
  <sheetProtection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c8d282-130b-4221-bd5a-45d2b6396e81}">
  <sheetPr>
    <tabColor indexed="23"/>
  </sheetPr>
  <dimension ref="A1:J20"/>
  <sheetViews>
    <sheetView showGridLines="0" defaultGridColor="0" zoomScale="125" zoomScaleNormal="125" colorId="0" workbookViewId="0" topLeftCell="A1">
      <pane topLeftCell="A1" activePane="topLeft" state="split"/>
      <selection pane="topLeft" activeCell="A1" sqref="A1"/>
    </sheetView>
  </sheetViews>
  <sheetFormatPr defaultRowHeight="12.75"/>
  <cols>
    <col min="1" max="1" width="8.57142857142857"/>
    <col min="2" max="2" width="13.7142857142857"/>
    <col min="3" max="3" width="4.71428571428571"/>
    <col min="4" max="4" width="19.2857142857143"/>
    <col min="5" max="5" width="9.71428571428571"/>
    <col min="6" max="6" width="3.85714285714286"/>
    <col min="7" max="7" width="12.1428571428571"/>
    <col min="8" max="8" width="52.5714285714286"/>
    <col min="9" max="9" width="42"/>
  </cols>
  <sheetData>
    <row r="1" spans="1:8" ht="12.75">
      <c r="A1" s="990">
        <v>35638</v>
      </c>
      <c r="B1" s="880" t="s">
        <v>0</v>
      </c>
      <c r="C1" s="881" t="s">
        <v>0</v>
      </c>
      <c r="D1" s="882" t="str">
        <f>LEFT(B1,6)&amp;C1&amp;CHAR(95)</f>
        <v>A35638_0229_</v>
      </c>
      <c r="E1" s="767">
        <v>229</v>
      </c>
      <c r="F1" s="883">
        <f>E1+1</f>
        <v>230</v>
      </c>
      <c r="H1" s="796" t="s">
        <v>4</v>
      </c>
    </row>
    <row r="2" spans="1:10" ht="12.75">
      <c r="A2" s="884" t="s">
        <v>2514</v>
      </c>
      <c r="B2" s="871" t="s">
        <v>2060</v>
      </c>
      <c r="D2" s="991" t="str">
        <f>B2&amp;B1</f>
        <v>F:\hsc\SC\A35\A35638.txt</v>
      </c>
      <c r="E2" s="992">
        <v>35</v>
      </c>
      <c r="F2" s="803">
        <v>35</v>
      </c>
      <c r="H2" t="s">
        <v>3</v>
      </c>
      <c r="J2" t="s">
        <v>0</v>
      </c>
    </row>
    <row r="3" spans="4:8" ht="12.75">
      <c r="D3">
        <v>0</v>
      </c>
      <c r="F3" s="753"/>
      <c r="H3" s="897" t="s">
        <v>11</v>
      </c>
    </row>
    <row r="4" spans="8:8" ht="12.75">
      <c r="H4" s="902" t="s">
        <v>12</v>
      </c>
    </row>
    <row r="5" spans="8:8" ht="12.75">
      <c r="H5" s="90" t="s">
        <v>8</v>
      </c>
    </row>
    <row r="6" spans="8:8" ht="12.75">
      <c r="H6" s="161" t="s">
        <v>5</v>
      </c>
    </row>
    <row r="7" spans="8:8" ht="12.75">
      <c r="H7" s="86" t="s">
        <v>13</v>
      </c>
    </row>
    <row r="8" spans="8:8" ht="12.75">
      <c r="H8" s="732" t="s">
        <v>7</v>
      </c>
    </row>
    <row r="9" spans="8:8" ht="12.75">
      <c r="H9" s="706" t="s">
        <v>9</v>
      </c>
    </row>
    <row r="10" spans="8:8" ht="12.75">
      <c r="H10" s="629" t="s">
        <v>6</v>
      </c>
    </row>
    <row r="11" spans="8:8" ht="12.75">
      <c r="H11" s="77" t="s">
        <v>10</v>
      </c>
    </row>
    <row r="12" spans="8:8" ht="12.75">
      <c r="H12" s="84" t="s">
        <v>2</v>
      </c>
    </row>
    <row r="15" spans="6:6" ht="12.75">
      <c r="F15" s="90"/>
    </row>
    <row r="17" spans="8:8" ht="12.75">
      <c r="H17" s="993" t="s">
        <v>2048</v>
      </c>
    </row>
    <row r="18" spans="8:8" ht="12.75">
      <c r="H18" s="796" t="s">
        <v>4</v>
      </c>
    </row>
    <row r="19" spans="8:8" ht="12.75">
      <c r="H19" t="s">
        <v>3</v>
      </c>
    </row>
    <row r="20" spans="8:8" ht="12.75">
      <c r="H20" s="994" t="s">
        <v>14</v>
      </c>
    </row>
  </sheetData>
  <sheetProtection/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3a85d4-db34-4a72-952e-c8ab9eaa50a1}">
  <sheetPr>
    <tabColor indexed="37"/>
  </sheetPr>
  <dimension ref="A1:X147"/>
  <sheetViews>
    <sheetView defaultGridColor="0" zoomScale="150" zoomScaleNormal="150" colorId="0" workbookViewId="0" topLeftCell="A1">
      <pane ySplit="6" topLeftCell="A7" activePane="bottomLeft" state="frozenSplit"/>
      <selection pane="bottomLeft" activeCell="A7" sqref="A7"/>
    </sheetView>
  </sheetViews>
  <sheetFormatPr defaultRowHeight="12.75"/>
  <cols>
    <col min="5" max="5" width="16.4285714285714"/>
    <col min="7" max="7" width="23.4285714285714"/>
    <col min="13" max="13" width="8.28571428571429"/>
    <col min="15" max="15" width="9.14285714285714"/>
  </cols>
  <sheetData>
    <row r="1" spans="1:19" ht="12.75">
      <c r="A1" s="23" t="s">
        <v>15</v>
      </c>
      <c r="B1" s="23" t="s">
        <v>15</v>
      </c>
      <c r="C1" s="23" t="s">
        <v>2073</v>
      </c>
      <c r="J1" t="s">
        <v>2511</v>
      </c>
      <c r="O1" s="75" t="s">
        <v>23</v>
      </c>
      <c r="Q1" s="23" t="s">
        <v>2513</v>
      </c>
      <c r="S1" s="265" t="s">
        <v>36</v>
      </c>
    </row>
    <row r="2" spans="1:19" ht="12.75">
      <c r="A2" s="23" t="s">
        <v>16</v>
      </c>
      <c r="B2" s="23" t="s">
        <v>33</v>
      </c>
      <c r="O2" s="75" t="s">
        <v>24</v>
      </c>
      <c r="Q2" s="23" t="s">
        <v>2046</v>
      </c>
      <c r="S2" s="104" t="s">
        <v>35</v>
      </c>
    </row>
    <row r="3" spans="1:2" ht="12.75">
      <c r="A3" s="23" t="s">
        <v>17</v>
      </c>
      <c r="B3" s="23" t="s">
        <v>19</v>
      </c>
    </row>
    <row r="4" spans="1:23" ht="12.75">
      <c r="A4" s="23" t="s">
        <v>18</v>
      </c>
      <c r="B4" s="23" t="s">
        <v>2047</v>
      </c>
      <c r="E4" t="s">
        <v>2489</v>
      </c>
      <c r="M4">
        <v>840</v>
      </c>
      <c r="O4">
        <v>840</v>
      </c>
      <c r="Q4">
        <f>O4+O$4</f>
        <v>1680</v>
      </c>
      <c r="S4">
        <f>Q4+$O$4</f>
        <v>2520</v>
      </c>
      <c r="U4">
        <f>S4+$O$4</f>
        <v>3360</v>
      </c>
      <c r="W4">
        <f>U4+$O$4</f>
        <v>4200</v>
      </c>
    </row>
    <row r="5" spans="1:13" ht="12.75">
      <c r="A5" s="23" t="s">
        <v>19</v>
      </c>
      <c r="B5" s="23" t="s">
        <v>17</v>
      </c>
      <c r="E5" t="s">
        <v>2512</v>
      </c>
      <c r="M5" s="76" t="s">
        <v>25</v>
      </c>
    </row>
    <row r="6" spans="1:24" ht="12.75">
      <c r="A6" s="23" t="s">
        <v>20</v>
      </c>
      <c r="B6" s="23" t="s">
        <v>38</v>
      </c>
      <c r="E6" s="44" t="s">
        <v>2075</v>
      </c>
      <c r="F6" s="710">
        <v>11</v>
      </c>
      <c r="G6" s="23" t="s">
        <v>2062</v>
      </c>
      <c r="H6" s="511" t="s">
        <v>26</v>
      </c>
      <c r="I6" t="str">
        <f>MID(H6,1,1)</f>
        <v>7</v>
      </c>
      <c r="J6" s="77">
        <f>FIND(I6,G6,1)-1</f>
        <v>1</v>
      </c>
      <c r="K6" s="68">
        <v>76</v>
      </c>
      <c r="L6" s="23">
        <f>K6*F6</f>
        <v>836</v>
      </c>
      <c r="M6" s="75">
        <f>M$4-L6</f>
        <v>4</v>
      </c>
      <c r="N6" s="77">
        <f>$F6-M6</f>
        <v>7</v>
      </c>
      <c r="O6" s="75">
        <f>MOD($O$4,$F6)</f>
        <v>4</v>
      </c>
      <c r="P6" s="77">
        <f>$F6-O6</f>
        <v>7</v>
      </c>
      <c r="Q6" s="75">
        <f>MOD(Q$4,$F6)</f>
        <v>8</v>
      </c>
      <c r="R6" s="77">
        <f>$F6-Q6</f>
        <v>3</v>
      </c>
      <c r="S6" s="75">
        <f>MOD(S$4,$F6)</f>
        <v>1</v>
      </c>
      <c r="T6" s="77">
        <f>$F6-S6</f>
        <v>10</v>
      </c>
      <c r="U6" s="75">
        <f>MOD(U$4,$F6)</f>
        <v>5</v>
      </c>
      <c r="V6" s="77">
        <f>$F6-U6</f>
        <v>6</v>
      </c>
      <c r="W6" s="75">
        <f>MOD(W$4,$F6)</f>
        <v>9</v>
      </c>
      <c r="X6" s="77">
        <f>$F6-W6</f>
        <v>2</v>
      </c>
    </row>
    <row r="7" spans="1:24" ht="12.75">
      <c r="A7" s="23" t="s">
        <v>21</v>
      </c>
      <c r="B7" s="23" t="s">
        <v>21</v>
      </c>
      <c r="E7" s="44" t="s">
        <v>2083</v>
      </c>
      <c r="F7" s="710">
        <v>13</v>
      </c>
      <c r="G7" s="23" t="s">
        <v>2064</v>
      </c>
      <c r="H7" s="511" t="s">
        <v>2045</v>
      </c>
      <c r="I7" t="str">
        <f>MID(H7,1,1)</f>
        <v>b</v>
      </c>
      <c r="J7" s="77">
        <f>FIND(I7,G7,1)-1</f>
        <v>1</v>
      </c>
      <c r="K7" s="68">
        <v>64</v>
      </c>
      <c r="L7" s="23">
        <f>K7*F7</f>
        <v>832</v>
      </c>
      <c r="M7" s="75">
        <f>M$4-L7</f>
        <v>8</v>
      </c>
      <c r="N7" s="77">
        <f>$F7-M7</f>
        <v>5</v>
      </c>
      <c r="O7" s="75">
        <f>MOD($O$4,$F7)</f>
        <v>8</v>
      </c>
      <c r="P7" s="77">
        <f>F7-O7</f>
        <v>5</v>
      </c>
      <c r="Q7" s="75">
        <f>MOD(Q$4,$F7)</f>
        <v>3</v>
      </c>
      <c r="R7" s="77">
        <f>$F7-Q7</f>
        <v>10</v>
      </c>
      <c r="S7" s="75">
        <f>MOD(S$4,$F7)</f>
        <v>11</v>
      </c>
      <c r="T7" s="77">
        <f>$F7-S7</f>
        <v>2</v>
      </c>
      <c r="U7" s="75">
        <f>MOD(U$4,$F7)</f>
        <v>6</v>
      </c>
      <c r="V7" s="77">
        <f>$F7-U7</f>
        <v>7</v>
      </c>
      <c r="W7" s="75">
        <f>MOD(W$4,$F7)</f>
        <v>1</v>
      </c>
      <c r="X7" s="77">
        <f>$F7-W7</f>
        <v>12</v>
      </c>
    </row>
    <row r="8" spans="1:24" ht="12.75">
      <c r="A8" s="23" t="s">
        <v>22</v>
      </c>
      <c r="B8" s="23" t="s">
        <v>2054</v>
      </c>
      <c r="E8" s="44" t="s">
        <v>2089</v>
      </c>
      <c r="F8" s="710">
        <v>17</v>
      </c>
      <c r="G8" s="23" t="s">
        <v>2066</v>
      </c>
      <c r="H8" s="511" t="s">
        <v>2050</v>
      </c>
      <c r="I8" t="str">
        <f>MID(H8,1,1)</f>
        <v>d</v>
      </c>
      <c r="J8" s="77">
        <f>FIND(I8,G8,1)-1</f>
        <v>1</v>
      </c>
      <c r="K8" s="68">
        <v>49</v>
      </c>
      <c r="L8" s="23">
        <f>K8*F8</f>
        <v>833</v>
      </c>
      <c r="M8" s="75">
        <f>M$4-L8</f>
        <v>7</v>
      </c>
      <c r="N8" s="77">
        <f>$F8-M8</f>
        <v>10</v>
      </c>
      <c r="O8" s="75">
        <f>MOD($O$4,$F8)</f>
        <v>7</v>
      </c>
      <c r="P8" s="77">
        <f>F8-O8</f>
        <v>10</v>
      </c>
      <c r="Q8" s="75">
        <f>MOD(Q$4,$F8)</f>
        <v>14</v>
      </c>
      <c r="R8" s="77">
        <f>$F8-Q8</f>
        <v>3</v>
      </c>
      <c r="S8" s="75">
        <f>MOD(S$4,$F8)</f>
        <v>4</v>
      </c>
      <c r="T8" s="77">
        <f>$F8-S8</f>
        <v>13</v>
      </c>
      <c r="U8" s="75">
        <f>MOD(U$4,$F8)</f>
        <v>11</v>
      </c>
      <c r="V8" s="77">
        <f>$F8-U8</f>
        <v>6</v>
      </c>
      <c r="W8" s="75">
        <f>MOD(W$4,$F8)</f>
        <v>1</v>
      </c>
      <c r="X8" s="77">
        <f>$F8-W8</f>
        <v>16</v>
      </c>
    </row>
    <row r="9" spans="1:24" ht="12.75">
      <c r="A9" s="23" t="s">
        <v>33</v>
      </c>
      <c r="B9" s="23" t="s">
        <v>16</v>
      </c>
      <c r="E9" s="44" t="s">
        <v>2094</v>
      </c>
      <c r="F9" s="710">
        <v>19</v>
      </c>
      <c r="G9" s="23" t="s">
        <v>2068</v>
      </c>
      <c r="H9" s="511" t="s">
        <v>2058</v>
      </c>
      <c r="I9" t="str">
        <f>MID(H9,1,1)</f>
        <v>e</v>
      </c>
      <c r="J9" s="77">
        <f>FIND(I9,G9,1)-1</f>
        <v>1</v>
      </c>
      <c r="K9" s="68">
        <v>44</v>
      </c>
      <c r="L9" s="23">
        <f>K9*F9</f>
        <v>836</v>
      </c>
      <c r="M9" s="75">
        <f>M$4-L9</f>
        <v>4</v>
      </c>
      <c r="N9" s="77">
        <f>$F9-M9</f>
        <v>15</v>
      </c>
      <c r="O9" s="75">
        <f>MOD($O$4,$F9)</f>
        <v>4</v>
      </c>
      <c r="P9" s="77">
        <f>F9-O9</f>
        <v>15</v>
      </c>
      <c r="Q9" s="75">
        <f>MOD(Q$4,$F9)</f>
        <v>8</v>
      </c>
      <c r="R9" s="77">
        <f>$F9-Q9</f>
        <v>11</v>
      </c>
      <c r="S9" s="75">
        <f>MOD(S$4,$F9)</f>
        <v>12</v>
      </c>
      <c r="T9" s="77">
        <f>$F9-S9</f>
        <v>7</v>
      </c>
      <c r="U9" s="75">
        <f>MOD(U$4,$F9)</f>
        <v>16</v>
      </c>
      <c r="V9" s="77">
        <f>$F9-U9</f>
        <v>3</v>
      </c>
      <c r="W9" s="75">
        <f>MOD(W$4,$F9)</f>
        <v>1</v>
      </c>
      <c r="X9" s="77">
        <f>$F9-W9</f>
        <v>18</v>
      </c>
    </row>
    <row r="10" spans="1:24" ht="12.75">
      <c r="A10" s="23" t="s">
        <v>37</v>
      </c>
      <c r="B10" s="23" t="s">
        <v>37</v>
      </c>
      <c r="E10" s="44" t="s">
        <v>2099</v>
      </c>
      <c r="F10" s="710">
        <v>23</v>
      </c>
      <c r="G10" s="23" t="s">
        <v>2069</v>
      </c>
      <c r="H10" s="511" t="s">
        <v>2045</v>
      </c>
      <c r="I10" t="str">
        <f>MID(H10,1,1)</f>
        <v>b</v>
      </c>
      <c r="J10" s="77">
        <f>FIND(I10,G10,1)-1</f>
        <v>2</v>
      </c>
      <c r="K10" s="68">
        <v>36</v>
      </c>
      <c r="L10" s="23">
        <f>K10*F10</f>
        <v>828</v>
      </c>
      <c r="M10" s="75">
        <f>M$4-L10</f>
        <v>12</v>
      </c>
      <c r="N10" s="77">
        <f>$F10-M10</f>
        <v>11</v>
      </c>
      <c r="O10" s="75">
        <f>MOD($O$4,$F10)</f>
        <v>12</v>
      </c>
      <c r="P10" s="77">
        <f>F10-O10</f>
        <v>11</v>
      </c>
      <c r="Q10" s="75">
        <f>MOD(Q$4,$F10)</f>
        <v>1</v>
      </c>
      <c r="R10" s="77">
        <f>$F10-Q10</f>
        <v>22</v>
      </c>
      <c r="S10" s="75">
        <f>MOD(S$4,$F10)</f>
        <v>13</v>
      </c>
      <c r="T10" s="77">
        <f>$F10-S10</f>
        <v>10</v>
      </c>
      <c r="U10" s="75">
        <f>MOD(U$4,$F10)</f>
        <v>2</v>
      </c>
      <c r="V10" s="77">
        <f>$F10-U10</f>
        <v>21</v>
      </c>
      <c r="W10" s="75">
        <f>MOD(W$4,$F10)</f>
        <v>14</v>
      </c>
      <c r="X10" s="77">
        <f>$F10-W10</f>
        <v>9</v>
      </c>
    </row>
    <row r="11" spans="1:24" ht="12.75">
      <c r="A11" s="23" t="s">
        <v>38</v>
      </c>
      <c r="B11" s="23" t="s">
        <v>20</v>
      </c>
      <c r="E11" s="44" t="s">
        <v>2107</v>
      </c>
      <c r="F11" s="710">
        <v>29</v>
      </c>
      <c r="G11" s="23" t="s">
        <v>2071</v>
      </c>
      <c r="H11" s="511" t="s">
        <v>2058</v>
      </c>
      <c r="I11" t="str">
        <f>MID(H11,1,1)</f>
        <v>e</v>
      </c>
      <c r="J11" s="77">
        <f>FIND(I11,G11,1)-1</f>
        <v>2</v>
      </c>
      <c r="K11" s="68">
        <v>28</v>
      </c>
      <c r="L11" s="23">
        <f>K11*F11</f>
        <v>812</v>
      </c>
      <c r="M11" s="75">
        <f>M$4-L11</f>
        <v>28</v>
      </c>
      <c r="N11" s="77">
        <f>$F11-M11</f>
        <v>1</v>
      </c>
      <c r="O11" s="75">
        <f>MOD($O$4,$F11)</f>
        <v>28</v>
      </c>
      <c r="P11" s="77">
        <f>F11-O11</f>
        <v>1</v>
      </c>
      <c r="Q11" s="75">
        <f>MOD(Q$4,$F11)</f>
        <v>27</v>
      </c>
      <c r="R11" s="77">
        <f>$F11-Q11</f>
        <v>2</v>
      </c>
      <c r="S11" s="75">
        <f>MOD(S$4,$F11)</f>
        <v>26</v>
      </c>
      <c r="T11" s="77">
        <f>$F11-S11</f>
        <v>3</v>
      </c>
      <c r="U11" s="75">
        <f>MOD(U$4,$F11)</f>
        <v>25</v>
      </c>
      <c r="V11" s="77">
        <f>$F11-U11</f>
        <v>4</v>
      </c>
      <c r="W11" s="75">
        <f>MOD(W$4,$F11)</f>
        <v>24</v>
      </c>
      <c r="X11" s="77">
        <f>$F11-W11</f>
        <v>5</v>
      </c>
    </row>
    <row r="12" spans="1:24" ht="12.75">
      <c r="A12" s="23" t="s">
        <v>2041</v>
      </c>
      <c r="B12" s="23" t="s">
        <v>2049</v>
      </c>
      <c r="E12" s="44" t="s">
        <v>2111</v>
      </c>
      <c r="F12" s="710">
        <v>31</v>
      </c>
      <c r="G12" s="23" t="s">
        <v>2074</v>
      </c>
      <c r="H12" s="511" t="s">
        <v>26</v>
      </c>
      <c r="I12" t="str">
        <f>MID(H12,1,1)</f>
        <v>7</v>
      </c>
      <c r="J12" s="77">
        <f>FIND(I12,G12,1)-1</f>
        <v>3</v>
      </c>
      <c r="K12" s="68">
        <v>27</v>
      </c>
      <c r="L12" s="23">
        <f>K12*F12</f>
        <v>837</v>
      </c>
      <c r="M12" s="75">
        <f>M$4-L12</f>
        <v>3</v>
      </c>
      <c r="N12" s="77">
        <f>$F12-M12</f>
        <v>28</v>
      </c>
      <c r="O12" s="75">
        <f>MOD($O$4,$F12)</f>
        <v>3</v>
      </c>
      <c r="P12" s="77">
        <f>F12-O12</f>
        <v>28</v>
      </c>
      <c r="Q12" s="75">
        <f>MOD(Q$4,$F12)</f>
        <v>6</v>
      </c>
      <c r="R12" s="77">
        <f>$F12-Q12</f>
        <v>25</v>
      </c>
      <c r="S12" s="75">
        <f>MOD(S$4,$F12)</f>
        <v>9</v>
      </c>
      <c r="T12" s="77">
        <f>$F12-S12</f>
        <v>22</v>
      </c>
      <c r="U12" s="75">
        <f>MOD(U$4,$F12)</f>
        <v>12</v>
      </c>
      <c r="V12" s="77">
        <f>$F12-U12</f>
        <v>19</v>
      </c>
      <c r="W12" s="75">
        <f>MOD(W$4,$F12)</f>
        <v>15</v>
      </c>
      <c r="X12" s="77">
        <f>$F12-W12</f>
        <v>16</v>
      </c>
    </row>
    <row r="13" spans="1:24" ht="12.75">
      <c r="A13" s="23" t="s">
        <v>2047</v>
      </c>
      <c r="B13" s="23" t="s">
        <v>18</v>
      </c>
      <c r="E13" s="44" t="s">
        <v>2119</v>
      </c>
      <c r="F13" s="710">
        <v>37</v>
      </c>
      <c r="G13" s="23" t="s">
        <v>2078</v>
      </c>
      <c r="H13" s="511" t="s">
        <v>2050</v>
      </c>
      <c r="I13" t="str">
        <f>MID(H13,1,1)</f>
        <v>d</v>
      </c>
      <c r="J13" s="77">
        <f>FIND(I13,G13,1)-1</f>
        <v>3</v>
      </c>
      <c r="K13" s="68">
        <v>22</v>
      </c>
      <c r="L13" s="23">
        <f>K13*F13</f>
        <v>814</v>
      </c>
      <c r="M13" s="75">
        <f>M$4-L13</f>
        <v>26</v>
      </c>
      <c r="N13" s="77">
        <f>$F13-M13</f>
        <v>11</v>
      </c>
      <c r="O13" s="75">
        <f>MOD($O$4,$F13)</f>
        <v>26</v>
      </c>
      <c r="P13" s="77">
        <f>F13-O13</f>
        <v>11</v>
      </c>
      <c r="Q13" s="75">
        <f>MOD(Q$4,$F13)</f>
        <v>15</v>
      </c>
      <c r="R13" s="77">
        <f>$F13-Q13</f>
        <v>22</v>
      </c>
      <c r="S13" s="75">
        <f>MOD(S$4,$F13)</f>
        <v>4</v>
      </c>
      <c r="T13" s="77">
        <f>$F13-S13</f>
        <v>33</v>
      </c>
      <c r="U13" s="75">
        <f>MOD(U$4,$F13)</f>
        <v>30</v>
      </c>
      <c r="V13" s="77">
        <f>$F13-U13</f>
        <v>7</v>
      </c>
      <c r="W13" s="75">
        <f>MOD(W$4,$F13)</f>
        <v>19</v>
      </c>
      <c r="X13" s="77">
        <f>$F13-W13</f>
        <v>18</v>
      </c>
    </row>
    <row r="14" spans="1:24" ht="12.75">
      <c r="A14" s="23" t="s">
        <v>2049</v>
      </c>
      <c r="B14" s="23" t="s">
        <v>2041</v>
      </c>
      <c r="E14" s="44" t="s">
        <v>2125</v>
      </c>
      <c r="F14" s="710">
        <v>41</v>
      </c>
      <c r="G14" s="23" t="s">
        <v>2085</v>
      </c>
      <c r="H14" s="511" t="s">
        <v>26</v>
      </c>
      <c r="I14" t="str">
        <f>MID(H14,1,1)</f>
        <v>7</v>
      </c>
      <c r="J14" s="77">
        <f>FIND(I14,G14,1)-1</f>
        <v>4</v>
      </c>
      <c r="K14" s="68">
        <v>20</v>
      </c>
      <c r="L14" s="23">
        <f>K14*F14</f>
        <v>820</v>
      </c>
      <c r="M14" s="75">
        <f>M$4-L14</f>
        <v>20</v>
      </c>
      <c r="N14" s="77">
        <f>$F14-M14</f>
        <v>21</v>
      </c>
      <c r="O14" s="75">
        <f>MOD($O$4,$F14)</f>
        <v>20</v>
      </c>
      <c r="P14" s="77">
        <f>F14-O14</f>
        <v>21</v>
      </c>
      <c r="Q14" s="75">
        <f>MOD(Q$4,$F14)</f>
        <v>40</v>
      </c>
      <c r="R14" s="77">
        <f>$F14-Q14</f>
        <v>1</v>
      </c>
      <c r="S14" s="75">
        <f>MOD(S$4,$F14)</f>
        <v>19</v>
      </c>
      <c r="T14" s="77">
        <f>$F14-S14</f>
        <v>22</v>
      </c>
      <c r="U14" s="75">
        <f>MOD(U$4,$F14)</f>
        <v>39</v>
      </c>
      <c r="V14" s="77">
        <f>$F14-U14</f>
        <v>2</v>
      </c>
      <c r="W14" s="75">
        <f>MOD(W$4,$F14)</f>
        <v>18</v>
      </c>
      <c r="X14" s="77">
        <f>$F14-W14</f>
        <v>23</v>
      </c>
    </row>
    <row r="15" spans="1:24" ht="12.75">
      <c r="A15" s="23" t="s">
        <v>2054</v>
      </c>
      <c r="B15" s="23" t="s">
        <v>22</v>
      </c>
      <c r="E15" s="44" t="s">
        <v>2129</v>
      </c>
      <c r="F15" s="710">
        <v>43</v>
      </c>
      <c r="G15" s="23" t="s">
        <v>2086</v>
      </c>
      <c r="H15" s="511" t="s">
        <v>2045</v>
      </c>
      <c r="I15" t="str">
        <f>MID(H15,1,1)</f>
        <v>b</v>
      </c>
      <c r="J15" s="77">
        <f>FIND(I15,G15,1)-1</f>
        <v>4</v>
      </c>
      <c r="K15" s="68">
        <v>19</v>
      </c>
      <c r="L15" s="23">
        <f>K15*F15</f>
        <v>817</v>
      </c>
      <c r="M15" s="75">
        <f>M$4-L15</f>
        <v>23</v>
      </c>
      <c r="N15" s="77">
        <f>$F15-M15</f>
        <v>20</v>
      </c>
      <c r="O15" s="75">
        <f>MOD($O$4,$F15)</f>
        <v>23</v>
      </c>
      <c r="P15" s="77">
        <f>F15-O15</f>
        <v>20</v>
      </c>
      <c r="Q15" s="75">
        <f>MOD(Q$4,$F15)</f>
        <v>3</v>
      </c>
      <c r="R15" s="77">
        <f>$F15-Q15</f>
        <v>40</v>
      </c>
      <c r="S15" s="75">
        <f>MOD(S$4,$F15)</f>
        <v>26</v>
      </c>
      <c r="T15" s="77">
        <f>$F15-S15</f>
        <v>17</v>
      </c>
      <c r="U15" s="75">
        <f>MOD(U$4,$F15)</f>
        <v>6</v>
      </c>
      <c r="V15" s="77">
        <f>$F15-U15</f>
        <v>37</v>
      </c>
      <c r="W15" s="75">
        <f>MOD(W$4,$F15)</f>
        <v>29</v>
      </c>
      <c r="X15" s="77">
        <f>$F15-W15</f>
        <v>14</v>
      </c>
    </row>
    <row r="16" spans="1:24" ht="12.75">
      <c r="A16" s="23" t="s">
        <v>2059</v>
      </c>
      <c r="B16" s="23" t="s">
        <v>2059</v>
      </c>
      <c r="E16" s="44" t="s">
        <v>2136</v>
      </c>
      <c r="F16" s="710">
        <v>47</v>
      </c>
      <c r="G16" s="23" t="s">
        <v>2088</v>
      </c>
      <c r="H16" s="511" t="s">
        <v>2050</v>
      </c>
      <c r="I16" t="str">
        <f>MID(H16,1,1)</f>
        <v>d</v>
      </c>
      <c r="J16" s="77">
        <f>FIND(I16,G16,1)-1</f>
        <v>4</v>
      </c>
      <c r="K16" s="68">
        <v>17</v>
      </c>
      <c r="L16" s="23">
        <f>K16*F16</f>
        <v>799</v>
      </c>
      <c r="M16" s="75">
        <f>M$4-L16</f>
        <v>41</v>
      </c>
      <c r="N16" s="77">
        <f>$F16-M16</f>
        <v>6</v>
      </c>
      <c r="O16" s="75">
        <f>MOD($O$4,$F16)</f>
        <v>41</v>
      </c>
      <c r="P16" s="77">
        <f>F16-O16</f>
        <v>6</v>
      </c>
      <c r="Q16" s="75">
        <f>MOD(Q$4,$F16)</f>
        <v>35</v>
      </c>
      <c r="R16" s="77">
        <f>$F16-Q16</f>
        <v>12</v>
      </c>
      <c r="S16" s="75">
        <f>MOD(S$4,$F16)</f>
        <v>29</v>
      </c>
      <c r="T16" s="77">
        <f>$F16-S16</f>
        <v>18</v>
      </c>
      <c r="U16" s="75">
        <f>MOD(U$4,$F16)</f>
        <v>23</v>
      </c>
      <c r="V16" s="77">
        <f>$F16-U16</f>
        <v>24</v>
      </c>
      <c r="W16" s="75">
        <f>MOD(W$4,$F16)</f>
        <v>17</v>
      </c>
      <c r="X16" s="77">
        <f>$F16-W16</f>
        <v>30</v>
      </c>
    </row>
    <row r="17" spans="5:24" ht="12.75">
      <c r="E17" s="44" t="s">
        <v>2143</v>
      </c>
      <c r="F17" s="710">
        <v>53</v>
      </c>
      <c r="G17" s="23" t="s">
        <v>2092</v>
      </c>
      <c r="H17" s="511" t="s">
        <v>2045</v>
      </c>
      <c r="I17" t="str">
        <f>MID(H17,1,1)</f>
        <v>b</v>
      </c>
      <c r="J17" s="77">
        <f>FIND(I17,G17,1)-1</f>
        <v>5</v>
      </c>
      <c r="K17" s="68">
        <v>15</v>
      </c>
      <c r="L17" s="23">
        <f>K17*F17</f>
        <v>795</v>
      </c>
      <c r="M17" s="75">
        <f>M$4-L17</f>
        <v>45</v>
      </c>
      <c r="N17" s="77">
        <f>$F17-M17</f>
        <v>8</v>
      </c>
      <c r="O17" s="75">
        <f>MOD($O$4,$F17)</f>
        <v>45</v>
      </c>
      <c r="P17" s="77">
        <f>F17-O17</f>
        <v>8</v>
      </c>
      <c r="Q17" s="75">
        <f>MOD(Q$4,$F17)</f>
        <v>37</v>
      </c>
      <c r="R17" s="77">
        <f>$F17-Q17</f>
        <v>16</v>
      </c>
      <c r="S17" s="75">
        <f>MOD(S$4,$F17)</f>
        <v>29</v>
      </c>
      <c r="T17" s="77">
        <f>$F17-S17</f>
        <v>24</v>
      </c>
      <c r="U17" s="75">
        <f>MOD(U$4,$F17)</f>
        <v>21</v>
      </c>
      <c r="V17" s="77">
        <f>$F17-U17</f>
        <v>32</v>
      </c>
      <c r="W17" s="75">
        <f>MOD(W$4,$F17)</f>
        <v>13</v>
      </c>
      <c r="X17" s="77">
        <f>$F17-W17</f>
        <v>40</v>
      </c>
    </row>
    <row r="18" spans="5:24" ht="12.75">
      <c r="E18" s="44" t="s">
        <v>2152</v>
      </c>
      <c r="F18" s="710">
        <v>59</v>
      </c>
      <c r="G18" s="23" t="s">
        <v>2095</v>
      </c>
      <c r="H18" s="511" t="s">
        <v>2058</v>
      </c>
      <c r="I18" t="str">
        <f>MID(H18,1,1)</f>
        <v>e</v>
      </c>
      <c r="J18" s="77">
        <f>FIND(I18,G18,1)-1</f>
        <v>5</v>
      </c>
      <c r="K18" s="68">
        <v>14</v>
      </c>
      <c r="L18" s="23">
        <f>K18*F18</f>
        <v>826</v>
      </c>
      <c r="M18" s="75">
        <f>M$4-L18</f>
        <v>14</v>
      </c>
      <c r="N18" s="77">
        <f>$F18-M18</f>
        <v>45</v>
      </c>
      <c r="O18" s="75">
        <f>MOD($O$4,$F18)</f>
        <v>14</v>
      </c>
      <c r="P18" s="77">
        <f>F18-O18</f>
        <v>45</v>
      </c>
      <c r="Q18" s="75">
        <f>MOD(Q$4,$F18)</f>
        <v>28</v>
      </c>
      <c r="R18" s="77">
        <f>$F18-Q18</f>
        <v>31</v>
      </c>
      <c r="S18" s="75">
        <f>MOD(S$4,$F18)</f>
        <v>42</v>
      </c>
      <c r="T18" s="77">
        <f>$F18-S18</f>
        <v>17</v>
      </c>
      <c r="U18" s="75">
        <f>MOD(U$4,$F18)</f>
        <v>56</v>
      </c>
      <c r="V18" s="77">
        <f>$F18-U18</f>
        <v>3</v>
      </c>
      <c r="W18" s="75">
        <f>MOD(W$4,$F18)</f>
        <v>11</v>
      </c>
      <c r="X18" s="77">
        <f>$F18-W18</f>
        <v>48</v>
      </c>
    </row>
    <row r="19" spans="5:24" ht="12.75">
      <c r="E19" s="44" t="s">
        <v>2157</v>
      </c>
      <c r="F19" s="710">
        <v>61</v>
      </c>
      <c r="G19" s="23" t="s">
        <v>2097</v>
      </c>
      <c r="H19" s="511" t="s">
        <v>26</v>
      </c>
      <c r="I19" t="str">
        <f>MID(H19,1,1)</f>
        <v>7</v>
      </c>
      <c r="J19" s="77">
        <f>FIND(I19,G19,1)-1</f>
        <v>6</v>
      </c>
      <c r="K19" s="68">
        <v>13</v>
      </c>
      <c r="L19" s="23">
        <f>K19*F19</f>
        <v>793</v>
      </c>
      <c r="M19" s="75">
        <f>M$4-L19</f>
        <v>47</v>
      </c>
      <c r="N19" s="77">
        <f>$F19-M19</f>
        <v>14</v>
      </c>
      <c r="O19" s="75">
        <f>MOD($O$4,$F19)</f>
        <v>47</v>
      </c>
      <c r="P19" s="77">
        <f>F19-O19</f>
        <v>14</v>
      </c>
      <c r="Q19" s="75">
        <f>MOD(Q$4,$F19)</f>
        <v>33</v>
      </c>
      <c r="R19" s="77">
        <f>$F19-Q19</f>
        <v>28</v>
      </c>
      <c r="S19" s="75">
        <f>MOD(S$4,$F19)</f>
        <v>19</v>
      </c>
      <c r="T19" s="77">
        <f>$F19-S19</f>
        <v>42</v>
      </c>
      <c r="U19" s="75">
        <f>MOD(U$4,$F19)</f>
        <v>5</v>
      </c>
      <c r="V19" s="77">
        <f>$F19-U19</f>
        <v>56</v>
      </c>
      <c r="W19" s="75">
        <f>MOD(W$4,$F19)</f>
        <v>52</v>
      </c>
      <c r="X19" s="77">
        <f>$F19-W19</f>
        <v>9</v>
      </c>
    </row>
    <row r="20" spans="5:24" ht="12.75">
      <c r="E20" s="44" t="s">
        <v>2164</v>
      </c>
      <c r="F20" s="710">
        <v>67</v>
      </c>
      <c r="G20" s="23" t="s">
        <v>2098</v>
      </c>
      <c r="H20" s="511" t="s">
        <v>2050</v>
      </c>
      <c r="I20" t="str">
        <f>MID(H20,1,1)</f>
        <v>d</v>
      </c>
      <c r="J20" s="77">
        <f>FIND(I20,G20,1)-1</f>
        <v>6</v>
      </c>
      <c r="K20" s="68">
        <v>12</v>
      </c>
      <c r="L20" s="23">
        <f>K20*F20</f>
        <v>804</v>
      </c>
      <c r="M20" s="75">
        <f>M$4-L20</f>
        <v>36</v>
      </c>
      <c r="N20" s="77">
        <f>$F20-M20</f>
        <v>31</v>
      </c>
      <c r="O20" s="75">
        <f>MOD($O$4,$F20)</f>
        <v>36</v>
      </c>
      <c r="P20" s="77">
        <f>F20-O20</f>
        <v>31</v>
      </c>
      <c r="Q20" s="75">
        <f>MOD(Q$4,$F20)</f>
        <v>5</v>
      </c>
      <c r="R20" s="77">
        <f>$F20-Q20</f>
        <v>62</v>
      </c>
      <c r="S20" s="75">
        <f>MOD(S$4,$F20)</f>
        <v>41</v>
      </c>
      <c r="T20" s="77">
        <f>$F20-S20</f>
        <v>26</v>
      </c>
      <c r="U20" s="75">
        <f>MOD(U$4,$F20)</f>
        <v>10</v>
      </c>
      <c r="V20" s="77">
        <f>$F20-U20</f>
        <v>57</v>
      </c>
      <c r="W20" s="75">
        <f>MOD(W$4,$F20)</f>
        <v>46</v>
      </c>
      <c r="X20" s="77">
        <f>$F20-W20</f>
        <v>21</v>
      </c>
    </row>
    <row r="21" spans="5:24" ht="12.75">
      <c r="E21" s="44" t="s">
        <v>2170</v>
      </c>
      <c r="F21" s="710">
        <v>71</v>
      </c>
      <c r="G21" s="23" t="s">
        <v>2102</v>
      </c>
      <c r="H21" s="511" t="s">
        <v>26</v>
      </c>
      <c r="I21" t="str">
        <f>MID(H21,1,1)</f>
        <v>7</v>
      </c>
      <c r="J21" s="77">
        <f>FIND(I21,G21,1)-1</f>
        <v>7</v>
      </c>
      <c r="K21" s="68">
        <v>11</v>
      </c>
      <c r="L21" s="23">
        <f>K21*F21</f>
        <v>781</v>
      </c>
      <c r="M21" s="75">
        <f>M$4-L21</f>
        <v>59</v>
      </c>
      <c r="N21" s="77">
        <f>$F21-M21</f>
        <v>12</v>
      </c>
      <c r="O21" s="75">
        <f>MOD($O$4,$F21)</f>
        <v>59</v>
      </c>
      <c r="P21" s="77">
        <f>F21-O21</f>
        <v>12</v>
      </c>
      <c r="Q21" s="75">
        <f>MOD(Q$4,$F21)</f>
        <v>47</v>
      </c>
      <c r="R21" s="77">
        <f>$F21-Q21</f>
        <v>24</v>
      </c>
      <c r="S21" s="75">
        <f>MOD(S$4,$F21)</f>
        <v>35</v>
      </c>
      <c r="T21" s="77">
        <f>$F21-S21</f>
        <v>36</v>
      </c>
      <c r="U21" s="75">
        <f>MOD(U$4,$F21)</f>
        <v>23</v>
      </c>
      <c r="V21" s="77">
        <f>$F21-U21</f>
        <v>48</v>
      </c>
      <c r="W21" s="75">
        <f>MOD(W$4,$F21)</f>
        <v>11</v>
      </c>
      <c r="X21" s="77">
        <f>$F21-W21</f>
        <v>60</v>
      </c>
    </row>
    <row r="22" spans="5:24" ht="12.75">
      <c r="E22" s="44" t="s">
        <v>2173</v>
      </c>
      <c r="F22" s="710">
        <v>73</v>
      </c>
      <c r="G22" s="23" t="s">
        <v>2103</v>
      </c>
      <c r="H22" s="511" t="s">
        <v>2045</v>
      </c>
      <c r="I22" t="str">
        <f>MID(H22,1,1)</f>
        <v>b</v>
      </c>
      <c r="J22" s="77">
        <f>FIND(I22,G22,1)-1</f>
        <v>7</v>
      </c>
      <c r="K22" s="68">
        <v>11</v>
      </c>
      <c r="L22" s="23">
        <f>K22*F22</f>
        <v>803</v>
      </c>
      <c r="M22" s="75">
        <f>M$4-L22</f>
        <v>37</v>
      </c>
      <c r="N22" s="77">
        <f>$F22-M22</f>
        <v>36</v>
      </c>
      <c r="O22" s="75">
        <f>MOD($O$4,$F22)</f>
        <v>37</v>
      </c>
      <c r="P22" s="77">
        <f>F22-O22</f>
        <v>36</v>
      </c>
      <c r="Q22" s="75">
        <f>MOD(Q$4,$F22)</f>
        <v>1</v>
      </c>
      <c r="R22" s="77">
        <f>$F22-Q22</f>
        <v>72</v>
      </c>
      <c r="S22" s="75">
        <f>MOD(S$4,$F22)</f>
        <v>38</v>
      </c>
      <c r="T22" s="77">
        <f>$F22-S22</f>
        <v>35</v>
      </c>
      <c r="U22" s="75">
        <f>MOD(U$4,$F22)</f>
        <v>2</v>
      </c>
      <c r="V22" s="77">
        <f>$F22-U22</f>
        <v>71</v>
      </c>
      <c r="W22" s="75">
        <f>MOD(W$4,$F22)</f>
        <v>39</v>
      </c>
      <c r="X22" s="77">
        <f>$F22-W22</f>
        <v>34</v>
      </c>
    </row>
    <row r="23" spans="5:24" ht="12.75">
      <c r="E23" s="44" t="s">
        <v>2181</v>
      </c>
      <c r="F23" s="710">
        <v>79</v>
      </c>
      <c r="G23" s="23" t="s">
        <v>2105</v>
      </c>
      <c r="H23" s="511" t="s">
        <v>2058</v>
      </c>
      <c r="I23" t="str">
        <f>MID(H23,1,1)</f>
        <v>e</v>
      </c>
      <c r="J23" s="77">
        <f>FIND(I23,G23,1)-1</f>
        <v>7</v>
      </c>
      <c r="K23" s="68">
        <v>10</v>
      </c>
      <c r="L23" s="23">
        <f>K23*F23</f>
        <v>790</v>
      </c>
      <c r="M23" s="75">
        <f>M$4-L23</f>
        <v>50</v>
      </c>
      <c r="N23" s="77">
        <f>$F23-M23</f>
        <v>29</v>
      </c>
      <c r="O23" s="75">
        <f>MOD($O$4,$F23)</f>
        <v>50</v>
      </c>
      <c r="P23" s="77">
        <f>F23-O23</f>
        <v>29</v>
      </c>
      <c r="Q23" s="75">
        <f>MOD(Q$4,$F23)</f>
        <v>21</v>
      </c>
      <c r="R23" s="77">
        <f>$F23-Q23</f>
        <v>58</v>
      </c>
      <c r="S23" s="75">
        <f>MOD(S$4,$F23)</f>
        <v>71</v>
      </c>
      <c r="T23" s="77">
        <f>$F23-S23</f>
        <v>8</v>
      </c>
      <c r="U23" s="75">
        <f>MOD(U$4,$F23)</f>
        <v>42</v>
      </c>
      <c r="V23" s="77">
        <f>$F23-U23</f>
        <v>37</v>
      </c>
      <c r="W23" s="75">
        <f>MOD(W$4,$F23)</f>
        <v>13</v>
      </c>
      <c r="X23" s="77">
        <f>$F23-W23</f>
        <v>66</v>
      </c>
    </row>
    <row r="24" spans="5:24" ht="12.75">
      <c r="E24" s="44" t="s">
        <v>2185</v>
      </c>
      <c r="F24" s="710">
        <v>83</v>
      </c>
      <c r="G24" s="23" t="s">
        <v>2106</v>
      </c>
      <c r="H24" s="511" t="s">
        <v>2045</v>
      </c>
      <c r="I24" t="str">
        <f>MID(H24,1,1)</f>
        <v>b</v>
      </c>
      <c r="J24" s="77">
        <f>FIND(I24,G24,1)-1</f>
        <v>8</v>
      </c>
      <c r="K24" s="68">
        <v>10</v>
      </c>
      <c r="L24" s="23">
        <f>K24*F24</f>
        <v>830</v>
      </c>
      <c r="M24" s="75">
        <f>M$4-L24</f>
        <v>10</v>
      </c>
      <c r="N24" s="77">
        <f>$F24-M24</f>
        <v>73</v>
      </c>
      <c r="O24" s="75">
        <f>MOD($O$4,$F24)</f>
        <v>10</v>
      </c>
      <c r="P24" s="77">
        <f>F24-O24</f>
        <v>73</v>
      </c>
      <c r="Q24" s="75">
        <f>MOD(Q$4,$F24)</f>
        <v>20</v>
      </c>
      <c r="R24" s="77">
        <f>$F24-Q24</f>
        <v>63</v>
      </c>
      <c r="S24" s="75">
        <f>MOD(S$4,$F24)</f>
        <v>30</v>
      </c>
      <c r="T24" s="77">
        <f>$F24-S24</f>
        <v>53</v>
      </c>
      <c r="U24" s="75">
        <f>MOD(U$4,$F24)</f>
        <v>40</v>
      </c>
      <c r="V24" s="77">
        <f>$F24-U24</f>
        <v>43</v>
      </c>
      <c r="W24" s="75">
        <f>MOD(W$4,$F24)</f>
        <v>50</v>
      </c>
      <c r="X24" s="77">
        <f>$F24-W24</f>
        <v>33</v>
      </c>
    </row>
    <row r="25" spans="5:24" ht="12.75">
      <c r="E25" s="44" t="s">
        <v>2195</v>
      </c>
      <c r="F25" s="710">
        <v>89</v>
      </c>
      <c r="G25" s="23" t="s">
        <v>2109</v>
      </c>
      <c r="H25" s="511" t="s">
        <v>2058</v>
      </c>
      <c r="I25" t="str">
        <f>MID(H25,1,1)</f>
        <v>e</v>
      </c>
      <c r="J25" s="77">
        <f>FIND(I25,G25,1)-1</f>
        <v>8</v>
      </c>
      <c r="K25" s="68">
        <v>9</v>
      </c>
      <c r="L25" s="23">
        <f>K25*F25</f>
        <v>801</v>
      </c>
      <c r="M25" s="75">
        <f>M$4-L25</f>
        <v>39</v>
      </c>
      <c r="N25" s="77">
        <f>$F25-M25</f>
        <v>50</v>
      </c>
      <c r="O25" s="75">
        <f>MOD($O$4,$F25)</f>
        <v>39</v>
      </c>
      <c r="P25" s="77">
        <f>F25-O25</f>
        <v>50</v>
      </c>
      <c r="Q25" s="75">
        <f>MOD(Q$4,$F25)</f>
        <v>78</v>
      </c>
      <c r="R25" s="77">
        <f>$F25-Q25</f>
        <v>11</v>
      </c>
      <c r="S25" s="75">
        <f>MOD(S$4,$F25)</f>
        <v>28</v>
      </c>
      <c r="T25" s="77">
        <f>$F25-S25</f>
        <v>61</v>
      </c>
      <c r="U25" s="75">
        <f>MOD(U$4,$F25)</f>
        <v>67</v>
      </c>
      <c r="V25" s="77">
        <f>$F25-U25</f>
        <v>22</v>
      </c>
      <c r="W25" s="75">
        <f>MOD(W$4,$F25)</f>
        <v>17</v>
      </c>
      <c r="X25" s="77">
        <f>$F25-W25</f>
        <v>72</v>
      </c>
    </row>
    <row r="26" spans="5:24" ht="12.75">
      <c r="E26" s="44" t="s">
        <v>2205</v>
      </c>
      <c r="F26" s="710">
        <v>97</v>
      </c>
      <c r="G26" s="23" t="s">
        <v>2112</v>
      </c>
      <c r="H26" s="511" t="s">
        <v>2050</v>
      </c>
      <c r="I26" t="str">
        <f>MID(H26,1,1)</f>
        <v>d</v>
      </c>
      <c r="J26" s="77">
        <f>FIND(I26,G26,1)-1</f>
        <v>9</v>
      </c>
      <c r="K26" s="68">
        <v>8</v>
      </c>
      <c r="L26" s="23">
        <f>K26*F26</f>
        <v>776</v>
      </c>
      <c r="M26" s="75">
        <f>M$4-L26</f>
        <v>64</v>
      </c>
      <c r="N26" s="77">
        <f>$F26-M26</f>
        <v>33</v>
      </c>
      <c r="O26" s="75">
        <f>MOD($O$4,$F26)</f>
        <v>64</v>
      </c>
      <c r="P26" s="77">
        <f>F26-O26</f>
        <v>33</v>
      </c>
      <c r="Q26" s="75">
        <f>MOD(Q$4,$F26)</f>
        <v>31</v>
      </c>
      <c r="R26" s="77">
        <f>$F26-Q26</f>
        <v>66</v>
      </c>
      <c r="S26" s="75">
        <f>MOD(S$4,$F26)</f>
        <v>95</v>
      </c>
      <c r="T26" s="77">
        <f>$F26-S26</f>
        <v>2</v>
      </c>
      <c r="U26" s="75">
        <f>MOD(U$4,$F26)</f>
        <v>62</v>
      </c>
      <c r="V26" s="77">
        <f>$F26-U26</f>
        <v>35</v>
      </c>
      <c r="W26" s="75">
        <f>MOD(W$4,$F26)</f>
        <v>29</v>
      </c>
      <c r="X26" s="77">
        <f>$F26-W26</f>
        <v>68</v>
      </c>
    </row>
    <row r="27" spans="5:24" ht="12.75">
      <c r="E27" s="44" t="s">
        <v>2209</v>
      </c>
      <c r="F27" s="710">
        <v>101</v>
      </c>
      <c r="G27" s="23" t="s">
        <v>2115</v>
      </c>
      <c r="H27" s="511" t="s">
        <v>26</v>
      </c>
      <c r="I27" t="str">
        <f>MID(H27,1,1)</f>
        <v>7</v>
      </c>
      <c r="J27" s="77">
        <f>FIND(I27,G27,1)-1</f>
        <v>10</v>
      </c>
      <c r="K27" s="68">
        <v>8</v>
      </c>
      <c r="L27" s="23">
        <f>K27*F27</f>
        <v>808</v>
      </c>
      <c r="M27" s="75">
        <f>M$4-L27</f>
        <v>32</v>
      </c>
      <c r="N27" s="77">
        <f>$F27-M27</f>
        <v>69</v>
      </c>
      <c r="O27" s="75">
        <f>MOD($O$4,$F27)</f>
        <v>32</v>
      </c>
      <c r="P27" s="77">
        <f>F27-O27</f>
        <v>69</v>
      </c>
      <c r="Q27" s="75">
        <f>MOD(Q$4,$F27)</f>
        <v>64</v>
      </c>
      <c r="R27" s="77">
        <f>$F27-Q27</f>
        <v>37</v>
      </c>
      <c r="S27" s="75">
        <f>MOD(S$4,$F27)</f>
        <v>96</v>
      </c>
      <c r="T27" s="77">
        <f>$F27-S27</f>
        <v>5</v>
      </c>
      <c r="U27" s="75">
        <f>MOD(U$4,$F27)</f>
        <v>27</v>
      </c>
      <c r="V27" s="77">
        <f>$F27-U27</f>
        <v>74</v>
      </c>
      <c r="W27" s="75">
        <f>MOD(W$4,$F27)</f>
        <v>59</v>
      </c>
      <c r="X27" s="77">
        <f>$F27-W27</f>
        <v>42</v>
      </c>
    </row>
    <row r="28" spans="5:24" ht="12.75">
      <c r="E28" s="44" t="s">
        <v>2211</v>
      </c>
      <c r="F28" s="710">
        <v>103</v>
      </c>
      <c r="G28" s="23" t="s">
        <v>2116</v>
      </c>
      <c r="H28" s="511" t="s">
        <v>2045</v>
      </c>
      <c r="I28" t="str">
        <f>MID(H28,1,1)</f>
        <v>b</v>
      </c>
      <c r="J28" s="77">
        <f>FIND(I28,G28,1)-1</f>
        <v>10</v>
      </c>
      <c r="K28" s="68">
        <v>8</v>
      </c>
      <c r="L28" s="23">
        <f>K28*F28</f>
        <v>824</v>
      </c>
      <c r="M28" s="75">
        <f>M$4-L28</f>
        <v>16</v>
      </c>
      <c r="N28" s="77">
        <f>$F28-M28</f>
        <v>87</v>
      </c>
      <c r="O28" s="75">
        <f>MOD($O$4,$F28)</f>
        <v>16</v>
      </c>
      <c r="P28" s="77">
        <f>F28-O28</f>
        <v>87</v>
      </c>
      <c r="Q28" s="75">
        <f>MOD(Q$4,$F28)</f>
        <v>32</v>
      </c>
      <c r="R28" s="77">
        <f>$F28-Q28</f>
        <v>71</v>
      </c>
      <c r="S28" s="75">
        <f>MOD(S$4,$F28)</f>
        <v>48</v>
      </c>
      <c r="T28" s="77">
        <f>$F28-S28</f>
        <v>55</v>
      </c>
      <c r="U28" s="75">
        <f>MOD(U$4,$F28)</f>
        <v>64</v>
      </c>
      <c r="V28" s="77">
        <f>$F28-U28</f>
        <v>39</v>
      </c>
      <c r="W28" s="75">
        <f>MOD(W$4,$F28)</f>
        <v>80</v>
      </c>
      <c r="X28" s="77">
        <f>$F28-W28</f>
        <v>23</v>
      </c>
    </row>
    <row r="29" spans="5:24" ht="12.75">
      <c r="E29" s="44" t="s">
        <v>2215</v>
      </c>
      <c r="F29" s="710">
        <v>107</v>
      </c>
      <c r="G29" s="23" t="s">
        <v>2117</v>
      </c>
      <c r="H29" s="511" t="s">
        <v>2050</v>
      </c>
      <c r="I29" t="str">
        <f>MID(H29,1,1)</f>
        <v>d</v>
      </c>
      <c r="J29" s="77">
        <f>FIND(I29,G29,1)-1</f>
        <v>10</v>
      </c>
      <c r="K29" s="68">
        <v>7</v>
      </c>
      <c r="L29" s="23">
        <f>K29*F29</f>
        <v>749</v>
      </c>
      <c r="M29" s="75">
        <f>M$4-L29</f>
        <v>91</v>
      </c>
      <c r="N29" s="77">
        <f>$F29-M29</f>
        <v>16</v>
      </c>
      <c r="O29" s="75">
        <f>MOD($O$4,$F29)</f>
        <v>91</v>
      </c>
      <c r="P29" s="77">
        <f>F29-O29</f>
        <v>16</v>
      </c>
      <c r="Q29" s="75">
        <f>MOD(Q$4,$F29)</f>
        <v>75</v>
      </c>
      <c r="R29" s="77">
        <f>$F29-Q29</f>
        <v>32</v>
      </c>
      <c r="S29" s="75">
        <f>MOD(S$4,$F29)</f>
        <v>59</v>
      </c>
      <c r="T29" s="77">
        <f>$F29-S29</f>
        <v>48</v>
      </c>
      <c r="U29" s="75">
        <f>MOD(U$4,$F29)</f>
        <v>43</v>
      </c>
      <c r="V29" s="77">
        <f>$F29-U29</f>
        <v>64</v>
      </c>
      <c r="W29" s="75">
        <f>MOD(W$4,$F29)</f>
        <v>27</v>
      </c>
      <c r="X29" s="77">
        <f>$F29-W29</f>
        <v>80</v>
      </c>
    </row>
    <row r="30" spans="5:24" ht="12.75">
      <c r="E30" s="44" t="s">
        <v>2216</v>
      </c>
      <c r="F30" s="710">
        <v>109</v>
      </c>
      <c r="G30" s="23" t="s">
        <v>2118</v>
      </c>
      <c r="H30" s="511" t="s">
        <v>2058</v>
      </c>
      <c r="I30" t="str">
        <f>MID(H30,1,1)</f>
        <v>e</v>
      </c>
      <c r="J30" s="77">
        <f>FIND(I30,G30,1)-1</f>
        <v>10</v>
      </c>
      <c r="K30" s="68">
        <v>7</v>
      </c>
      <c r="L30" s="23">
        <f>K30*F30</f>
        <v>763</v>
      </c>
      <c r="M30" s="75">
        <f>M$4-L30</f>
        <v>77</v>
      </c>
      <c r="N30" s="77">
        <f>$F30-M30</f>
        <v>32</v>
      </c>
      <c r="O30" s="75">
        <f>MOD($O$4,$F30)</f>
        <v>77</v>
      </c>
      <c r="P30" s="77">
        <f>F30-O30</f>
        <v>32</v>
      </c>
      <c r="Q30" s="75">
        <f>MOD(Q$4,$F30)</f>
        <v>45</v>
      </c>
      <c r="R30" s="77">
        <f>$F30-Q30</f>
        <v>64</v>
      </c>
      <c r="S30" s="75">
        <f>MOD(S$4,$F30)</f>
        <v>13</v>
      </c>
      <c r="T30" s="77">
        <f>$F30-S30</f>
        <v>96</v>
      </c>
      <c r="U30" s="75">
        <f>MOD(U$4,$F30)</f>
        <v>90</v>
      </c>
      <c r="V30" s="77">
        <f>$F30-U30</f>
        <v>19</v>
      </c>
      <c r="W30" s="75">
        <f>MOD(W$4,$F30)</f>
        <v>58</v>
      </c>
      <c r="X30" s="77">
        <f>$F30-W30</f>
        <v>51</v>
      </c>
    </row>
    <row r="31" spans="5:18" ht="12.75">
      <c r="E31" s="44" t="s">
        <v>2220</v>
      </c>
      <c r="F31" s="710">
        <v>113</v>
      </c>
      <c r="G31" s="23" t="s">
        <v>2120</v>
      </c>
      <c r="H31" s="511" t="s">
        <v>2045</v>
      </c>
      <c r="I31" t="str">
        <f>MID(H31,1,1)</f>
        <v>b</v>
      </c>
      <c r="J31" s="77">
        <f>FIND(I31,G31,1)-1</f>
        <v>11</v>
      </c>
      <c r="K31" s="68">
        <v>7</v>
      </c>
      <c r="L31" s="23">
        <f>K31*F31</f>
        <v>791</v>
      </c>
      <c r="M31" s="75">
        <f>M$4-L31</f>
        <v>49</v>
      </c>
      <c r="N31" s="77">
        <f>$F31-M31</f>
        <v>64</v>
      </c>
      <c r="O31" s="75">
        <f>MOD($O$4,$F31)</f>
        <v>49</v>
      </c>
      <c r="P31" s="77">
        <f>F31-O31</f>
        <v>64</v>
      </c>
      <c r="Q31" s="75">
        <f>MOD(Q$4,$F31)</f>
        <v>98</v>
      </c>
      <c r="R31" s="77">
        <f>$F31-Q31</f>
        <v>15</v>
      </c>
    </row>
    <row r="32" spans="5:18" ht="12.75">
      <c r="E32" s="44" t="s">
        <v>2237</v>
      </c>
      <c r="F32" s="710">
        <v>127</v>
      </c>
      <c r="G32" s="23" t="s">
        <v>2128</v>
      </c>
      <c r="H32" s="511" t="s">
        <v>2050</v>
      </c>
      <c r="I32" t="str">
        <f>MID(H32,1,1)</f>
        <v>d</v>
      </c>
      <c r="J32" s="77">
        <f>FIND(I32,G32,1)-1</f>
        <v>12</v>
      </c>
      <c r="K32" s="68">
        <v>6</v>
      </c>
      <c r="L32" s="23">
        <f>K32*F32</f>
        <v>762</v>
      </c>
      <c r="M32" s="75">
        <f>M$4-L32</f>
        <v>78</v>
      </c>
      <c r="N32" s="77">
        <f>$F32-M32</f>
        <v>49</v>
      </c>
      <c r="O32" s="75">
        <f>MOD($O$4,$F32)</f>
        <v>78</v>
      </c>
      <c r="P32" s="77">
        <f>F32-O32</f>
        <v>49</v>
      </c>
      <c r="Q32" s="75">
        <f>MOD(Q$4,$F32)</f>
        <v>29</v>
      </c>
      <c r="R32" s="77">
        <f>$F32-Q32</f>
        <v>98</v>
      </c>
    </row>
    <row r="33" spans="5:18" ht="12.75">
      <c r="E33" s="44" t="s">
        <v>2240</v>
      </c>
      <c r="F33" s="710">
        <v>131</v>
      </c>
      <c r="G33" s="23" t="s">
        <v>2131</v>
      </c>
      <c r="H33" s="511" t="s">
        <v>26</v>
      </c>
      <c r="I33" t="str">
        <f>MID(H33,1,1)</f>
        <v>7</v>
      </c>
      <c r="J33" s="77">
        <f>FIND(I33,G33,1)-1</f>
        <v>13</v>
      </c>
      <c r="K33" s="68">
        <v>6</v>
      </c>
      <c r="L33" s="23">
        <f>K33*F33</f>
        <v>786</v>
      </c>
      <c r="M33" s="75">
        <f>M$4-L33</f>
        <v>54</v>
      </c>
      <c r="N33" s="77">
        <f>$F33-M33</f>
        <v>77</v>
      </c>
      <c r="O33" s="75">
        <f>MOD($O$4,$F33)</f>
        <v>54</v>
      </c>
      <c r="P33" s="77">
        <f>F33-O33</f>
        <v>77</v>
      </c>
      <c r="Q33" s="75">
        <f>MOD(Q$4,$F33)</f>
        <v>108</v>
      </c>
      <c r="R33" s="77">
        <f>$F33-Q33</f>
        <v>23</v>
      </c>
    </row>
    <row r="34" spans="5:18" ht="12.75">
      <c r="E34" s="44" t="s">
        <v>2248</v>
      </c>
      <c r="F34" s="710">
        <v>137</v>
      </c>
      <c r="G34" s="23" t="s">
        <v>2133</v>
      </c>
      <c r="H34" s="511" t="s">
        <v>2050</v>
      </c>
      <c r="I34" t="str">
        <f>MID(H34,1,1)</f>
        <v>d</v>
      </c>
      <c r="J34" s="77">
        <f>FIND(I34,G34,1)-1</f>
        <v>13</v>
      </c>
      <c r="K34" s="68">
        <v>6</v>
      </c>
      <c r="L34" s="23">
        <f>K34*F34</f>
        <v>822</v>
      </c>
      <c r="M34" s="75">
        <f>M$4-L34</f>
        <v>18</v>
      </c>
      <c r="N34" s="77">
        <f>$F34-M34</f>
        <v>119</v>
      </c>
      <c r="O34" s="75">
        <f>MOD($O$4,$F34)</f>
        <v>18</v>
      </c>
      <c r="P34" s="77">
        <f>F34-O34</f>
        <v>119</v>
      </c>
      <c r="Q34" s="75">
        <f>MOD(Q$4,$F34)</f>
        <v>36</v>
      </c>
      <c r="R34" s="77">
        <f>$F34-Q34</f>
        <v>101</v>
      </c>
    </row>
    <row r="35" spans="5:18" ht="12.75">
      <c r="E35" s="44" t="s">
        <v>2249</v>
      </c>
      <c r="F35" s="710">
        <v>139</v>
      </c>
      <c r="G35" s="23" t="s">
        <v>2134</v>
      </c>
      <c r="H35" s="511" t="s">
        <v>2058</v>
      </c>
      <c r="I35" t="str">
        <f>MID(H35,1,1)</f>
        <v>e</v>
      </c>
      <c r="J35" s="77">
        <f>FIND(I35,G35,1)-1</f>
        <v>13</v>
      </c>
      <c r="K35" s="68">
        <v>6</v>
      </c>
      <c r="L35" s="23">
        <f>K35*F35</f>
        <v>834</v>
      </c>
      <c r="M35" s="75">
        <f>M$4-L35</f>
        <v>6</v>
      </c>
      <c r="N35" s="77">
        <f>$F35-M35</f>
        <v>133</v>
      </c>
      <c r="O35" s="75">
        <f>MOD($O$4,$F35)</f>
        <v>6</v>
      </c>
      <c r="P35" s="77">
        <f>F35-O35</f>
        <v>133</v>
      </c>
      <c r="Q35" s="75">
        <f>MOD(Q$4,$F35)</f>
        <v>12</v>
      </c>
      <c r="R35" s="77">
        <f>$F35-Q35</f>
        <v>127</v>
      </c>
    </row>
    <row r="36" spans="5:18" ht="12.75">
      <c r="E36" s="44" t="s">
        <v>2258</v>
      </c>
      <c r="F36" s="710">
        <v>149</v>
      </c>
      <c r="G36" s="23" t="s">
        <v>2137</v>
      </c>
      <c r="H36" s="511" t="s">
        <v>2058</v>
      </c>
      <c r="I36" t="str">
        <f>MID(H36,1,1)</f>
        <v>e</v>
      </c>
      <c r="J36" s="77">
        <f>FIND(I36,G36,1)-1</f>
        <v>14</v>
      </c>
      <c r="K36" s="68">
        <v>5</v>
      </c>
      <c r="L36" s="23">
        <f>K36*F36</f>
        <v>745</v>
      </c>
      <c r="M36" s="75">
        <f>M$4-L36</f>
        <v>95</v>
      </c>
      <c r="N36" s="77">
        <f>$F36-M36</f>
        <v>54</v>
      </c>
      <c r="O36" s="75">
        <f>MOD($O$4,$F36)</f>
        <v>95</v>
      </c>
      <c r="P36" s="77">
        <f>F36-O36</f>
        <v>54</v>
      </c>
      <c r="Q36" s="75">
        <f>MOD(Q$4,$F36)</f>
        <v>41</v>
      </c>
      <c r="R36" s="77">
        <f>$F36-Q36</f>
        <v>108</v>
      </c>
    </row>
    <row r="37" spans="5:18" ht="12.75">
      <c r="E37" s="44" t="s">
        <v>2260</v>
      </c>
      <c r="F37" s="710">
        <v>151</v>
      </c>
      <c r="G37" s="23" t="s">
        <v>2139</v>
      </c>
      <c r="H37" s="511" t="s">
        <v>26</v>
      </c>
      <c r="I37" t="str">
        <f>MID(H37,1,1)</f>
        <v>7</v>
      </c>
      <c r="J37" s="77">
        <f>FIND(I37,G37,1)-1</f>
        <v>15</v>
      </c>
      <c r="K37" s="68">
        <v>5</v>
      </c>
      <c r="L37" s="23">
        <f>K37*F37</f>
        <v>755</v>
      </c>
      <c r="M37" s="75">
        <f>M$4-L37</f>
        <v>85</v>
      </c>
      <c r="N37" s="77">
        <f>$F37-M37</f>
        <v>66</v>
      </c>
      <c r="O37" s="75">
        <f>MOD($O$4,$F37)</f>
        <v>85</v>
      </c>
      <c r="P37" s="77">
        <f>F37-O37</f>
        <v>66</v>
      </c>
      <c r="Q37" s="75">
        <f>MOD(Q$4,$F37)</f>
        <v>19</v>
      </c>
      <c r="R37" s="77">
        <f>$F37-Q37</f>
        <v>132</v>
      </c>
    </row>
    <row r="38" spans="5:18" ht="12.75">
      <c r="E38" s="44" t="s">
        <v>2266</v>
      </c>
      <c r="F38" s="710">
        <v>157</v>
      </c>
      <c r="G38" s="23" t="s">
        <v>2141</v>
      </c>
      <c r="H38" s="511" t="s">
        <v>2050</v>
      </c>
      <c r="I38" t="str">
        <f>MID(H38,1,1)</f>
        <v>d</v>
      </c>
      <c r="J38" s="77">
        <f>FIND(I38,G38,1)-1</f>
        <v>15</v>
      </c>
      <c r="K38" s="68">
        <v>5</v>
      </c>
      <c r="L38" s="23">
        <f>K38*F38</f>
        <v>785</v>
      </c>
      <c r="M38" s="75">
        <f>M$4-L38</f>
        <v>55</v>
      </c>
      <c r="N38" s="77">
        <f>$F38-M38</f>
        <v>102</v>
      </c>
      <c r="O38" s="75">
        <f>MOD($O$4,$F38)</f>
        <v>55</v>
      </c>
      <c r="P38" s="77">
        <f>F38-O38</f>
        <v>102</v>
      </c>
      <c r="Q38" s="75">
        <f>MOD(Q$4,$F38)</f>
        <v>110</v>
      </c>
      <c r="R38" s="77">
        <f>$F38-Q38</f>
        <v>47</v>
      </c>
    </row>
    <row r="39" spans="5:18" ht="12.75">
      <c r="E39" s="44" t="s">
        <v>2270</v>
      </c>
      <c r="F39" s="710">
        <v>163</v>
      </c>
      <c r="G39" s="23" t="s">
        <v>2146</v>
      </c>
      <c r="H39" s="511" t="s">
        <v>2045</v>
      </c>
      <c r="I39" t="str">
        <f>MID(H39,1,1)</f>
        <v>b</v>
      </c>
      <c r="J39" s="77">
        <f>FIND(I39,G39,1)-1</f>
        <v>16</v>
      </c>
      <c r="K39" s="68">
        <v>5</v>
      </c>
      <c r="L39" s="23">
        <f>K39*F39</f>
        <v>815</v>
      </c>
      <c r="M39" s="75">
        <f>M$4-L39</f>
        <v>25</v>
      </c>
      <c r="N39" s="77">
        <f>$F39-M39</f>
        <v>138</v>
      </c>
      <c r="O39" s="75">
        <f>MOD($O$4,$F39)</f>
        <v>25</v>
      </c>
      <c r="P39" s="77">
        <f>F39-O39</f>
        <v>138</v>
      </c>
      <c r="Q39" s="75">
        <f>MOD(Q$4,$F39)</f>
        <v>50</v>
      </c>
      <c r="R39" s="77">
        <f>$F39-Q39</f>
        <v>113</v>
      </c>
    </row>
    <row r="40" spans="5:18" ht="12.75">
      <c r="E40" s="44" t="s">
        <v>2274</v>
      </c>
      <c r="F40" s="710">
        <v>167</v>
      </c>
      <c r="G40" s="23" t="s">
        <v>2148</v>
      </c>
      <c r="H40" s="511" t="s">
        <v>2050</v>
      </c>
      <c r="I40" t="str">
        <f>MID(H40,1,1)</f>
        <v>d</v>
      </c>
      <c r="J40" s="77">
        <f>FIND(I40,G40,1)-1</f>
        <v>16</v>
      </c>
      <c r="K40" s="68">
        <v>5</v>
      </c>
      <c r="L40" s="23">
        <f>K40*F40</f>
        <v>835</v>
      </c>
      <c r="M40" s="75">
        <f>M$4-L40</f>
        <v>5</v>
      </c>
      <c r="N40" s="77">
        <f>$F40-M40</f>
        <v>162</v>
      </c>
      <c r="O40" s="75">
        <f>MOD($O$4,$F40)</f>
        <v>5</v>
      </c>
      <c r="P40" s="77">
        <f>F40-O40</f>
        <v>162</v>
      </c>
      <c r="Q40" s="75">
        <f>MOD(Q$4,$F40)</f>
        <v>10</v>
      </c>
      <c r="R40" s="77">
        <f>$F40-Q40</f>
        <v>157</v>
      </c>
    </row>
    <row r="41" spans="5:18" ht="12.75">
      <c r="E41" s="44" t="s">
        <v>2278</v>
      </c>
      <c r="F41" s="710">
        <v>173</v>
      </c>
      <c r="G41" s="23" t="s">
        <v>2151</v>
      </c>
      <c r="H41" s="511" t="s">
        <v>2045</v>
      </c>
      <c r="I41" t="str">
        <f>MID(H41,1,1)</f>
        <v>b</v>
      </c>
      <c r="J41" s="77">
        <f>FIND(I41,G41,1)-1</f>
        <v>17</v>
      </c>
      <c r="K41" s="68">
        <v>4</v>
      </c>
      <c r="L41" s="23">
        <f>K41*F41</f>
        <v>692</v>
      </c>
      <c r="M41" s="75">
        <f>M$4-L41</f>
        <v>148</v>
      </c>
      <c r="N41" s="77">
        <f>$F41-M41</f>
        <v>25</v>
      </c>
      <c r="O41" s="75">
        <f>MOD($O$4,$F41)</f>
        <v>148</v>
      </c>
      <c r="P41" s="77">
        <f>F41-O41</f>
        <v>25</v>
      </c>
      <c r="Q41" s="75">
        <f>MOD(Q$4,$F41)</f>
        <v>123</v>
      </c>
      <c r="R41" s="77">
        <f>$F41-Q41</f>
        <v>50</v>
      </c>
    </row>
    <row r="42" spans="5:18" ht="12.75">
      <c r="E42" s="44" t="s">
        <v>2283</v>
      </c>
      <c r="F42" s="710">
        <v>179</v>
      </c>
      <c r="G42" s="23" t="s">
        <v>2154</v>
      </c>
      <c r="H42" s="511" t="s">
        <v>2058</v>
      </c>
      <c r="I42" t="str">
        <f>MID(H42,1,1)</f>
        <v>e</v>
      </c>
      <c r="J42" s="77">
        <f>FIND(I42,G42,1)-1</f>
        <v>17</v>
      </c>
      <c r="K42" s="68">
        <v>4</v>
      </c>
      <c r="L42" s="23">
        <f>K42*F42</f>
        <v>716</v>
      </c>
      <c r="M42" s="75">
        <f>M$4-L42</f>
        <v>124</v>
      </c>
      <c r="N42" s="77">
        <f>$F42-M42</f>
        <v>55</v>
      </c>
      <c r="O42" s="75">
        <f>MOD($O$4,$F42)</f>
        <v>124</v>
      </c>
      <c r="P42" s="77">
        <f>F42-O42</f>
        <v>55</v>
      </c>
      <c r="Q42" s="75">
        <f>MOD(Q$4,$F42)</f>
        <v>69</v>
      </c>
      <c r="R42" s="77">
        <f>$F42-Q42</f>
        <v>110</v>
      </c>
    </row>
    <row r="43" spans="5:18" ht="12.75">
      <c r="E43" s="44" t="s">
        <v>2286</v>
      </c>
      <c r="F43" s="710">
        <v>181</v>
      </c>
      <c r="G43" s="23" t="s">
        <v>2156</v>
      </c>
      <c r="H43" s="511" t="s">
        <v>26</v>
      </c>
      <c r="I43" t="str">
        <f>MID(H43,1,1)</f>
        <v>7</v>
      </c>
      <c r="J43" s="77">
        <f>FIND(I43,G43,1)-1</f>
        <v>18</v>
      </c>
      <c r="K43" s="68">
        <v>4</v>
      </c>
      <c r="L43" s="23">
        <f>K43*F43</f>
        <v>724</v>
      </c>
      <c r="M43" s="75">
        <f>M$4-L43</f>
        <v>116</v>
      </c>
      <c r="N43" s="77">
        <f>$F43-M43</f>
        <v>65</v>
      </c>
      <c r="O43" s="75">
        <f>MOD($O$4,$F43)</f>
        <v>116</v>
      </c>
      <c r="P43" s="77">
        <f>F43-O43</f>
        <v>65</v>
      </c>
      <c r="Q43" s="75">
        <f>MOD(Q$4,$F43)</f>
        <v>51</v>
      </c>
      <c r="R43" s="77">
        <f>$F43-Q43</f>
        <v>130</v>
      </c>
    </row>
    <row r="44" spans="5:18" ht="12.75">
      <c r="E44" s="44" t="s">
        <v>2296</v>
      </c>
      <c r="F44" s="710">
        <v>191</v>
      </c>
      <c r="G44" s="23" t="s">
        <v>2159</v>
      </c>
      <c r="H44" s="511" t="s">
        <v>26</v>
      </c>
      <c r="I44" t="str">
        <f>MID(H44,1,1)</f>
        <v>7</v>
      </c>
      <c r="J44" s="77">
        <f>FIND(I44,G44,1)-1</f>
        <v>19</v>
      </c>
      <c r="K44" s="68">
        <v>4</v>
      </c>
      <c r="L44" s="23">
        <f>K44*F44</f>
        <v>764</v>
      </c>
      <c r="M44" s="75">
        <f>M$4-L44</f>
        <v>76</v>
      </c>
      <c r="N44" s="77">
        <f>$F44-M44</f>
        <v>115</v>
      </c>
      <c r="O44" s="75">
        <f>MOD($O$4,$F44)</f>
        <v>76</v>
      </c>
      <c r="P44" s="77">
        <f>F44-O44</f>
        <v>115</v>
      </c>
      <c r="Q44" s="75">
        <f>MOD(Q$4,$F44)</f>
        <v>152</v>
      </c>
      <c r="R44" s="77">
        <f>$F44-Q44</f>
        <v>39</v>
      </c>
    </row>
    <row r="45" spans="5:18" ht="12.75">
      <c r="E45" s="44" t="s">
        <v>2298</v>
      </c>
      <c r="F45" s="710">
        <v>193</v>
      </c>
      <c r="G45" s="23" t="s">
        <v>2160</v>
      </c>
      <c r="H45" s="511" t="s">
        <v>2045</v>
      </c>
      <c r="I45" t="str">
        <f>MID(H45,1,1)</f>
        <v>b</v>
      </c>
      <c r="J45" s="77">
        <f>FIND(I45,G45,1)-1</f>
        <v>19</v>
      </c>
      <c r="K45" s="68">
        <v>4</v>
      </c>
      <c r="L45" s="23">
        <f>K45*F45</f>
        <v>772</v>
      </c>
      <c r="M45" s="75">
        <f>M$4-L45</f>
        <v>68</v>
      </c>
      <c r="N45" s="77">
        <f>$F45-M45</f>
        <v>125</v>
      </c>
      <c r="O45" s="75">
        <f>MOD($O$4,$F45)</f>
        <v>68</v>
      </c>
      <c r="P45" s="77">
        <f>F45-O45</f>
        <v>125</v>
      </c>
      <c r="Q45" s="75">
        <f>MOD(Q$4,$F45)</f>
        <v>136</v>
      </c>
      <c r="R45" s="77">
        <f>$F45-Q45</f>
        <v>57</v>
      </c>
    </row>
    <row r="46" spans="5:18" ht="12.75">
      <c r="E46" s="44" t="s">
        <v>2302</v>
      </c>
      <c r="F46" s="710">
        <v>197</v>
      </c>
      <c r="G46" s="23" t="s">
        <v>2162</v>
      </c>
      <c r="H46" s="511" t="s">
        <v>2050</v>
      </c>
      <c r="I46" t="str">
        <f>MID(H46,1,1)</f>
        <v>d</v>
      </c>
      <c r="J46" s="77">
        <f>FIND(I46,G46,1)-1</f>
        <v>19</v>
      </c>
      <c r="K46" s="68">
        <v>4</v>
      </c>
      <c r="L46" s="23">
        <f>K46*F46</f>
        <v>788</v>
      </c>
      <c r="M46" s="75">
        <f>M$4-L46</f>
        <v>52</v>
      </c>
      <c r="N46" s="77">
        <f>$F46-M46</f>
        <v>145</v>
      </c>
      <c r="O46" s="75">
        <f>MOD($O$4,$F46)</f>
        <v>52</v>
      </c>
      <c r="P46" s="77">
        <f>F46-O46</f>
        <v>145</v>
      </c>
      <c r="Q46" s="75">
        <f>MOD(Q$4,$F46)</f>
        <v>104</v>
      </c>
      <c r="R46" s="77">
        <f>$F46-Q46</f>
        <v>93</v>
      </c>
    </row>
    <row r="47" spans="5:18" ht="12.75">
      <c r="E47" s="44" t="s">
        <v>2305</v>
      </c>
      <c r="F47" s="710">
        <v>199</v>
      </c>
      <c r="G47" s="23" t="s">
        <v>2163</v>
      </c>
      <c r="H47" s="511" t="s">
        <v>2058</v>
      </c>
      <c r="I47" t="str">
        <f>MID(H47,1,1)</f>
        <v>e</v>
      </c>
      <c r="J47" s="77">
        <f>FIND(I47,G47,1)-1</f>
        <v>19</v>
      </c>
      <c r="K47" s="68">
        <v>4</v>
      </c>
      <c r="L47" s="23">
        <f>K47*F47</f>
        <v>796</v>
      </c>
      <c r="M47" s="75">
        <f>M$4-L47</f>
        <v>44</v>
      </c>
      <c r="N47" s="77">
        <f>$F47-M47</f>
        <v>155</v>
      </c>
      <c r="O47" s="75">
        <f>MOD($O$4,$F47)</f>
        <v>44</v>
      </c>
      <c r="P47" s="77">
        <f>F47-O47</f>
        <v>155</v>
      </c>
      <c r="Q47" s="75">
        <f>MOD(Q$4,$F47)</f>
        <v>88</v>
      </c>
      <c r="R47" s="77">
        <f>$F47-Q47</f>
        <v>111</v>
      </c>
    </row>
    <row r="48" spans="5:18" ht="12.75">
      <c r="E48" s="44" t="s">
        <v>2316</v>
      </c>
      <c r="F48" s="710">
        <v>211</v>
      </c>
      <c r="G48" s="23" t="s">
        <v>2169</v>
      </c>
      <c r="H48" s="511" t="s">
        <v>26</v>
      </c>
      <c r="I48" t="str">
        <f>MID(H48,1,1)</f>
        <v>7</v>
      </c>
      <c r="J48" s="77">
        <f>FIND(I48,G48,1)-1</f>
        <v>21</v>
      </c>
      <c r="K48" s="68">
        <v>3</v>
      </c>
      <c r="L48" s="23">
        <f>K48*F48</f>
        <v>633</v>
      </c>
      <c r="M48" s="75">
        <f>M$4-L48</f>
        <v>207</v>
      </c>
      <c r="N48" s="77">
        <f>$F48-M48</f>
        <v>4</v>
      </c>
      <c r="O48" s="75">
        <f>MOD($O$4,$F48)</f>
        <v>207</v>
      </c>
      <c r="P48" s="77">
        <f>F48-O48</f>
        <v>4</v>
      </c>
      <c r="Q48" s="75">
        <f>MOD(Q$4,$F48)</f>
        <v>203</v>
      </c>
      <c r="R48" s="77">
        <f>$F48-Q48</f>
        <v>8</v>
      </c>
    </row>
    <row r="49" spans="5:18" ht="12.75">
      <c r="E49" s="44" t="s">
        <v>2325</v>
      </c>
      <c r="F49" s="710">
        <v>223</v>
      </c>
      <c r="G49" s="23" t="s">
        <v>2175</v>
      </c>
      <c r="H49" s="511" t="s">
        <v>2045</v>
      </c>
      <c r="I49" t="str">
        <f>MID(H49,1,1)</f>
        <v>b</v>
      </c>
      <c r="J49" s="77">
        <f>FIND(I49,G49,1)-1</f>
        <v>22</v>
      </c>
      <c r="K49" s="68">
        <v>3</v>
      </c>
      <c r="L49" s="23">
        <f>K49*F49</f>
        <v>669</v>
      </c>
      <c r="M49" s="75">
        <f>M$4-L49</f>
        <v>171</v>
      </c>
      <c r="N49" s="77">
        <f>$F49-M49</f>
        <v>52</v>
      </c>
      <c r="O49" s="75">
        <f>MOD($O$4,$F49)</f>
        <v>171</v>
      </c>
      <c r="P49" s="77">
        <f>F49-O49</f>
        <v>52</v>
      </c>
      <c r="Q49" s="75">
        <f>MOD(Q$4,$F49)</f>
        <v>119</v>
      </c>
      <c r="R49" s="77">
        <f>$F49-Q49</f>
        <v>104</v>
      </c>
    </row>
    <row r="50" spans="5:18" ht="12.75">
      <c r="E50" s="44" t="s">
        <v>2328</v>
      </c>
      <c r="F50" s="710">
        <v>227</v>
      </c>
      <c r="G50" s="23" t="s">
        <v>2176</v>
      </c>
      <c r="H50" s="511" t="s">
        <v>2050</v>
      </c>
      <c r="I50" t="str">
        <f>MID(H50,1,1)</f>
        <v>d</v>
      </c>
      <c r="J50" s="77">
        <f>FIND(I50,G50,1)-1</f>
        <v>22</v>
      </c>
      <c r="K50" s="68">
        <v>3</v>
      </c>
      <c r="L50" s="23">
        <f>K50*F50</f>
        <v>681</v>
      </c>
      <c r="M50" s="75">
        <f>M$4-L50</f>
        <v>159</v>
      </c>
      <c r="N50" s="77">
        <f>$F50-M50</f>
        <v>68</v>
      </c>
      <c r="O50" s="75">
        <f>MOD($O$4,$F50)</f>
        <v>159</v>
      </c>
      <c r="P50" s="77">
        <f>F50-O50</f>
        <v>68</v>
      </c>
      <c r="Q50" s="75">
        <f>MOD(Q$4,$F50)</f>
        <v>91</v>
      </c>
      <c r="R50" s="77">
        <f>$F50-Q50</f>
        <v>136</v>
      </c>
    </row>
    <row r="51" spans="5:18" ht="12.75">
      <c r="E51" s="44" t="s">
        <v>2330</v>
      </c>
      <c r="F51" s="710">
        <v>229</v>
      </c>
      <c r="G51" s="23" t="s">
        <v>2177</v>
      </c>
      <c r="H51" s="511" t="s">
        <v>2058</v>
      </c>
      <c r="I51" t="str">
        <f>MID(H51,1,1)</f>
        <v>e</v>
      </c>
      <c r="J51" s="77">
        <f>FIND(I51,G51,1)-1</f>
        <v>22</v>
      </c>
      <c r="K51" s="68">
        <v>3</v>
      </c>
      <c r="L51" s="23">
        <f>K51*F51</f>
        <v>687</v>
      </c>
      <c r="M51" s="75">
        <f>M$4-L51</f>
        <v>153</v>
      </c>
      <c r="N51" s="77">
        <f>$F51-M51</f>
        <v>76</v>
      </c>
      <c r="O51" s="75">
        <f>MOD($O$4,$F51)</f>
        <v>153</v>
      </c>
      <c r="P51" s="77">
        <f>F51-O51</f>
        <v>76</v>
      </c>
      <c r="Q51" s="75">
        <f>MOD(Q$4,$F51)</f>
        <v>77</v>
      </c>
      <c r="R51" s="77">
        <f>$F51-Q51</f>
        <v>152</v>
      </c>
    </row>
    <row r="52" spans="5:18" ht="12.75">
      <c r="E52" s="44" t="s">
        <v>2332</v>
      </c>
      <c r="F52" s="710">
        <v>233</v>
      </c>
      <c r="G52" s="23" t="s">
        <v>2179</v>
      </c>
      <c r="H52" s="511" t="s">
        <v>2045</v>
      </c>
      <c r="I52" t="str">
        <f>MID(H52,1,1)</f>
        <v>b</v>
      </c>
      <c r="J52" s="77">
        <f>FIND(I52,G52,1)-1</f>
        <v>23</v>
      </c>
      <c r="K52" s="68">
        <v>3</v>
      </c>
      <c r="L52" s="23">
        <f>K52*F52</f>
        <v>699</v>
      </c>
      <c r="M52" s="75">
        <f>M$4-L52</f>
        <v>141</v>
      </c>
      <c r="N52" s="77">
        <f>$F52-M52</f>
        <v>92</v>
      </c>
      <c r="O52" s="75">
        <f>MOD($O$4,$F52)</f>
        <v>141</v>
      </c>
      <c r="P52" s="77">
        <f>F52-O52</f>
        <v>92</v>
      </c>
      <c r="Q52" s="75">
        <f>MOD(Q$4,$F52)</f>
        <v>49</v>
      </c>
      <c r="R52" s="77">
        <f>$F52-Q52</f>
        <v>184</v>
      </c>
    </row>
    <row r="53" spans="5:18" ht="12.75">
      <c r="E53" s="44" t="s">
        <v>2337</v>
      </c>
      <c r="F53" s="710">
        <v>239</v>
      </c>
      <c r="G53" s="23" t="s">
        <v>2182</v>
      </c>
      <c r="H53" s="511" t="s">
        <v>2058</v>
      </c>
      <c r="I53" t="str">
        <f>MID(H53,1,1)</f>
        <v>e</v>
      </c>
      <c r="J53" s="77">
        <f>FIND(I53,G53,1)-1</f>
        <v>23</v>
      </c>
      <c r="K53" s="68">
        <v>3</v>
      </c>
      <c r="L53" s="23">
        <f>K53*F53</f>
        <v>717</v>
      </c>
      <c r="M53" s="75">
        <f>M$4-L53</f>
        <v>123</v>
      </c>
      <c r="N53" s="77">
        <f>$F53-M53</f>
        <v>116</v>
      </c>
      <c r="O53" s="75">
        <f>MOD($O$4,$F53)</f>
        <v>123</v>
      </c>
      <c r="P53" s="77">
        <f>F53-O53</f>
        <v>116</v>
      </c>
      <c r="Q53" s="75">
        <f>MOD(Q$4,$F53)</f>
        <v>7</v>
      </c>
      <c r="R53" s="77">
        <f>$F53-Q53</f>
        <v>232</v>
      </c>
    </row>
    <row r="54" spans="5:18" ht="12.75">
      <c r="E54" s="44" t="s">
        <v>2340</v>
      </c>
      <c r="F54" s="710">
        <v>241</v>
      </c>
      <c r="G54" s="23" t="s">
        <v>2183</v>
      </c>
      <c r="H54" s="511" t="s">
        <v>26</v>
      </c>
      <c r="I54" t="str">
        <f>MID(H54,1,1)</f>
        <v>7</v>
      </c>
      <c r="J54" s="77">
        <f>FIND(I54,G54,1)-1</f>
        <v>24</v>
      </c>
      <c r="K54" s="68">
        <v>3</v>
      </c>
      <c r="L54" s="23">
        <f>K54*F54</f>
        <v>723</v>
      </c>
      <c r="M54" s="75">
        <f>M$4-L54</f>
        <v>117</v>
      </c>
      <c r="N54" s="77">
        <f>$F54-M54</f>
        <v>124</v>
      </c>
      <c r="O54" s="75">
        <f>MOD($O$4,$F54)</f>
        <v>117</v>
      </c>
      <c r="P54" s="77">
        <f>F54-O54</f>
        <v>124</v>
      </c>
      <c r="Q54" s="75">
        <f>MOD(Q$4,$F54)</f>
        <v>234</v>
      </c>
      <c r="R54" s="77">
        <f>$F54-Q54</f>
        <v>7</v>
      </c>
    </row>
    <row r="55" spans="5:18" ht="12.75">
      <c r="E55" s="44" t="s">
        <v>2349</v>
      </c>
      <c r="F55" s="710">
        <v>251</v>
      </c>
      <c r="G55" s="23" t="s">
        <v>2186</v>
      </c>
      <c r="H55" s="511" t="s">
        <v>26</v>
      </c>
      <c r="I55" t="str">
        <f>MID(H55,1,1)</f>
        <v>7</v>
      </c>
      <c r="J55" s="77">
        <f>FIND(I55,G55,1)-1</f>
        <v>25</v>
      </c>
      <c r="K55" s="68">
        <v>3</v>
      </c>
      <c r="L55" s="23">
        <f>K55*F55</f>
        <v>753</v>
      </c>
      <c r="M55" s="75">
        <f>M$4-L55</f>
        <v>87</v>
      </c>
      <c r="N55" s="77">
        <f>$F55-M55</f>
        <v>164</v>
      </c>
      <c r="O55" s="75">
        <f>MOD($O$4,$F55)</f>
        <v>87</v>
      </c>
      <c r="P55" s="77">
        <f>F55-O55</f>
        <v>164</v>
      </c>
      <c r="Q55" s="75">
        <f>MOD(Q$4,$F55)</f>
        <v>174</v>
      </c>
      <c r="R55" s="77">
        <f>$F55-Q55</f>
        <v>77</v>
      </c>
    </row>
    <row r="56" spans="5:18" ht="12.75">
      <c r="E56" s="44" t="s">
        <v>2353</v>
      </c>
      <c r="F56" s="710">
        <v>257</v>
      </c>
      <c r="G56" s="23" t="s">
        <v>2188</v>
      </c>
      <c r="H56" s="511" t="s">
        <v>2050</v>
      </c>
      <c r="I56" t="str">
        <f>MID(H56,1,1)</f>
        <v>d</v>
      </c>
      <c r="J56" s="77">
        <f>FIND(I56,G56,1)-1</f>
        <v>25</v>
      </c>
      <c r="K56" s="68">
        <v>3</v>
      </c>
      <c r="L56" s="23">
        <f>K56*F56</f>
        <v>771</v>
      </c>
      <c r="M56" s="75">
        <f>M$4-L56</f>
        <v>69</v>
      </c>
      <c r="N56" s="77">
        <f>$F56-M56</f>
        <v>188</v>
      </c>
      <c r="O56" s="75">
        <f>MOD($O$4,$F56)</f>
        <v>69</v>
      </c>
      <c r="P56" s="77">
        <f>F56-O56</f>
        <v>188</v>
      </c>
      <c r="Q56" s="75">
        <f>MOD(Q$4,$F56)</f>
        <v>138</v>
      </c>
      <c r="R56" s="77">
        <f>$F56-Q56</f>
        <v>119</v>
      </c>
    </row>
    <row r="57" spans="5:18" ht="12.75">
      <c r="E57" s="44" t="s">
        <v>2360</v>
      </c>
      <c r="F57" s="710">
        <v>263</v>
      </c>
      <c r="G57" s="23" t="s">
        <v>2193</v>
      </c>
      <c r="H57" s="511" t="s">
        <v>2045</v>
      </c>
      <c r="I57" t="str">
        <f>MID(H57,1,1)</f>
        <v>b</v>
      </c>
      <c r="J57" s="77">
        <f>FIND(I57,G57,1)-1</f>
        <v>26</v>
      </c>
      <c r="K57" s="68">
        <v>3</v>
      </c>
      <c r="L57" s="23">
        <f>K57*F57</f>
        <v>789</v>
      </c>
      <c r="M57" s="75">
        <f>M$4-L57</f>
        <v>51</v>
      </c>
      <c r="N57" s="77">
        <f>$F57-M57</f>
        <v>212</v>
      </c>
      <c r="O57" s="75">
        <f>MOD($O$4,$F57)</f>
        <v>51</v>
      </c>
      <c r="P57" s="77">
        <f>F57-O57</f>
        <v>212</v>
      </c>
      <c r="Q57" s="75">
        <f>MOD(Q$4,$F57)</f>
        <v>102</v>
      </c>
      <c r="R57" s="77">
        <f>$F57-Q57</f>
        <v>161</v>
      </c>
    </row>
    <row r="58" spans="5:18" ht="12.75">
      <c r="E58" s="44" t="s">
        <v>2363</v>
      </c>
      <c r="F58" s="710">
        <v>269</v>
      </c>
      <c r="G58" s="23" t="s">
        <v>2197</v>
      </c>
      <c r="H58" s="511" t="s">
        <v>2058</v>
      </c>
      <c r="I58" t="str">
        <f>MID(H58,1,1)</f>
        <v>e</v>
      </c>
      <c r="J58" s="77">
        <f>FIND(I58,G58,1)-1</f>
        <v>26</v>
      </c>
      <c r="K58" s="68">
        <v>3</v>
      </c>
      <c r="L58" s="23">
        <f>K58*F58</f>
        <v>807</v>
      </c>
      <c r="M58" s="75">
        <f>M$4-L58</f>
        <v>33</v>
      </c>
      <c r="N58" s="77">
        <f>$F58-M58</f>
        <v>236</v>
      </c>
      <c r="O58" s="75">
        <f>MOD($O$4,$F58)</f>
        <v>33</v>
      </c>
      <c r="P58" s="77">
        <f>F58-O58</f>
        <v>236</v>
      </c>
      <c r="Q58" s="75">
        <f>MOD(Q$4,$F58)</f>
        <v>66</v>
      </c>
      <c r="R58" s="77">
        <f>$F58-Q58</f>
        <v>203</v>
      </c>
    </row>
    <row r="59" spans="5:18" ht="12.75">
      <c r="E59" s="44" t="s">
        <v>2366</v>
      </c>
      <c r="F59" s="710">
        <v>271</v>
      </c>
      <c r="G59" s="23" t="s">
        <v>2198</v>
      </c>
      <c r="H59" s="511" t="s">
        <v>26</v>
      </c>
      <c r="I59" t="str">
        <f>MID(H59,1,1)</f>
        <v>7</v>
      </c>
      <c r="J59" s="77">
        <f>FIND(I59,G59,1)-1</f>
        <v>27</v>
      </c>
      <c r="K59" s="68">
        <v>3</v>
      </c>
      <c r="L59" s="23">
        <f>K59*F59</f>
        <v>813</v>
      </c>
      <c r="M59" s="75">
        <f>M$4-L59</f>
        <v>27</v>
      </c>
      <c r="N59" s="77">
        <f>$F59-M59</f>
        <v>244</v>
      </c>
      <c r="O59" s="75">
        <f>MOD($O$4,$F59)</f>
        <v>27</v>
      </c>
      <c r="P59" s="77">
        <f>F59-O59</f>
        <v>244</v>
      </c>
      <c r="Q59" s="75">
        <f>MOD(Q$4,$F59)</f>
        <v>54</v>
      </c>
      <c r="R59" s="77">
        <f>$F59-Q59</f>
        <v>217</v>
      </c>
    </row>
    <row r="60" spans="5:18" ht="12.75">
      <c r="E60" s="44" t="s">
        <v>2373</v>
      </c>
      <c r="F60" s="710">
        <v>277</v>
      </c>
      <c r="G60" s="23" t="s">
        <v>2199</v>
      </c>
      <c r="H60" s="511" t="s">
        <v>2050</v>
      </c>
      <c r="I60" t="str">
        <f>MID(H60,1,1)</f>
        <v>d</v>
      </c>
      <c r="J60" s="77">
        <f>FIND(I60,G60,1)-1</f>
        <v>27</v>
      </c>
      <c r="K60" s="68">
        <v>3</v>
      </c>
      <c r="L60" s="23">
        <f>K60*F60</f>
        <v>831</v>
      </c>
      <c r="M60" s="75">
        <f>M$4-L60</f>
        <v>9</v>
      </c>
      <c r="N60" s="77">
        <f>$F60-M60</f>
        <v>268</v>
      </c>
      <c r="O60" s="75">
        <f>MOD($O$4,$F60)</f>
        <v>9</v>
      </c>
      <c r="P60" s="77">
        <f>F60-O60</f>
        <v>268</v>
      </c>
      <c r="Q60" s="75">
        <f>MOD(Q$4,$F60)</f>
        <v>18</v>
      </c>
      <c r="R60" s="77">
        <f>$F60-Q60</f>
        <v>259</v>
      </c>
    </row>
    <row r="61" spans="5:18" ht="12.75">
      <c r="E61" s="44" t="s">
        <v>2375</v>
      </c>
      <c r="F61" s="710">
        <v>281</v>
      </c>
      <c r="G61" s="23" t="s">
        <v>2201</v>
      </c>
      <c r="H61" s="511" t="s">
        <v>26</v>
      </c>
      <c r="I61" t="str">
        <f>MID(H61,1,1)</f>
        <v>7</v>
      </c>
      <c r="J61" s="77">
        <f>FIND(I61,G61,1)-1</f>
        <v>28</v>
      </c>
      <c r="K61" s="68">
        <v>2</v>
      </c>
      <c r="L61" s="23">
        <f>K61*F61</f>
        <v>562</v>
      </c>
      <c r="M61" s="75">
        <f>M$4-L61</f>
        <v>278</v>
      </c>
      <c r="N61" s="77">
        <f>$F61-M61</f>
        <v>3</v>
      </c>
      <c r="O61" s="75">
        <f>MOD($O$4,$F61)</f>
        <v>278</v>
      </c>
      <c r="P61" s="77">
        <f>F61-O61</f>
        <v>3</v>
      </c>
      <c r="Q61" s="75">
        <f>MOD(Q$4,$F61)</f>
        <v>275</v>
      </c>
      <c r="R61" s="77">
        <f>$F61-Q61</f>
        <v>6</v>
      </c>
    </row>
    <row r="62" spans="5:18" ht="12.75">
      <c r="E62" s="44" t="s">
        <v>2376</v>
      </c>
      <c r="F62" s="710">
        <v>283</v>
      </c>
      <c r="G62" s="23" t="s">
        <v>2203</v>
      </c>
      <c r="H62" s="511" t="s">
        <v>2045</v>
      </c>
      <c r="I62" t="str">
        <f>MID(H62,1,1)</f>
        <v>b</v>
      </c>
      <c r="J62" s="77">
        <f>FIND(I62,G62,1)-1</f>
        <v>28</v>
      </c>
      <c r="K62" s="68">
        <v>2</v>
      </c>
      <c r="L62" s="23">
        <f>K62*F62</f>
        <v>566</v>
      </c>
      <c r="M62" s="75">
        <f>M$4-L62</f>
        <v>274</v>
      </c>
      <c r="N62" s="77">
        <f>$F62-M62</f>
        <v>9</v>
      </c>
      <c r="O62" s="75">
        <f>MOD($O$4,$F62)</f>
        <v>274</v>
      </c>
      <c r="P62" s="77">
        <f>F62-O62</f>
        <v>9</v>
      </c>
      <c r="Q62" s="75">
        <f>MOD(Q$4,$F62)</f>
        <v>265</v>
      </c>
      <c r="R62" s="77">
        <f>$F62-Q62</f>
        <v>18</v>
      </c>
    </row>
    <row r="63" spans="5:18" ht="12.75">
      <c r="E63" s="44" t="s">
        <v>2378</v>
      </c>
      <c r="F63" s="710">
        <v>293</v>
      </c>
      <c r="G63" s="23" t="s">
        <v>2206</v>
      </c>
      <c r="H63" s="511" t="s">
        <v>2045</v>
      </c>
      <c r="I63" t="str">
        <f>MID(H63,1,1)</f>
        <v>b</v>
      </c>
      <c r="J63" s="77">
        <f>FIND(I63,G63,1)-1</f>
        <v>29</v>
      </c>
      <c r="K63" s="68">
        <v>2</v>
      </c>
      <c r="L63" s="23">
        <f>K63*F63</f>
        <v>586</v>
      </c>
      <c r="M63" s="75">
        <f>M$4-L63</f>
        <v>254</v>
      </c>
      <c r="N63" s="77">
        <f>$F63-M63</f>
        <v>39</v>
      </c>
      <c r="O63" s="75">
        <f>MOD($O$4,$F63)</f>
        <v>254</v>
      </c>
      <c r="P63" s="77">
        <f>F63-O63</f>
        <v>39</v>
      </c>
      <c r="Q63" s="75">
        <f>MOD(Q$4,$F63)</f>
        <v>215</v>
      </c>
      <c r="R63" s="77">
        <f>$F63-Q63</f>
        <v>78</v>
      </c>
    </row>
    <row r="64" spans="5:18" ht="12.75">
      <c r="E64" s="44" t="s">
        <v>2380</v>
      </c>
      <c r="F64" s="710">
        <v>307</v>
      </c>
      <c r="G64" s="23" t="s">
        <v>2210</v>
      </c>
      <c r="H64" s="511" t="s">
        <v>2050</v>
      </c>
      <c r="I64" t="str">
        <f>MID(H64,1,1)</f>
        <v>d</v>
      </c>
      <c r="J64" s="77">
        <f>FIND(I64,G64,1)-1</f>
        <v>30</v>
      </c>
      <c r="K64" s="68">
        <v>2</v>
      </c>
      <c r="L64" s="23">
        <f>K64*F64</f>
        <v>614</v>
      </c>
      <c r="M64" s="75">
        <f>M$4-L64</f>
        <v>226</v>
      </c>
      <c r="N64" s="77">
        <f>$F64-M64</f>
        <v>81</v>
      </c>
      <c r="O64" s="75">
        <f>MOD($O$4,$F64)</f>
        <v>226</v>
      </c>
      <c r="P64" s="77">
        <f>F64-O64</f>
        <v>81</v>
      </c>
      <c r="Q64" s="75">
        <f>MOD(Q$4,$F64)</f>
        <v>145</v>
      </c>
      <c r="R64" s="77">
        <f>$F64-Q64</f>
        <v>162</v>
      </c>
    </row>
    <row r="65" spans="5:18" ht="12.75">
      <c r="E65" s="44" t="s">
        <v>2383</v>
      </c>
      <c r="F65" s="710">
        <v>311</v>
      </c>
      <c r="G65" s="23" t="s">
        <v>2212</v>
      </c>
      <c r="H65" s="511" t="s">
        <v>26</v>
      </c>
      <c r="I65" t="str">
        <f>MID(H65,1,1)</f>
        <v>7</v>
      </c>
      <c r="J65" s="77">
        <f>FIND(I65,G65,1)-1</f>
        <v>31</v>
      </c>
      <c r="K65" s="68">
        <v>2</v>
      </c>
      <c r="L65" s="23">
        <f>K65*F65</f>
        <v>622</v>
      </c>
      <c r="M65" s="75">
        <f>M$4-L65</f>
        <v>218</v>
      </c>
      <c r="N65" s="77">
        <f>$F65-M65</f>
        <v>93</v>
      </c>
      <c r="O65" s="75">
        <f>MOD($O$4,$F65)</f>
        <v>218</v>
      </c>
      <c r="P65" s="77">
        <f>F65-O65</f>
        <v>93</v>
      </c>
      <c r="Q65" s="75">
        <f>MOD(Q$4,$F65)</f>
        <v>125</v>
      </c>
      <c r="R65" s="77">
        <f>$F65-Q65</f>
        <v>186</v>
      </c>
    </row>
    <row r="66" spans="5:18" ht="12.75">
      <c r="E66" s="44" t="s">
        <v>2385</v>
      </c>
      <c r="F66" s="710">
        <v>313</v>
      </c>
      <c r="G66" s="23" t="s">
        <v>2213</v>
      </c>
      <c r="H66" s="511" t="s">
        <v>2045</v>
      </c>
      <c r="I66" t="str">
        <f>MID(H66,1,1)</f>
        <v>b</v>
      </c>
      <c r="J66" s="77">
        <f>FIND(I66,G66,1)-1</f>
        <v>31</v>
      </c>
      <c r="K66" s="68">
        <v>2</v>
      </c>
      <c r="L66" s="23">
        <f>K66*F66</f>
        <v>626</v>
      </c>
      <c r="M66" s="75">
        <f>M$4-L66</f>
        <v>214</v>
      </c>
      <c r="N66" s="77">
        <f>$F66-M66</f>
        <v>99</v>
      </c>
      <c r="O66" s="75">
        <f>MOD($O$4,$F66)</f>
        <v>214</v>
      </c>
      <c r="P66" s="77">
        <f>F66-O66</f>
        <v>99</v>
      </c>
      <c r="Q66" s="75">
        <f>MOD(Q$4,$F66)</f>
        <v>115</v>
      </c>
      <c r="R66" s="77">
        <f>$F66-Q66</f>
        <v>198</v>
      </c>
    </row>
    <row r="67" spans="5:18" ht="12.75">
      <c r="E67" s="44" t="s">
        <v>2386</v>
      </c>
      <c r="F67" s="710">
        <v>317</v>
      </c>
      <c r="G67" s="23" t="s">
        <v>2214</v>
      </c>
      <c r="H67" s="511" t="s">
        <v>2050</v>
      </c>
      <c r="I67" t="str">
        <f>MID(H67,1,1)</f>
        <v>d</v>
      </c>
      <c r="J67" s="77">
        <f>FIND(I67,G67,1)-1</f>
        <v>31</v>
      </c>
      <c r="K67" s="68">
        <v>2</v>
      </c>
      <c r="L67" s="23">
        <f>K67*F67</f>
        <v>634</v>
      </c>
      <c r="M67" s="75">
        <f>M$4-L67</f>
        <v>206</v>
      </c>
      <c r="N67" s="77">
        <f>$F67-M67</f>
        <v>111</v>
      </c>
      <c r="O67" s="75">
        <f>MOD($O$4,$F67)</f>
        <v>206</v>
      </c>
      <c r="P67" s="77">
        <f>F67-O67</f>
        <v>111</v>
      </c>
      <c r="Q67" s="75">
        <f>MOD(Q$4,$F67)</f>
        <v>95</v>
      </c>
      <c r="R67" s="77">
        <f>$F67-Q67</f>
        <v>222</v>
      </c>
    </row>
    <row r="68" spans="5:18" ht="12.75">
      <c r="E68" s="44" t="s">
        <v>2389</v>
      </c>
      <c r="F68" s="710">
        <v>331</v>
      </c>
      <c r="G68" s="23" t="s">
        <v>2217</v>
      </c>
      <c r="H68" s="511" t="s">
        <v>26</v>
      </c>
      <c r="I68" t="str">
        <f>MID(H68,1,1)</f>
        <v>7</v>
      </c>
      <c r="J68" s="77">
        <f>FIND(I68,G68,1)-1</f>
        <v>33</v>
      </c>
      <c r="K68" s="68">
        <v>2</v>
      </c>
      <c r="L68" s="23">
        <f>K68*F68</f>
        <v>662</v>
      </c>
      <c r="M68" s="75">
        <f>M$4-L68</f>
        <v>178</v>
      </c>
      <c r="N68" s="77">
        <f>$F68-M68</f>
        <v>153</v>
      </c>
      <c r="O68" s="75">
        <f>MOD($O$4,$F68)</f>
        <v>178</v>
      </c>
      <c r="P68" s="77">
        <f>F68-O68</f>
        <v>153</v>
      </c>
      <c r="Q68" s="75">
        <f>MOD(Q$4,$F68)</f>
        <v>25</v>
      </c>
      <c r="R68" s="77">
        <f>$F68-Q68</f>
        <v>306</v>
      </c>
    </row>
    <row r="69" spans="5:18" ht="12.75">
      <c r="E69" s="44" t="s">
        <v>2390</v>
      </c>
      <c r="F69" s="710">
        <v>337</v>
      </c>
      <c r="G69" s="23" t="s">
        <v>2219</v>
      </c>
      <c r="H69" s="511" t="s">
        <v>2050</v>
      </c>
      <c r="I69" t="str">
        <f>MID(H69,1,1)</f>
        <v>d</v>
      </c>
      <c r="J69" s="77">
        <f>FIND(I69,G69,1)-1</f>
        <v>33</v>
      </c>
      <c r="K69" s="68">
        <v>2</v>
      </c>
      <c r="L69" s="23">
        <f>K69*F69</f>
        <v>674</v>
      </c>
      <c r="M69" s="75">
        <f>M$4-L69</f>
        <v>166</v>
      </c>
      <c r="N69" s="77">
        <f>$F69-M69</f>
        <v>171</v>
      </c>
      <c r="O69" s="75">
        <f>MOD($O$4,$F69)</f>
        <v>166</v>
      </c>
      <c r="P69" s="77">
        <f>F69-O69</f>
        <v>171</v>
      </c>
      <c r="Q69" s="75">
        <f>MOD(Q$4,$F69)</f>
        <v>332</v>
      </c>
      <c r="R69" s="77">
        <f>$F69-Q69</f>
        <v>5</v>
      </c>
    </row>
    <row r="70" spans="5:18" ht="12.75">
      <c r="E70" s="44" t="s">
        <v>2392</v>
      </c>
      <c r="F70" s="710">
        <v>347</v>
      </c>
      <c r="G70" s="23" t="s">
        <v>2224</v>
      </c>
      <c r="H70" s="511" t="s">
        <v>2050</v>
      </c>
      <c r="I70" t="str">
        <f>MID(H70,1,1)</f>
        <v>d</v>
      </c>
      <c r="J70" s="77">
        <f>FIND(I70,G70,1)-1</f>
        <v>34</v>
      </c>
      <c r="K70" s="68">
        <v>2</v>
      </c>
      <c r="L70" s="23">
        <f>K70*F70</f>
        <v>694</v>
      </c>
      <c r="M70" s="75">
        <f>M$4-L70</f>
        <v>146</v>
      </c>
      <c r="N70" s="77">
        <f>$F70-M70</f>
        <v>201</v>
      </c>
      <c r="O70" s="75">
        <f>MOD($O$4,$F70)</f>
        <v>146</v>
      </c>
      <c r="P70" s="77">
        <f>F70-O70</f>
        <v>201</v>
      </c>
      <c r="Q70" s="75">
        <f>MOD(Q$4,$F70)</f>
        <v>292</v>
      </c>
      <c r="R70" s="77">
        <f>$F70-Q70</f>
        <v>55</v>
      </c>
    </row>
    <row r="71" spans="5:18" ht="12.75">
      <c r="E71" s="44" t="s">
        <v>2393</v>
      </c>
      <c r="F71" s="710">
        <v>349</v>
      </c>
      <c r="G71" s="23" t="s">
        <v>2227</v>
      </c>
      <c r="H71" s="511" t="s">
        <v>2058</v>
      </c>
      <c r="I71" t="str">
        <f>MID(H71,1,1)</f>
        <v>e</v>
      </c>
      <c r="J71" s="77">
        <f>FIND(I71,G71,1)-1</f>
        <v>34</v>
      </c>
      <c r="K71" s="68">
        <v>2</v>
      </c>
      <c r="L71" s="23">
        <f>K71*F71</f>
        <v>698</v>
      </c>
      <c r="M71" s="75">
        <f>M$4-L71</f>
        <v>142</v>
      </c>
      <c r="N71" s="77">
        <f>$F71-M71</f>
        <v>207</v>
      </c>
      <c r="O71" s="75">
        <f>MOD($O$4,$F71)</f>
        <v>142</v>
      </c>
      <c r="P71" s="77">
        <f>F71-O71</f>
        <v>207</v>
      </c>
      <c r="Q71" s="75">
        <f>MOD(Q$4,$F71)</f>
        <v>284</v>
      </c>
      <c r="R71" s="77">
        <f>$F71-Q71</f>
        <v>65</v>
      </c>
    </row>
    <row r="72" spans="5:18" ht="12.75">
      <c r="E72" s="44" t="s">
        <v>2394</v>
      </c>
      <c r="F72" s="710">
        <v>353</v>
      </c>
      <c r="G72" s="23" t="s">
        <v>2228</v>
      </c>
      <c r="H72" s="511" t="s">
        <v>2045</v>
      </c>
      <c r="I72" t="str">
        <f>MID(H72,1,1)</f>
        <v>b</v>
      </c>
      <c r="J72" s="77">
        <f>FIND(I72,G72,1)-1</f>
        <v>35</v>
      </c>
      <c r="K72" s="68">
        <v>2</v>
      </c>
      <c r="L72" s="23">
        <f>K72*F72</f>
        <v>706</v>
      </c>
      <c r="M72" s="75">
        <f>M$4-L72</f>
        <v>134</v>
      </c>
      <c r="N72" s="77">
        <f>$F72-M72</f>
        <v>219</v>
      </c>
      <c r="O72" s="75">
        <f>MOD($O$4,$F72)</f>
        <v>134</v>
      </c>
      <c r="P72" s="77">
        <f>F72-O72</f>
        <v>219</v>
      </c>
      <c r="Q72" s="75">
        <f>MOD(Q$4,$F72)</f>
        <v>268</v>
      </c>
      <c r="R72" s="77">
        <f>$F72-Q72</f>
        <v>85</v>
      </c>
    </row>
    <row r="73" spans="5:18" ht="12.75">
      <c r="E73" s="44" t="s">
        <v>2396</v>
      </c>
      <c r="F73" s="710">
        <v>359</v>
      </c>
      <c r="G73" s="23" t="s">
        <v>2229</v>
      </c>
      <c r="H73" s="511" t="s">
        <v>2058</v>
      </c>
      <c r="I73" t="str">
        <f>MID(H73,1,1)</f>
        <v>e</v>
      </c>
      <c r="J73" s="77">
        <f>FIND(I73,G73,1)-1</f>
        <v>35</v>
      </c>
      <c r="K73" s="68">
        <v>2</v>
      </c>
      <c r="L73" s="23">
        <f>K73*F73</f>
        <v>718</v>
      </c>
      <c r="M73" s="75">
        <f>M$4-L73</f>
        <v>122</v>
      </c>
      <c r="N73" s="77">
        <f>$F73-M73</f>
        <v>237</v>
      </c>
      <c r="O73" s="75">
        <f>MOD($O$4,$F73)</f>
        <v>122</v>
      </c>
      <c r="P73" s="77">
        <f>F73-O73</f>
        <v>237</v>
      </c>
      <c r="Q73" s="75">
        <f>MOD(Q$4,$F73)</f>
        <v>244</v>
      </c>
      <c r="R73" s="77">
        <f>$F73-Q73</f>
        <v>115</v>
      </c>
    </row>
    <row r="74" spans="5:18" ht="12.75">
      <c r="E74" s="44" t="s">
        <v>2398</v>
      </c>
      <c r="F74" s="710">
        <v>367</v>
      </c>
      <c r="G74" s="23" t="s">
        <v>2231</v>
      </c>
      <c r="H74" s="511" t="s">
        <v>2050</v>
      </c>
      <c r="I74" t="str">
        <f>MID(H74,1,1)</f>
        <v>d</v>
      </c>
      <c r="J74" s="77">
        <f>FIND(I74,G74,1)-1</f>
        <v>36</v>
      </c>
      <c r="K74" s="68">
        <v>2</v>
      </c>
      <c r="L74" s="23">
        <f>K74*F74</f>
        <v>734</v>
      </c>
      <c r="M74" s="75">
        <f>M$4-L74</f>
        <v>106</v>
      </c>
      <c r="N74" s="77">
        <f>$F74-M74</f>
        <v>261</v>
      </c>
      <c r="O74" s="75">
        <f>MOD($O$4,$F74)</f>
        <v>106</v>
      </c>
      <c r="P74" s="77">
        <f>F74-O74</f>
        <v>261</v>
      </c>
      <c r="Q74" s="75">
        <f>MOD(Q$4,$F74)</f>
        <v>212</v>
      </c>
      <c r="R74" s="77">
        <f>$F74-Q74</f>
        <v>155</v>
      </c>
    </row>
    <row r="75" spans="5:18" ht="12.75">
      <c r="E75" s="44" t="s">
        <v>2400</v>
      </c>
      <c r="F75" s="710">
        <v>373</v>
      </c>
      <c r="G75" s="23" t="s">
        <v>2232</v>
      </c>
      <c r="H75" s="511" t="s">
        <v>2045</v>
      </c>
      <c r="I75" t="str">
        <f>MID(H75,1,1)</f>
        <v>b</v>
      </c>
      <c r="J75" s="77">
        <f>FIND(I75,G75,1)-1</f>
        <v>37</v>
      </c>
      <c r="K75" s="68">
        <v>2</v>
      </c>
      <c r="L75" s="23">
        <f>K75*F75</f>
        <v>746</v>
      </c>
      <c r="M75" s="75">
        <f>M$4-L75</f>
        <v>94</v>
      </c>
      <c r="N75" s="77">
        <f>$F75-M75</f>
        <v>279</v>
      </c>
      <c r="O75" s="75">
        <f>MOD($O$4,$F75)</f>
        <v>94</v>
      </c>
      <c r="P75" s="77">
        <f>F75-O75</f>
        <v>279</v>
      </c>
      <c r="Q75" s="75">
        <f>MOD(Q$4,$F75)</f>
        <v>188</v>
      </c>
      <c r="R75" s="77">
        <f>$F75-Q75</f>
        <v>185</v>
      </c>
    </row>
    <row r="76" spans="5:18" ht="12.75">
      <c r="E76" s="44" t="s">
        <v>2401</v>
      </c>
      <c r="F76" s="710">
        <v>379</v>
      </c>
      <c r="G76" s="23" t="s">
        <v>2235</v>
      </c>
      <c r="H76" s="511" t="s">
        <v>2058</v>
      </c>
      <c r="I76" t="str">
        <f>MID(H76,1,1)</f>
        <v>e</v>
      </c>
      <c r="J76" s="77">
        <f>FIND(I76,G76,1)-1</f>
        <v>37</v>
      </c>
      <c r="K76" s="68">
        <v>2</v>
      </c>
      <c r="L76" s="23">
        <f>K76*F76</f>
        <v>758</v>
      </c>
      <c r="M76" s="75">
        <f>M$4-L76</f>
        <v>82</v>
      </c>
      <c r="N76" s="77">
        <f>$F76-M76</f>
        <v>297</v>
      </c>
      <c r="O76" s="75">
        <f>MOD($O$4,$F76)</f>
        <v>82</v>
      </c>
      <c r="P76" s="77">
        <f>F76-O76</f>
        <v>297</v>
      </c>
      <c r="Q76" s="75">
        <f>MOD(Q$4,$F76)</f>
        <v>164</v>
      </c>
      <c r="R76" s="77">
        <f>$F76-Q76</f>
        <v>215</v>
      </c>
    </row>
    <row r="77" spans="5:18" ht="12.75">
      <c r="E77" s="44" t="s">
        <v>2402</v>
      </c>
      <c r="F77" s="710">
        <v>383</v>
      </c>
      <c r="G77" s="23" t="s">
        <v>2238</v>
      </c>
      <c r="H77" s="511" t="s">
        <v>2045</v>
      </c>
      <c r="I77" t="str">
        <f>MID(H77,1,1)</f>
        <v>b</v>
      </c>
      <c r="J77" s="77">
        <f>FIND(I77,G77,1)-1</f>
        <v>38</v>
      </c>
      <c r="K77" s="68">
        <v>2</v>
      </c>
      <c r="L77" s="23">
        <f>K77*F77</f>
        <v>766</v>
      </c>
      <c r="M77" s="75">
        <f>M$4-L77</f>
        <v>74</v>
      </c>
      <c r="N77" s="77">
        <f>$F77-M77</f>
        <v>309</v>
      </c>
      <c r="O77" s="75">
        <f>MOD($O$4,$F77)</f>
        <v>74</v>
      </c>
      <c r="P77" s="77">
        <f>F77-O77</f>
        <v>309</v>
      </c>
      <c r="Q77" s="75">
        <f>MOD(Q$4,$F77)</f>
        <v>148</v>
      </c>
      <c r="R77" s="77">
        <f>$F77-Q77</f>
        <v>235</v>
      </c>
    </row>
    <row r="78" spans="5:18" ht="12.75">
      <c r="E78" s="44" t="s">
        <v>2403</v>
      </c>
      <c r="F78" s="710">
        <v>389</v>
      </c>
      <c r="G78" s="23" t="s">
        <v>2239</v>
      </c>
      <c r="H78" s="511" t="s">
        <v>2058</v>
      </c>
      <c r="I78" t="str">
        <f>MID(H78,1,1)</f>
        <v>e</v>
      </c>
      <c r="J78" s="77">
        <f>FIND(I78,G78,1)-1</f>
        <v>38</v>
      </c>
      <c r="K78" s="68">
        <v>2</v>
      </c>
      <c r="L78" s="23">
        <f>K78*F78</f>
        <v>778</v>
      </c>
      <c r="M78" s="75">
        <f>M$4-L78</f>
        <v>62</v>
      </c>
      <c r="N78" s="77">
        <f>$F78-M78</f>
        <v>327</v>
      </c>
      <c r="O78" s="75">
        <f>MOD($O$4,$F78)</f>
        <v>62</v>
      </c>
      <c r="P78" s="77">
        <f>F78-O78</f>
        <v>327</v>
      </c>
      <c r="Q78" s="75">
        <f>MOD(Q$4,$F78)</f>
        <v>124</v>
      </c>
      <c r="R78" s="77">
        <f>$F78-Q78</f>
        <v>265</v>
      </c>
    </row>
    <row r="79" spans="5:18" ht="12.75">
      <c r="E79" s="44" t="s">
        <v>2404</v>
      </c>
      <c r="F79" s="710">
        <v>397</v>
      </c>
      <c r="G79" s="23" t="s">
        <v>2242</v>
      </c>
      <c r="H79" s="511" t="s">
        <v>2050</v>
      </c>
      <c r="I79" t="str">
        <f>MID(H79,1,1)</f>
        <v>d</v>
      </c>
      <c r="J79" s="77">
        <f>FIND(I79,G79,1)-1</f>
        <v>39</v>
      </c>
      <c r="K79" s="68">
        <v>2</v>
      </c>
      <c r="L79" s="23">
        <f>K79*F79</f>
        <v>794</v>
      </c>
      <c r="M79" s="75">
        <f>M$4-L79</f>
        <v>46</v>
      </c>
      <c r="N79" s="77">
        <f>$F79-M79</f>
        <v>351</v>
      </c>
      <c r="O79" s="75">
        <f>MOD($O$4,$F79)</f>
        <v>46</v>
      </c>
      <c r="P79" s="77">
        <f>F79-O79</f>
        <v>351</v>
      </c>
      <c r="Q79" s="75">
        <f>MOD(Q$4,$F79)</f>
        <v>92</v>
      </c>
      <c r="R79" s="77">
        <f>$F79-Q79</f>
        <v>305</v>
      </c>
    </row>
    <row r="80" spans="5:18" ht="12.75">
      <c r="E80" s="44" t="s">
        <v>2405</v>
      </c>
      <c r="F80" s="710">
        <v>401</v>
      </c>
      <c r="G80" s="23" t="s">
        <v>2243</v>
      </c>
      <c r="H80" s="511" t="s">
        <v>26</v>
      </c>
      <c r="I80" t="str">
        <f>MID(H80,1,1)</f>
        <v>7</v>
      </c>
      <c r="J80" s="77">
        <f>FIND(I80,G80,1)-1</f>
        <v>40</v>
      </c>
      <c r="K80" s="68">
        <v>2</v>
      </c>
      <c r="L80" s="23">
        <f>K80*F80</f>
        <v>802</v>
      </c>
      <c r="M80" s="75">
        <f>M$4-L80</f>
        <v>38</v>
      </c>
      <c r="N80" s="77">
        <f>$F80-M80</f>
        <v>363</v>
      </c>
      <c r="O80" s="75">
        <f>MOD($O$4,$F80)</f>
        <v>38</v>
      </c>
      <c r="P80" s="77">
        <f>F80-O80</f>
        <v>363</v>
      </c>
      <c r="Q80" s="75">
        <f>MOD(Q$4,$F80)</f>
        <v>76</v>
      </c>
      <c r="R80" s="77">
        <f>$F80-Q80</f>
        <v>325</v>
      </c>
    </row>
    <row r="81" spans="5:18" ht="12.75">
      <c r="E81" s="44" t="s">
        <v>2406</v>
      </c>
      <c r="F81" s="710">
        <v>409</v>
      </c>
      <c r="G81" s="23" t="s">
        <v>2246</v>
      </c>
      <c r="H81" s="511" t="s">
        <v>2058</v>
      </c>
      <c r="I81" t="str">
        <f>MID(H81,1,1)</f>
        <v>e</v>
      </c>
      <c r="J81" s="77">
        <f>FIND(I81,G81,1)-1</f>
        <v>40</v>
      </c>
      <c r="K81" s="68">
        <v>2</v>
      </c>
      <c r="L81" s="23">
        <f>K81*F81</f>
        <v>818</v>
      </c>
      <c r="M81" s="75">
        <f>M$4-L81</f>
        <v>22</v>
      </c>
      <c r="N81" s="77">
        <f>$F81-M81</f>
        <v>387</v>
      </c>
      <c r="O81" s="75">
        <f>MOD($O$4,$F81)</f>
        <v>22</v>
      </c>
      <c r="P81" s="77">
        <f>F81-O81</f>
        <v>387</v>
      </c>
      <c r="Q81" s="75">
        <f>MOD(Q$4,$F81)</f>
        <v>44</v>
      </c>
      <c r="R81" s="77">
        <f>$F81-Q81</f>
        <v>365</v>
      </c>
    </row>
    <row r="82" spans="5:18" ht="12.75">
      <c r="E82" s="44" t="s">
        <v>2409</v>
      </c>
      <c r="F82" s="710">
        <v>419</v>
      </c>
      <c r="G82" s="23" t="s">
        <v>2250</v>
      </c>
      <c r="H82" s="511" t="s">
        <v>2058</v>
      </c>
      <c r="I82" t="str">
        <f>MID(H82,1,1)</f>
        <v>e</v>
      </c>
      <c r="J82" s="77">
        <f>FIND(I82,G82,1)-1</f>
        <v>41</v>
      </c>
      <c r="K82" s="68">
        <v>2</v>
      </c>
      <c r="L82" s="23">
        <f>K82*F82</f>
        <v>838</v>
      </c>
      <c r="M82" s="75">
        <f>M$4-L82</f>
        <v>2</v>
      </c>
      <c r="N82" s="77">
        <f>$F82-M82</f>
        <v>417</v>
      </c>
      <c r="O82" s="75">
        <f>MOD($O$4,$F82)</f>
        <v>2</v>
      </c>
      <c r="P82" s="77">
        <f>F82-O82</f>
        <v>417</v>
      </c>
      <c r="Q82" s="75">
        <f>MOD(Q$4,$F82)</f>
        <v>4</v>
      </c>
      <c r="R82" s="77">
        <f>$F82-Q82</f>
        <v>415</v>
      </c>
    </row>
    <row r="83" spans="5:18" ht="12.75">
      <c r="E83" s="44" t="s">
        <v>2410</v>
      </c>
      <c r="F83" s="710">
        <v>421</v>
      </c>
      <c r="G83" s="23" t="s">
        <v>2251</v>
      </c>
      <c r="H83" s="511" t="s">
        <v>26</v>
      </c>
      <c r="I83" t="str">
        <f>MID(H83,1,1)</f>
        <v>7</v>
      </c>
      <c r="J83" s="77">
        <f>FIND(I83,G83,1)-1</f>
        <v>42</v>
      </c>
      <c r="K83" s="68">
        <v>1</v>
      </c>
      <c r="L83" s="23">
        <f>K83*F83</f>
        <v>421</v>
      </c>
      <c r="M83" s="75">
        <f>M$4-L83</f>
        <v>419</v>
      </c>
      <c r="N83" s="77">
        <f>$F83-M83</f>
        <v>2</v>
      </c>
      <c r="O83" s="75">
        <f>MOD($O$4,$F83)</f>
        <v>419</v>
      </c>
      <c r="P83" s="77">
        <f>F83-O83</f>
        <v>2</v>
      </c>
      <c r="Q83" s="75">
        <f>MOD(Q$4,$F83)</f>
        <v>417</v>
      </c>
      <c r="R83" s="77">
        <f>$F83-Q83</f>
        <v>4</v>
      </c>
    </row>
    <row r="84" spans="5:18" ht="12.75">
      <c r="E84" s="44" t="s">
        <v>2412</v>
      </c>
      <c r="F84" s="710">
        <v>431</v>
      </c>
      <c r="G84" s="23" t="s">
        <v>2252</v>
      </c>
      <c r="H84" s="511" t="s">
        <v>26</v>
      </c>
      <c r="I84" t="str">
        <f>MID(H84,1,1)</f>
        <v>7</v>
      </c>
      <c r="J84" s="77">
        <f>FIND(I84,G84,1)-1</f>
        <v>43</v>
      </c>
      <c r="K84" s="68">
        <v>1</v>
      </c>
      <c r="L84" s="23">
        <f>K84*F84</f>
        <v>431</v>
      </c>
      <c r="M84" s="75">
        <f>M$4-L84</f>
        <v>409</v>
      </c>
      <c r="N84" s="77">
        <f>$F84-M84</f>
        <v>22</v>
      </c>
      <c r="O84" s="75">
        <f>MOD($O$4,$F84)</f>
        <v>409</v>
      </c>
      <c r="P84" s="77">
        <f>F84-O84</f>
        <v>22</v>
      </c>
      <c r="Q84" s="75">
        <f>MOD(Q$4,$F84)</f>
        <v>387</v>
      </c>
      <c r="R84" s="77">
        <f>$F84-Q84</f>
        <v>44</v>
      </c>
    </row>
    <row r="85" spans="5:18" ht="12.75">
      <c r="E85" s="44" t="s">
        <v>2413</v>
      </c>
      <c r="F85" s="710">
        <v>433</v>
      </c>
      <c r="G85" s="23" t="s">
        <v>2254</v>
      </c>
      <c r="H85" s="511" t="s">
        <v>2045</v>
      </c>
      <c r="I85" t="str">
        <f>MID(H85,1,1)</f>
        <v>b</v>
      </c>
      <c r="J85" s="77">
        <f>FIND(I85,G85,1)-1</f>
        <v>43</v>
      </c>
      <c r="K85" s="68">
        <v>1</v>
      </c>
      <c r="L85" s="23">
        <f>K85*F85</f>
        <v>433</v>
      </c>
      <c r="M85" s="75">
        <f>M$4-L85</f>
        <v>407</v>
      </c>
      <c r="N85" s="77">
        <f>$F85-M85</f>
        <v>26</v>
      </c>
      <c r="O85" s="75">
        <f>MOD($O$4,$F85)</f>
        <v>407</v>
      </c>
      <c r="P85" s="77">
        <f>F85-O85</f>
        <v>26</v>
      </c>
      <c r="Q85" s="75">
        <f>MOD(Q$4,$F85)</f>
        <v>381</v>
      </c>
      <c r="R85" s="77">
        <f>$F85-Q85</f>
        <v>52</v>
      </c>
    </row>
    <row r="86" spans="5:18" ht="12.75">
      <c r="E86" s="44" t="s">
        <v>2414</v>
      </c>
      <c r="F86" s="710">
        <v>439</v>
      </c>
      <c r="G86" s="23" t="s">
        <v>2255</v>
      </c>
      <c r="H86" s="511" t="s">
        <v>2058</v>
      </c>
      <c r="I86" t="str">
        <f>MID(H86,1,1)</f>
        <v>e</v>
      </c>
      <c r="J86" s="77">
        <f>FIND(I86,G86,1)-1</f>
        <v>43</v>
      </c>
      <c r="K86" s="68">
        <v>1</v>
      </c>
      <c r="L86" s="23">
        <f>K86*F86</f>
        <v>439</v>
      </c>
      <c r="M86" s="75">
        <f>M$4-L86</f>
        <v>401</v>
      </c>
      <c r="N86" s="77">
        <f>$F86-M86</f>
        <v>38</v>
      </c>
      <c r="O86" s="75">
        <f>MOD($O$4,$F86)</f>
        <v>401</v>
      </c>
      <c r="P86" s="77">
        <f>F86-O86</f>
        <v>38</v>
      </c>
      <c r="Q86" s="75">
        <f>MOD(Q$4,$F86)</f>
        <v>363</v>
      </c>
      <c r="R86" s="77">
        <f>$F86-Q86</f>
        <v>76</v>
      </c>
    </row>
    <row r="87" spans="5:18" ht="12.75">
      <c r="E87" s="44" t="s">
        <v>2415</v>
      </c>
      <c r="F87" s="710">
        <v>443</v>
      </c>
      <c r="G87" s="23" t="s">
        <v>2257</v>
      </c>
      <c r="H87" s="511" t="s">
        <v>2045</v>
      </c>
      <c r="I87" t="str">
        <f>MID(H87,1,1)</f>
        <v>b</v>
      </c>
      <c r="J87" s="77">
        <f>FIND(I87,G87,1)-1</f>
        <v>44</v>
      </c>
      <c r="K87" s="68">
        <v>1</v>
      </c>
      <c r="L87" s="23">
        <f>K87*F87</f>
        <v>443</v>
      </c>
      <c r="M87" s="75">
        <f>M$4-L87</f>
        <v>397</v>
      </c>
      <c r="N87" s="77">
        <f>$F87-M87</f>
        <v>46</v>
      </c>
      <c r="O87" s="75">
        <f>MOD($O$4,$F87)</f>
        <v>397</v>
      </c>
      <c r="P87" s="77">
        <f>F87-O87</f>
        <v>46</v>
      </c>
      <c r="Q87" s="75">
        <f>MOD(Q$4,$F87)</f>
        <v>351</v>
      </c>
      <c r="R87" s="77">
        <f>$F87-Q87</f>
        <v>92</v>
      </c>
    </row>
    <row r="88" spans="5:18" ht="12.75">
      <c r="E88" s="44" t="s">
        <v>2418</v>
      </c>
      <c r="F88" s="710">
        <v>449</v>
      </c>
      <c r="G88" s="23" t="s">
        <v>2259</v>
      </c>
      <c r="H88" s="511" t="s">
        <v>2058</v>
      </c>
      <c r="I88" t="str">
        <f>MID(H88,1,1)</f>
        <v>e</v>
      </c>
      <c r="J88" s="77">
        <f>FIND(I88,G88,1)-1</f>
        <v>44</v>
      </c>
      <c r="K88" s="68">
        <v>1</v>
      </c>
      <c r="L88" s="23">
        <f>K88*F88</f>
        <v>449</v>
      </c>
      <c r="M88" s="75">
        <f>M$4-L88</f>
        <v>391</v>
      </c>
      <c r="N88" s="77">
        <f>$F88-M88</f>
        <v>58</v>
      </c>
      <c r="O88" s="75">
        <f>MOD($O$4,$F88)</f>
        <v>391</v>
      </c>
      <c r="P88" s="77">
        <f>F88-O88</f>
        <v>58</v>
      </c>
      <c r="Q88" s="75">
        <f>MOD(Q$4,$F88)</f>
        <v>333</v>
      </c>
      <c r="R88" s="77">
        <f>$F88-Q88</f>
        <v>116</v>
      </c>
    </row>
    <row r="89" spans="5:18" ht="12.75">
      <c r="E89" s="44" t="s">
        <v>2419</v>
      </c>
      <c r="F89" s="710">
        <v>457</v>
      </c>
      <c r="G89" s="23" t="s">
        <v>2261</v>
      </c>
      <c r="H89" s="511" t="s">
        <v>2050</v>
      </c>
      <c r="I89" t="str">
        <f>MID(H89,1,1)</f>
        <v>d</v>
      </c>
      <c r="J89" s="77">
        <f>FIND(I89,G89,1)-1</f>
        <v>45</v>
      </c>
      <c r="K89" s="68">
        <v>1</v>
      </c>
      <c r="L89" s="23">
        <f>K89*F89</f>
        <v>457</v>
      </c>
      <c r="M89" s="75">
        <f>M$4-L89</f>
        <v>383</v>
      </c>
      <c r="N89" s="77">
        <f>$F89-M89</f>
        <v>74</v>
      </c>
      <c r="O89" s="75">
        <f>MOD($O$4,$F89)</f>
        <v>383</v>
      </c>
      <c r="P89" s="77">
        <f>F89-O89</f>
        <v>74</v>
      </c>
      <c r="Q89" s="75">
        <f>MOD(Q$4,$F89)</f>
        <v>309</v>
      </c>
      <c r="R89" s="77">
        <f>$F89-Q89</f>
        <v>148</v>
      </c>
    </row>
    <row r="90" spans="5:18" ht="12.75">
      <c r="E90" s="44" t="s">
        <v>2420</v>
      </c>
      <c r="F90" s="710">
        <v>461</v>
      </c>
      <c r="G90" s="23" t="s">
        <v>2263</v>
      </c>
      <c r="H90" s="511" t="s">
        <v>26</v>
      </c>
      <c r="I90" t="str">
        <f>MID(H90,1,1)</f>
        <v>7</v>
      </c>
      <c r="J90" s="77">
        <f>FIND(I90,G90,1)-1</f>
        <v>46</v>
      </c>
      <c r="K90" s="68">
        <v>1</v>
      </c>
      <c r="L90" s="23">
        <f>K90*F90</f>
        <v>461</v>
      </c>
      <c r="M90" s="75">
        <f>M$4-L90</f>
        <v>379</v>
      </c>
      <c r="N90" s="77">
        <f>$F90-M90</f>
        <v>82</v>
      </c>
      <c r="O90" s="75">
        <f>MOD($O$4,$F90)</f>
        <v>379</v>
      </c>
      <c r="P90" s="77">
        <f>F90-O90</f>
        <v>82</v>
      </c>
      <c r="Q90" s="75">
        <f>MOD(Q$4,$F90)</f>
        <v>297</v>
      </c>
      <c r="R90" s="77">
        <f>$F90-Q90</f>
        <v>164</v>
      </c>
    </row>
    <row r="91" spans="5:18" ht="12.75">
      <c r="E91" s="44" t="s">
        <v>2421</v>
      </c>
      <c r="F91" s="710">
        <v>463</v>
      </c>
      <c r="G91" s="23" t="s">
        <v>2264</v>
      </c>
      <c r="H91" s="511" t="s">
        <v>2045</v>
      </c>
      <c r="I91" t="str">
        <f>MID(H91,1,1)</f>
        <v>b</v>
      </c>
      <c r="J91" s="77">
        <f>FIND(I91,G91,1)-1</f>
        <v>46</v>
      </c>
      <c r="K91" s="68">
        <v>1</v>
      </c>
      <c r="L91" s="23">
        <f>K91*F91</f>
        <v>463</v>
      </c>
      <c r="M91" s="75">
        <f>M$4-L91</f>
        <v>377</v>
      </c>
      <c r="N91" s="77">
        <f>$F91-M91</f>
        <v>86</v>
      </c>
      <c r="O91" s="75">
        <f>MOD($O$4,$F91)</f>
        <v>377</v>
      </c>
      <c r="P91" s="77">
        <f>F91-O91</f>
        <v>86</v>
      </c>
      <c r="Q91" s="75">
        <f>MOD(Q$4,$F91)</f>
        <v>291</v>
      </c>
      <c r="R91" s="77">
        <f>$F91-Q91</f>
        <v>172</v>
      </c>
    </row>
    <row r="92" spans="5:18" ht="12.75">
      <c r="E92" s="44" t="s">
        <v>2422</v>
      </c>
      <c r="F92" s="710">
        <v>467</v>
      </c>
      <c r="G92" s="23" t="s">
        <v>2265</v>
      </c>
      <c r="H92" s="511" t="s">
        <v>2050</v>
      </c>
      <c r="I92" t="str">
        <f>MID(H92,1,1)</f>
        <v>d</v>
      </c>
      <c r="J92" s="77">
        <f>FIND(I92,G92,1)-1</f>
        <v>46</v>
      </c>
      <c r="K92" s="68">
        <v>1</v>
      </c>
      <c r="L92" s="23">
        <f>K92*F92</f>
        <v>467</v>
      </c>
      <c r="M92" s="75">
        <f>M$4-L92</f>
        <v>373</v>
      </c>
      <c r="N92" s="77">
        <f>$F92-M92</f>
        <v>94</v>
      </c>
      <c r="O92" s="75">
        <f>MOD($O$4,$F92)</f>
        <v>373</v>
      </c>
      <c r="P92" s="77">
        <f>F92-O92</f>
        <v>94</v>
      </c>
      <c r="Q92" s="75">
        <f>MOD(Q$4,$F92)</f>
        <v>279</v>
      </c>
      <c r="R92" s="77">
        <f>$F92-Q92</f>
        <v>188</v>
      </c>
    </row>
    <row r="93" spans="5:18" ht="12.75">
      <c r="E93" s="44" t="s">
        <v>2423</v>
      </c>
      <c r="F93" s="710">
        <v>479</v>
      </c>
      <c r="G93" s="23" t="s">
        <v>2268</v>
      </c>
      <c r="H93" s="511" t="s">
        <v>2058</v>
      </c>
      <c r="I93" t="str">
        <f>MID(H93,1,1)</f>
        <v>e</v>
      </c>
      <c r="J93" s="77">
        <f>FIND(I93,G93,1)-1</f>
        <v>47</v>
      </c>
      <c r="K93" s="68">
        <v>1</v>
      </c>
      <c r="L93" s="23">
        <f>K93*F93</f>
        <v>479</v>
      </c>
      <c r="M93" s="75">
        <f>M$4-L93</f>
        <v>361</v>
      </c>
      <c r="N93" s="77">
        <f>$F93-M93</f>
        <v>118</v>
      </c>
      <c r="O93" s="75">
        <f>MOD($O$4,$F93)</f>
        <v>361</v>
      </c>
      <c r="P93" s="77">
        <f>F93-O93</f>
        <v>118</v>
      </c>
      <c r="Q93" s="75">
        <f>MOD(Q$4,$F93)</f>
        <v>243</v>
      </c>
      <c r="R93" s="77">
        <f>$F93-Q93</f>
        <v>236</v>
      </c>
    </row>
    <row r="94" spans="5:18" ht="12.75">
      <c r="E94" s="44" t="s">
        <v>2425</v>
      </c>
      <c r="F94" s="710">
        <v>487</v>
      </c>
      <c r="G94" s="23" t="s">
        <v>2269</v>
      </c>
      <c r="H94" s="511" t="s">
        <v>2050</v>
      </c>
      <c r="I94" t="str">
        <f>MID(H94,1,1)</f>
        <v>d</v>
      </c>
      <c r="J94" s="77">
        <f>FIND(I94,G94,1)-1</f>
        <v>48</v>
      </c>
      <c r="K94" s="68">
        <v>1</v>
      </c>
      <c r="L94" s="23">
        <f>K94*F94</f>
        <v>487</v>
      </c>
      <c r="M94" s="75">
        <f>M$4-L94</f>
        <v>353</v>
      </c>
      <c r="N94" s="77">
        <f>$F94-M94</f>
        <v>134</v>
      </c>
      <c r="O94" s="75">
        <f>MOD($O$4,$F94)</f>
        <v>353</v>
      </c>
      <c r="P94" s="77">
        <f>F94-O94</f>
        <v>134</v>
      </c>
      <c r="Q94" s="75">
        <f>MOD(Q$4,$F94)</f>
        <v>219</v>
      </c>
      <c r="R94" s="77">
        <f>$F94-Q94</f>
        <v>268</v>
      </c>
    </row>
    <row r="95" spans="5:18" ht="12.75">
      <c r="E95" s="44" t="s">
        <v>2427</v>
      </c>
      <c r="F95" s="710">
        <v>491</v>
      </c>
      <c r="G95" s="23" t="s">
        <v>2271</v>
      </c>
      <c r="H95" s="511" t="s">
        <v>26</v>
      </c>
      <c r="I95" t="str">
        <f>MID(H95,1,1)</f>
        <v>7</v>
      </c>
      <c r="J95" s="77">
        <f>FIND(I95,G95,1)-1</f>
        <v>49</v>
      </c>
      <c r="K95" s="68">
        <v>1</v>
      </c>
      <c r="L95" s="23">
        <f>K95*F95</f>
        <v>491</v>
      </c>
      <c r="M95" s="75">
        <f>M$4-L95</f>
        <v>349</v>
      </c>
      <c r="N95" s="77">
        <f>$F95-M95</f>
        <v>142</v>
      </c>
      <c r="O95" s="75">
        <f>MOD($O$4,$F95)</f>
        <v>349</v>
      </c>
      <c r="P95" s="77">
        <f>F95-O95</f>
        <v>142</v>
      </c>
      <c r="Q95" s="75">
        <f>MOD(Q$4,$F95)</f>
        <v>207</v>
      </c>
      <c r="R95" s="77">
        <f>$F95-Q95</f>
        <v>284</v>
      </c>
    </row>
    <row r="96" spans="5:18" ht="12.75">
      <c r="E96" s="44" t="s">
        <v>2428</v>
      </c>
      <c r="F96" s="710">
        <v>499</v>
      </c>
      <c r="G96" s="23" t="s">
        <v>2273</v>
      </c>
      <c r="H96" s="511" t="s">
        <v>2058</v>
      </c>
      <c r="I96" t="str">
        <f>MID(H96,1,1)</f>
        <v>e</v>
      </c>
      <c r="J96" s="77">
        <f>FIND(I96,G96,1)-1</f>
        <v>49</v>
      </c>
      <c r="K96" s="68">
        <v>1</v>
      </c>
      <c r="L96" s="23">
        <f>K96*F96</f>
        <v>499</v>
      </c>
      <c r="M96" s="75">
        <f>M$4-L96</f>
        <v>341</v>
      </c>
      <c r="N96" s="77">
        <f>$F96-M96</f>
        <v>158</v>
      </c>
      <c r="O96" s="75">
        <f>MOD($O$4,$F96)</f>
        <v>341</v>
      </c>
      <c r="P96" s="77">
        <f>F96-O96</f>
        <v>158</v>
      </c>
      <c r="Q96" s="75">
        <f>MOD(Q$4,$F96)</f>
        <v>183</v>
      </c>
      <c r="R96" s="77">
        <f>$F96-Q96</f>
        <v>316</v>
      </c>
    </row>
    <row r="97" spans="5:18" ht="12.75">
      <c r="E97" s="44" t="s">
        <v>2430</v>
      </c>
      <c r="F97" s="710">
        <v>503</v>
      </c>
      <c r="G97" s="23" t="s">
        <v>2275</v>
      </c>
      <c r="H97" s="511" t="s">
        <v>2045</v>
      </c>
      <c r="I97" t="str">
        <f>MID(H97,1,1)</f>
        <v>b</v>
      </c>
      <c r="J97" s="77">
        <f>FIND(I97,G97,1)-1</f>
        <v>50</v>
      </c>
      <c r="K97" s="68">
        <v>1</v>
      </c>
      <c r="L97" s="23">
        <f>K97*F97</f>
        <v>503</v>
      </c>
      <c r="M97" s="75">
        <f>M$4-L97</f>
        <v>337</v>
      </c>
      <c r="N97" s="77">
        <f>$F97-M97</f>
        <v>166</v>
      </c>
      <c r="O97" s="75">
        <f>MOD($O$4,$F97)</f>
        <v>337</v>
      </c>
      <c r="P97" s="77">
        <f>F97-O97</f>
        <v>166</v>
      </c>
      <c r="Q97" s="75">
        <f>MOD(Q$4,$F97)</f>
        <v>171</v>
      </c>
      <c r="R97" s="77">
        <f>$F97-Q97</f>
        <v>332</v>
      </c>
    </row>
    <row r="98" spans="5:18" ht="12.75">
      <c r="E98" s="44" t="s">
        <v>2431</v>
      </c>
      <c r="F98" s="710">
        <v>509</v>
      </c>
      <c r="G98" s="23" t="s">
        <v>2276</v>
      </c>
      <c r="H98" s="511" t="s">
        <v>2058</v>
      </c>
      <c r="I98" t="str">
        <f>MID(H98,1,1)</f>
        <v>e</v>
      </c>
      <c r="J98" s="77">
        <f>FIND(I98,G98,1)-1</f>
        <v>50</v>
      </c>
      <c r="K98" s="68">
        <v>1</v>
      </c>
      <c r="L98" s="23">
        <f>K98*F98</f>
        <v>509</v>
      </c>
      <c r="M98" s="75">
        <f>M$4-L98</f>
        <v>331</v>
      </c>
      <c r="N98" s="77">
        <f>$F98-M98</f>
        <v>178</v>
      </c>
      <c r="O98" s="75">
        <f>MOD($O$4,$F98)</f>
        <v>331</v>
      </c>
      <c r="P98" s="77">
        <f>F98-O98</f>
        <v>178</v>
      </c>
      <c r="Q98" s="75">
        <f>MOD(Q$4,$F98)</f>
        <v>153</v>
      </c>
      <c r="R98" s="77">
        <f>$F98-Q98</f>
        <v>356</v>
      </c>
    </row>
    <row r="99" spans="5:18" ht="12.75">
      <c r="E99" s="44" t="s">
        <v>2432</v>
      </c>
      <c r="F99" s="710">
        <v>521</v>
      </c>
      <c r="G99" s="23" t="s">
        <v>2280</v>
      </c>
      <c r="H99" s="511" t="s">
        <v>26</v>
      </c>
      <c r="I99" t="str">
        <f>MID(H99,1,1)</f>
        <v>7</v>
      </c>
      <c r="J99" s="77">
        <f>FIND(I99,G99,1)-1</f>
        <v>52</v>
      </c>
      <c r="K99" s="68">
        <v>1</v>
      </c>
      <c r="L99" s="23">
        <f>K99*F99</f>
        <v>521</v>
      </c>
      <c r="M99" s="75">
        <f>M$4-L99</f>
        <v>319</v>
      </c>
      <c r="N99" s="77">
        <f>$F99-M99</f>
        <v>202</v>
      </c>
      <c r="O99" s="75">
        <f>MOD($O$4,$F99)</f>
        <v>319</v>
      </c>
      <c r="P99" s="77">
        <f>F99-O99</f>
        <v>202</v>
      </c>
      <c r="Q99" s="75">
        <f>MOD(Q$4,$F99)</f>
        <v>117</v>
      </c>
      <c r="R99" s="77">
        <f>$F99-Q99</f>
        <v>404</v>
      </c>
    </row>
    <row r="100" spans="5:18" ht="12.75">
      <c r="E100" s="44" t="s">
        <v>2433</v>
      </c>
      <c r="F100" s="710">
        <v>523</v>
      </c>
      <c r="G100" s="23" t="s">
        <v>2282</v>
      </c>
      <c r="H100" s="511" t="s">
        <v>2045</v>
      </c>
      <c r="I100" t="str">
        <f>MID(H100,1,1)</f>
        <v>b</v>
      </c>
      <c r="J100" s="77">
        <f>FIND(I100,G100,1)-1</f>
        <v>52</v>
      </c>
      <c r="K100" s="68">
        <v>1</v>
      </c>
      <c r="L100" s="23">
        <f>K100*F100</f>
        <v>523</v>
      </c>
      <c r="M100" s="75">
        <f>M$4-L100</f>
        <v>317</v>
      </c>
      <c r="N100" s="77">
        <f>$F100-M100</f>
        <v>206</v>
      </c>
      <c r="O100" s="75">
        <f>MOD($O$4,$F100)</f>
        <v>317</v>
      </c>
      <c r="P100" s="77">
        <f>F100-O100</f>
        <v>206</v>
      </c>
      <c r="Q100" s="75">
        <f>MOD(Q$4,$F100)</f>
        <v>111</v>
      </c>
      <c r="R100" s="77">
        <f>$F100-Q100</f>
        <v>412</v>
      </c>
    </row>
    <row r="101" spans="5:18" ht="12.75">
      <c r="E101" s="44" t="s">
        <v>2434</v>
      </c>
      <c r="F101" s="710">
        <v>541</v>
      </c>
      <c r="G101" s="23" t="s">
        <v>2285</v>
      </c>
      <c r="H101" s="511" t="s">
        <v>26</v>
      </c>
      <c r="I101" t="str">
        <f>MID(H101,1,1)</f>
        <v>7</v>
      </c>
      <c r="J101" s="77">
        <f>FIND(I101,G101,1)-1</f>
        <v>54</v>
      </c>
      <c r="K101" s="68">
        <v>1</v>
      </c>
      <c r="L101" s="23">
        <f>K101*F101</f>
        <v>541</v>
      </c>
      <c r="M101" s="75">
        <f>M$4-L101</f>
        <v>299</v>
      </c>
      <c r="N101" s="77">
        <f>$F101-M101</f>
        <v>242</v>
      </c>
      <c r="O101" s="75">
        <f>MOD($O$4,$F101)</f>
        <v>299</v>
      </c>
      <c r="P101" s="77">
        <f>F101-O101</f>
        <v>242</v>
      </c>
      <c r="Q101" s="75">
        <f>MOD(Q$4,$F101)</f>
        <v>57</v>
      </c>
      <c r="R101" s="77">
        <f>$F101-Q101</f>
        <v>484</v>
      </c>
    </row>
    <row r="102" spans="5:18" ht="12.75">
      <c r="E102" s="44" t="s">
        <v>2435</v>
      </c>
      <c r="F102" s="710">
        <v>547</v>
      </c>
      <c r="G102" s="23" t="s">
        <v>2288</v>
      </c>
      <c r="H102" s="511" t="s">
        <v>2050</v>
      </c>
      <c r="I102" t="str">
        <f>MID(H102,1,1)</f>
        <v>d</v>
      </c>
      <c r="J102" s="77">
        <f>FIND(I102,G102,1)-1</f>
        <v>54</v>
      </c>
      <c r="K102" s="68">
        <v>1</v>
      </c>
      <c r="L102" s="23">
        <f>K102*F102</f>
        <v>547</v>
      </c>
      <c r="M102" s="75">
        <f>M$4-L102</f>
        <v>293</v>
      </c>
      <c r="N102" s="77">
        <f>$F102-M102</f>
        <v>254</v>
      </c>
      <c r="O102" s="75">
        <f>MOD($O$4,$F102)</f>
        <v>293</v>
      </c>
      <c r="P102" s="77">
        <f>F102-O102</f>
        <v>254</v>
      </c>
      <c r="Q102" s="75">
        <f>MOD(Q$4,$F102)</f>
        <v>39</v>
      </c>
      <c r="R102" s="77">
        <f>$F102-Q102</f>
        <v>508</v>
      </c>
    </row>
    <row r="103" spans="5:18" ht="12.75">
      <c r="E103" s="44" t="s">
        <v>2437</v>
      </c>
      <c r="F103" s="710">
        <v>557</v>
      </c>
      <c r="G103" s="23" t="s">
        <v>2290</v>
      </c>
      <c r="H103" s="511" t="s">
        <v>2050</v>
      </c>
      <c r="I103" t="str">
        <f>MID(H103,1,1)</f>
        <v>d</v>
      </c>
      <c r="J103" s="77">
        <f>FIND(I103,G103,1)-1</f>
        <v>55</v>
      </c>
      <c r="K103" s="68">
        <v>1</v>
      </c>
      <c r="L103" s="23">
        <f>K103*F103</f>
        <v>557</v>
      </c>
      <c r="M103" s="75">
        <f>M$4-L103</f>
        <v>283</v>
      </c>
      <c r="N103" s="77">
        <f>$F103-M103</f>
        <v>274</v>
      </c>
      <c r="O103" s="75">
        <f>MOD($O$4,$F103)</f>
        <v>283</v>
      </c>
      <c r="P103" s="77">
        <f>F103-O103</f>
        <v>274</v>
      </c>
      <c r="Q103" s="75">
        <f>MOD(Q$4,$F103)</f>
        <v>9</v>
      </c>
      <c r="R103" s="77">
        <f>$F103-Q103</f>
        <v>548</v>
      </c>
    </row>
    <row r="104" spans="5:18" ht="12.75">
      <c r="E104" s="44" t="s">
        <v>2439</v>
      </c>
      <c r="F104" s="710">
        <v>563</v>
      </c>
      <c r="G104" s="23" t="s">
        <v>2291</v>
      </c>
      <c r="H104" s="511" t="s">
        <v>2045</v>
      </c>
      <c r="I104" t="str">
        <f>MID(H104,1,1)</f>
        <v>b</v>
      </c>
      <c r="J104" s="77">
        <f>FIND(I104,G104,1)-1</f>
        <v>56</v>
      </c>
      <c r="K104" s="68">
        <v>1</v>
      </c>
      <c r="L104" s="23">
        <f>K104*F104</f>
        <v>563</v>
      </c>
      <c r="M104" s="75">
        <f>M$4-L104</f>
        <v>277</v>
      </c>
      <c r="N104" s="77">
        <f>$F104-M104</f>
        <v>286</v>
      </c>
      <c r="O104" s="75">
        <f>MOD($O$4,$F104)</f>
        <v>277</v>
      </c>
      <c r="P104" s="77">
        <f>F104-O104</f>
        <v>286</v>
      </c>
      <c r="Q104" s="75">
        <f>MOD(Q$4,$F104)</f>
        <v>554</v>
      </c>
      <c r="R104" s="77">
        <f>$F104-Q104</f>
        <v>9</v>
      </c>
    </row>
    <row r="105" spans="5:18" ht="12.75">
      <c r="E105" s="44" t="s">
        <v>2440</v>
      </c>
      <c r="F105" s="710">
        <v>569</v>
      </c>
      <c r="G105" s="23" t="s">
        <v>2292</v>
      </c>
      <c r="H105" s="511" t="s">
        <v>2058</v>
      </c>
      <c r="I105" t="str">
        <f>MID(H105,1,1)</f>
        <v>e</v>
      </c>
      <c r="J105" s="77">
        <f>FIND(I105,G105,1)-1</f>
        <v>56</v>
      </c>
      <c r="K105" s="68">
        <v>1</v>
      </c>
      <c r="L105" s="23">
        <f>K105*F105</f>
        <v>569</v>
      </c>
      <c r="M105" s="75">
        <f>M$4-L105</f>
        <v>271</v>
      </c>
      <c r="N105" s="77">
        <f>$F105-M105</f>
        <v>298</v>
      </c>
      <c r="O105" s="75">
        <f>MOD($O$4,$F105)</f>
        <v>271</v>
      </c>
      <c r="P105" s="77">
        <f>F105-O105</f>
        <v>298</v>
      </c>
      <c r="Q105" s="75">
        <f>MOD(Q$4,$F105)</f>
        <v>542</v>
      </c>
      <c r="R105" s="77">
        <f>$F105-Q105</f>
        <v>27</v>
      </c>
    </row>
    <row r="106" spans="5:18" ht="12.75">
      <c r="E106" s="44" t="s">
        <v>2441</v>
      </c>
      <c r="F106" s="710">
        <v>571</v>
      </c>
      <c r="G106" s="23" t="s">
        <v>2295</v>
      </c>
      <c r="H106" s="511" t="s">
        <v>26</v>
      </c>
      <c r="I106" t="str">
        <f>MID(H106,1,1)</f>
        <v>7</v>
      </c>
      <c r="J106" s="77">
        <f>FIND(I106,G106,1)-1</f>
        <v>57</v>
      </c>
      <c r="K106" s="68">
        <v>1</v>
      </c>
      <c r="L106" s="23">
        <f>K106*F106</f>
        <v>571</v>
      </c>
      <c r="M106" s="75">
        <f>M$4-L106</f>
        <v>269</v>
      </c>
      <c r="N106" s="77">
        <f>$F106-M106</f>
        <v>302</v>
      </c>
      <c r="O106" s="75">
        <f>MOD($O$4,$F106)</f>
        <v>269</v>
      </c>
      <c r="P106" s="77">
        <f>F106-O106</f>
        <v>302</v>
      </c>
      <c r="Q106" s="75">
        <f>MOD(Q$4,$F106)</f>
        <v>538</v>
      </c>
      <c r="R106" s="77">
        <f>$F106-Q106</f>
        <v>33</v>
      </c>
    </row>
    <row r="107" spans="5:18" ht="12.75">
      <c r="E107" s="44" t="s">
        <v>2442</v>
      </c>
      <c r="F107" s="710">
        <v>577</v>
      </c>
      <c r="G107" s="23" t="s">
        <v>2297</v>
      </c>
      <c r="H107" s="511" t="s">
        <v>2050</v>
      </c>
      <c r="I107" t="str">
        <f>MID(H107,1,1)</f>
        <v>d</v>
      </c>
      <c r="J107" s="77">
        <f>FIND(I107,G107,1)-1</f>
        <v>57</v>
      </c>
      <c r="K107" s="68">
        <v>1</v>
      </c>
      <c r="L107" s="23">
        <f>K107*F107</f>
        <v>577</v>
      </c>
      <c r="M107" s="75">
        <f>M$4-L107</f>
        <v>263</v>
      </c>
      <c r="N107" s="77">
        <f>$F107-M107</f>
        <v>314</v>
      </c>
      <c r="O107" s="75">
        <f>MOD($O$4,$F107)</f>
        <v>263</v>
      </c>
      <c r="P107" s="77">
        <f>F107-O107</f>
        <v>314</v>
      </c>
      <c r="Q107" s="75">
        <f>MOD(Q$4,$F107)</f>
        <v>526</v>
      </c>
      <c r="R107" s="77">
        <f>$F107-Q107</f>
        <v>51</v>
      </c>
    </row>
    <row r="108" spans="5:18" ht="12.75">
      <c r="E108" s="44" t="s">
        <v>2444</v>
      </c>
      <c r="F108" s="710">
        <v>587</v>
      </c>
      <c r="G108" s="23" t="s">
        <v>2301</v>
      </c>
      <c r="H108" s="511" t="s">
        <v>2050</v>
      </c>
      <c r="I108" t="str">
        <f>MID(H108,1,1)</f>
        <v>d</v>
      </c>
      <c r="J108" s="77">
        <f>FIND(I108,G108,1)-1</f>
        <v>58</v>
      </c>
      <c r="K108" s="68">
        <v>1</v>
      </c>
      <c r="L108" s="23">
        <f>K108*F108</f>
        <v>587</v>
      </c>
      <c r="M108" s="75">
        <f>M$4-L108</f>
        <v>253</v>
      </c>
      <c r="N108" s="77">
        <f>$F108-M108</f>
        <v>334</v>
      </c>
      <c r="O108" s="75">
        <f>MOD($O$4,$F108)</f>
        <v>253</v>
      </c>
      <c r="P108" s="77">
        <f>F108-O108</f>
        <v>334</v>
      </c>
      <c r="Q108" s="75">
        <f>MOD(Q$4,$F108)</f>
        <v>506</v>
      </c>
      <c r="R108" s="77">
        <f>$F108-Q108</f>
        <v>81</v>
      </c>
    </row>
    <row r="109" spans="5:18" ht="12.75">
      <c r="E109" s="44" t="s">
        <v>2445</v>
      </c>
      <c r="F109" s="710">
        <v>593</v>
      </c>
      <c r="G109" s="23" t="s">
        <v>2303</v>
      </c>
      <c r="H109" s="511" t="s">
        <v>2045</v>
      </c>
      <c r="I109" t="str">
        <f>MID(H109,1,1)</f>
        <v>b</v>
      </c>
      <c r="J109" s="77">
        <f>FIND(I109,G109,1)-1</f>
        <v>59</v>
      </c>
      <c r="K109" s="68">
        <v>1</v>
      </c>
      <c r="L109" s="23">
        <f>K109*F109</f>
        <v>593</v>
      </c>
      <c r="M109" s="75">
        <f>M$4-L109</f>
        <v>247</v>
      </c>
      <c r="N109" s="77">
        <f>$F109-M109</f>
        <v>346</v>
      </c>
      <c r="O109" s="75">
        <f>MOD($O$4,$F109)</f>
        <v>247</v>
      </c>
      <c r="P109" s="77">
        <f>F109-O109</f>
        <v>346</v>
      </c>
      <c r="Q109" s="75">
        <f>MOD(Q$4,$F109)</f>
        <v>494</v>
      </c>
      <c r="R109" s="77">
        <f>$F109-Q109</f>
        <v>99</v>
      </c>
    </row>
    <row r="110" spans="5:18" ht="12.75">
      <c r="E110" s="44" t="s">
        <v>2446</v>
      </c>
      <c r="F110" s="710">
        <v>599</v>
      </c>
      <c r="G110" s="23" t="s">
        <v>2307</v>
      </c>
      <c r="H110" s="511" t="s">
        <v>2058</v>
      </c>
      <c r="I110" t="str">
        <f>MID(H110,1,1)</f>
        <v>e</v>
      </c>
      <c r="J110" s="77">
        <f>FIND(I110,G110,1)-1</f>
        <v>59</v>
      </c>
      <c r="K110" s="68">
        <v>1</v>
      </c>
      <c r="L110" s="23">
        <f>K110*F110</f>
        <v>599</v>
      </c>
      <c r="M110" s="75">
        <f>M$4-L110</f>
        <v>241</v>
      </c>
      <c r="N110" s="77">
        <f>$F110-M110</f>
        <v>358</v>
      </c>
      <c r="O110" s="75">
        <f>MOD($O$4,$F110)</f>
        <v>241</v>
      </c>
      <c r="P110" s="77">
        <f>F110-O110</f>
        <v>358</v>
      </c>
      <c r="Q110" s="75">
        <f>MOD(Q$4,$F110)</f>
        <v>482</v>
      </c>
      <c r="R110" s="77">
        <f>$F110-Q110</f>
        <v>117</v>
      </c>
    </row>
    <row r="111" spans="5:18" ht="12.75">
      <c r="E111" s="44" t="s">
        <v>2447</v>
      </c>
      <c r="F111" s="710">
        <v>601</v>
      </c>
      <c r="G111" s="23" t="s">
        <v>2308</v>
      </c>
      <c r="H111" s="511" t="s">
        <v>26</v>
      </c>
      <c r="I111" t="str">
        <f>MID(H111,1,1)</f>
        <v>7</v>
      </c>
      <c r="J111" s="77">
        <f>FIND(I111,G111,1)-1</f>
        <v>60</v>
      </c>
      <c r="K111" s="68">
        <v>1</v>
      </c>
      <c r="L111" s="23">
        <f>K111*F111</f>
        <v>601</v>
      </c>
      <c r="M111" s="75">
        <f>M$4-L111</f>
        <v>239</v>
      </c>
      <c r="N111" s="77">
        <f>$F111-M111</f>
        <v>362</v>
      </c>
      <c r="O111" s="75">
        <f>MOD($O$4,$F111)</f>
        <v>239</v>
      </c>
      <c r="P111" s="77">
        <f>F111-O111</f>
        <v>362</v>
      </c>
      <c r="Q111" s="75">
        <f>MOD(Q$4,$F111)</f>
        <v>478</v>
      </c>
      <c r="R111" s="77">
        <f>$F111-Q111</f>
        <v>123</v>
      </c>
    </row>
    <row r="112" spans="5:18" ht="12.75">
      <c r="E112" s="44" t="s">
        <v>2448</v>
      </c>
      <c r="F112" s="710">
        <v>607</v>
      </c>
      <c r="G112" s="23" t="s">
        <v>2310</v>
      </c>
      <c r="H112" s="511" t="s">
        <v>2050</v>
      </c>
      <c r="I112" t="str">
        <f>MID(H112,1,1)</f>
        <v>d</v>
      </c>
      <c r="J112" s="77">
        <f>FIND(I112,G112,1)-1</f>
        <v>60</v>
      </c>
      <c r="K112" s="68">
        <v>1</v>
      </c>
      <c r="L112" s="23">
        <f>K112*F112</f>
        <v>607</v>
      </c>
      <c r="M112" s="75">
        <f>M$4-L112</f>
        <v>233</v>
      </c>
      <c r="N112" s="77">
        <f>$F112-M112</f>
        <v>374</v>
      </c>
      <c r="O112" s="75">
        <f>MOD($O$4,$F112)</f>
        <v>233</v>
      </c>
      <c r="P112" s="77">
        <f>F112-O112</f>
        <v>374</v>
      </c>
      <c r="Q112" s="75">
        <f>MOD(Q$4,$F112)</f>
        <v>466</v>
      </c>
      <c r="R112" s="77">
        <f>$F112-Q112</f>
        <v>141</v>
      </c>
    </row>
    <row r="113" spans="5:18" ht="12.75">
      <c r="E113" s="44" t="s">
        <v>2449</v>
      </c>
      <c r="F113" s="710">
        <v>613</v>
      </c>
      <c r="G113" s="23" t="s">
        <v>2311</v>
      </c>
      <c r="H113" s="511" t="s">
        <v>2045</v>
      </c>
      <c r="I113" t="str">
        <f>MID(H113,1,1)</f>
        <v>b</v>
      </c>
      <c r="J113" s="77">
        <f>FIND(I113,G113,1)-1</f>
        <v>61</v>
      </c>
      <c r="K113" s="68">
        <v>1</v>
      </c>
      <c r="L113" s="23">
        <f>K113*F113</f>
        <v>613</v>
      </c>
      <c r="M113" s="75">
        <f>M$4-L113</f>
        <v>227</v>
      </c>
      <c r="N113" s="77">
        <f>$F113-M113</f>
        <v>386</v>
      </c>
      <c r="O113" s="75">
        <f>MOD($O$4,$F113)</f>
        <v>227</v>
      </c>
      <c r="P113" s="77">
        <f>F113-O113</f>
        <v>386</v>
      </c>
      <c r="Q113" s="75">
        <f>MOD(Q$4,$F113)</f>
        <v>454</v>
      </c>
      <c r="R113" s="77">
        <f>$F113-Q113</f>
        <v>159</v>
      </c>
    </row>
    <row r="114" spans="5:18" ht="12.75">
      <c r="E114" s="44" t="s">
        <v>2451</v>
      </c>
      <c r="F114" s="710">
        <v>617</v>
      </c>
      <c r="G114" s="23" t="s">
        <v>2312</v>
      </c>
      <c r="H114" s="511" t="s">
        <v>2050</v>
      </c>
      <c r="I114" t="str">
        <f>MID(H114,1,1)</f>
        <v>d</v>
      </c>
      <c r="J114" s="77">
        <f>FIND(I114,G114,1)-1</f>
        <v>61</v>
      </c>
      <c r="K114" s="68">
        <v>1</v>
      </c>
      <c r="L114" s="23">
        <f>K114*F114</f>
        <v>617</v>
      </c>
      <c r="M114" s="75">
        <f>M$4-L114</f>
        <v>223</v>
      </c>
      <c r="N114" s="77">
        <f>$F114-M114</f>
        <v>394</v>
      </c>
      <c r="O114" s="75">
        <f>MOD($O$4,$F114)</f>
        <v>223</v>
      </c>
      <c r="P114" s="77">
        <f>F114-O114</f>
        <v>394</v>
      </c>
      <c r="Q114" s="75">
        <f>MOD(Q$4,$F114)</f>
        <v>446</v>
      </c>
      <c r="R114" s="77">
        <f>$F114-Q114</f>
        <v>171</v>
      </c>
    </row>
    <row r="115" spans="5:18" ht="12.75">
      <c r="E115" s="44" t="s">
        <v>2452</v>
      </c>
      <c r="F115" s="710">
        <v>619</v>
      </c>
      <c r="G115" s="23" t="s">
        <v>2314</v>
      </c>
      <c r="H115" s="511" t="s">
        <v>2058</v>
      </c>
      <c r="I115" t="str">
        <f>MID(H115,1,1)</f>
        <v>e</v>
      </c>
      <c r="J115" s="77">
        <f>FIND(I115,G115,1)-1</f>
        <v>61</v>
      </c>
      <c r="K115" s="68">
        <v>1</v>
      </c>
      <c r="L115" s="23">
        <f>K115*F115</f>
        <v>619</v>
      </c>
      <c r="M115" s="75">
        <f>M$4-L115</f>
        <v>221</v>
      </c>
      <c r="N115" s="77">
        <f>$F115-M115</f>
        <v>398</v>
      </c>
      <c r="O115" s="75">
        <f>MOD($O$4,$F115)</f>
        <v>221</v>
      </c>
      <c r="P115" s="77">
        <f>F115-O115</f>
        <v>398</v>
      </c>
      <c r="Q115" s="75">
        <f>MOD(Q$4,$F115)</f>
        <v>442</v>
      </c>
      <c r="R115" s="77">
        <f>$F115-Q115</f>
        <v>177</v>
      </c>
    </row>
    <row r="116" spans="5:18" ht="12.75">
      <c r="E116" s="44" t="s">
        <v>2453</v>
      </c>
      <c r="F116" s="710">
        <v>631</v>
      </c>
      <c r="G116" s="23" t="s">
        <v>2315</v>
      </c>
      <c r="H116" s="511" t="s">
        <v>26</v>
      </c>
      <c r="I116" t="str">
        <f>MID(H116,1,1)</f>
        <v>7</v>
      </c>
      <c r="J116" s="77">
        <f>FIND(I116,G116,1)-1</f>
        <v>63</v>
      </c>
      <c r="K116" s="68">
        <v>1</v>
      </c>
      <c r="L116" s="23">
        <f>K116*F116</f>
        <v>631</v>
      </c>
      <c r="M116" s="75">
        <f>M$4-L116</f>
        <v>209</v>
      </c>
      <c r="N116" s="77">
        <f>$F116-M116</f>
        <v>422</v>
      </c>
      <c r="O116" s="75">
        <f>MOD($O$4,$F116)</f>
        <v>209</v>
      </c>
      <c r="P116" s="77">
        <f>F116-O116</f>
        <v>422</v>
      </c>
      <c r="Q116" s="75">
        <f>MOD(Q$4,$F116)</f>
        <v>418</v>
      </c>
      <c r="R116" s="77">
        <f>$F116-Q116</f>
        <v>213</v>
      </c>
    </row>
    <row r="117" spans="5:18" ht="12.75">
      <c r="E117" s="44" t="s">
        <v>2454</v>
      </c>
      <c r="F117" s="710">
        <v>641</v>
      </c>
      <c r="G117" s="23" t="s">
        <v>2317</v>
      </c>
      <c r="H117" s="511" t="s">
        <v>26</v>
      </c>
      <c r="I117" t="str">
        <f>MID(H117,1,1)</f>
        <v>7</v>
      </c>
      <c r="J117" s="77">
        <f>FIND(I117,G117,1)-1</f>
        <v>64</v>
      </c>
      <c r="K117" s="68">
        <v>1</v>
      </c>
      <c r="L117" s="23">
        <f>K117*F117</f>
        <v>641</v>
      </c>
      <c r="M117" s="75">
        <f>M$4-L117</f>
        <v>199</v>
      </c>
      <c r="N117" s="77">
        <f>$F117-M117</f>
        <v>442</v>
      </c>
      <c r="O117" s="75">
        <f>MOD($O$4,$F117)</f>
        <v>199</v>
      </c>
      <c r="P117" s="77">
        <f>F117-O117</f>
        <v>442</v>
      </c>
      <c r="Q117" s="75">
        <f>MOD(Q$4,$F117)</f>
        <v>398</v>
      </c>
      <c r="R117" s="77">
        <f>$F117-Q117</f>
        <v>243</v>
      </c>
    </row>
    <row r="118" spans="5:18" ht="12.75">
      <c r="E118" s="44" t="s">
        <v>2455</v>
      </c>
      <c r="F118" s="710">
        <v>643</v>
      </c>
      <c r="G118" s="23" t="s">
        <v>2318</v>
      </c>
      <c r="H118" s="511" t="s">
        <v>2045</v>
      </c>
      <c r="I118" t="str">
        <f>MID(H118,1,1)</f>
        <v>b</v>
      </c>
      <c r="J118" s="77">
        <f>FIND(I118,G118,1)-1</f>
        <v>64</v>
      </c>
      <c r="K118" s="68">
        <v>1</v>
      </c>
      <c r="L118" s="23">
        <f>K118*F118</f>
        <v>643</v>
      </c>
      <c r="M118" s="75">
        <f>M$4-L118</f>
        <v>197</v>
      </c>
      <c r="N118" s="77">
        <f>$F118-M118</f>
        <v>446</v>
      </c>
      <c r="O118" s="75">
        <f>MOD($O$4,$F118)</f>
        <v>197</v>
      </c>
      <c r="P118" s="77">
        <f>F118-O118</f>
        <v>446</v>
      </c>
      <c r="Q118" s="75">
        <f>MOD(Q$4,$F118)</f>
        <v>394</v>
      </c>
      <c r="R118" s="77">
        <f>$F118-Q118</f>
        <v>249</v>
      </c>
    </row>
    <row r="119" spans="5:18" ht="12.75">
      <c r="E119" s="44" t="s">
        <v>2456</v>
      </c>
      <c r="F119" s="710">
        <v>647</v>
      </c>
      <c r="G119" s="23" t="s">
        <v>2319</v>
      </c>
      <c r="H119" s="511" t="s">
        <v>2050</v>
      </c>
      <c r="I119" t="str">
        <f>MID(H119,1,1)</f>
        <v>d</v>
      </c>
      <c r="J119" s="77">
        <f>FIND(I119,G119,1)-1</f>
        <v>64</v>
      </c>
      <c r="K119" s="68">
        <v>1</v>
      </c>
      <c r="L119" s="23">
        <f>K119*F119</f>
        <v>647</v>
      </c>
      <c r="M119" s="75">
        <f>M$4-L119</f>
        <v>193</v>
      </c>
      <c r="N119" s="77">
        <f>$F119-M119</f>
        <v>454</v>
      </c>
      <c r="O119" s="75">
        <f>MOD($O$4,$F119)</f>
        <v>193</v>
      </c>
      <c r="P119" s="77">
        <f>F119-O119</f>
        <v>454</v>
      </c>
      <c r="Q119" s="75">
        <f>MOD(Q$4,$F119)</f>
        <v>386</v>
      </c>
      <c r="R119" s="77">
        <f>$F119-Q119</f>
        <v>261</v>
      </c>
    </row>
    <row r="120" spans="5:18" ht="12.75">
      <c r="E120" s="44" t="s">
        <v>2457</v>
      </c>
      <c r="F120" s="710">
        <v>653</v>
      </c>
      <c r="G120" s="23" t="s">
        <v>2322</v>
      </c>
      <c r="H120" s="511" t="s">
        <v>2045</v>
      </c>
      <c r="I120" t="str">
        <f>MID(H120,1,1)</f>
        <v>b</v>
      </c>
      <c r="J120" s="77">
        <f>FIND(I120,G120,1)-1</f>
        <v>65</v>
      </c>
      <c r="K120" s="68">
        <v>1</v>
      </c>
      <c r="L120" s="23">
        <f>K120*F120</f>
        <v>653</v>
      </c>
      <c r="M120" s="75">
        <f>M$4-L120</f>
        <v>187</v>
      </c>
      <c r="N120" s="77">
        <f>$F120-M120</f>
        <v>466</v>
      </c>
      <c r="O120" s="75">
        <f>MOD($O$4,$F120)</f>
        <v>187</v>
      </c>
      <c r="P120" s="77">
        <f>F120-O120</f>
        <v>466</v>
      </c>
      <c r="Q120" s="75">
        <f>MOD(Q$4,$F120)</f>
        <v>374</v>
      </c>
      <c r="R120" s="77">
        <f>$F120-Q120</f>
        <v>279</v>
      </c>
    </row>
    <row r="121" spans="5:18" ht="12.75">
      <c r="E121" s="44" t="s">
        <v>2458</v>
      </c>
      <c r="F121" s="710">
        <v>659</v>
      </c>
      <c r="G121" s="23" t="s">
        <v>2323</v>
      </c>
      <c r="H121" s="511" t="s">
        <v>2058</v>
      </c>
      <c r="I121" t="str">
        <f>MID(H121,1,1)</f>
        <v>e</v>
      </c>
      <c r="J121" s="77">
        <f>FIND(I121,G121,1)-1</f>
        <v>65</v>
      </c>
      <c r="K121" s="68">
        <v>1</v>
      </c>
      <c r="L121" s="23">
        <f>K121*F121</f>
        <v>659</v>
      </c>
      <c r="M121" s="75">
        <f>M$4-L121</f>
        <v>181</v>
      </c>
      <c r="N121" s="77">
        <f>$F121-M121</f>
        <v>478</v>
      </c>
      <c r="O121" s="75">
        <f>MOD($O$4,$F121)</f>
        <v>181</v>
      </c>
      <c r="P121" s="77">
        <f>F121-O121</f>
        <v>478</v>
      </c>
      <c r="Q121" s="75">
        <f>MOD(Q$4,$F121)</f>
        <v>362</v>
      </c>
      <c r="R121" s="77">
        <f>$F121-Q121</f>
        <v>297</v>
      </c>
    </row>
    <row r="122" spans="5:18" ht="12.75">
      <c r="E122" s="44" t="s">
        <v>2459</v>
      </c>
      <c r="F122" s="710">
        <v>661</v>
      </c>
      <c r="G122" s="23" t="s">
        <v>2324</v>
      </c>
      <c r="H122" s="511" t="s">
        <v>26</v>
      </c>
      <c r="I122" t="str">
        <f>MID(H122,1,1)</f>
        <v>7</v>
      </c>
      <c r="J122" s="77">
        <f>FIND(I122,G122,1)-1</f>
        <v>66</v>
      </c>
      <c r="K122" s="68">
        <v>1</v>
      </c>
      <c r="L122" s="23">
        <f>K122*F122</f>
        <v>661</v>
      </c>
      <c r="M122" s="75">
        <f>M$4-L122</f>
        <v>179</v>
      </c>
      <c r="N122" s="77">
        <f>$F122-M122</f>
        <v>482</v>
      </c>
      <c r="O122" s="75">
        <f>MOD($O$4,$F122)</f>
        <v>179</v>
      </c>
      <c r="P122" s="77">
        <f>F122-O122</f>
        <v>482</v>
      </c>
      <c r="Q122" s="75">
        <f>MOD(Q$4,$F122)</f>
        <v>358</v>
      </c>
      <c r="R122" s="77">
        <f>$F122-Q122</f>
        <v>303</v>
      </c>
    </row>
    <row r="123" spans="5:18" ht="12.75">
      <c r="E123" s="44" t="s">
        <v>2460</v>
      </c>
      <c r="F123" s="710">
        <v>673</v>
      </c>
      <c r="G123" s="23" t="s">
        <v>2326</v>
      </c>
      <c r="H123" s="511" t="s">
        <v>2045</v>
      </c>
      <c r="I123" t="str">
        <f>MID(H123,1,1)</f>
        <v>b</v>
      </c>
      <c r="J123" s="77">
        <f>FIND(I123,G123,1)-1</f>
        <v>67</v>
      </c>
      <c r="K123" s="68">
        <v>1</v>
      </c>
      <c r="L123" s="23">
        <f>K123*F123</f>
        <v>673</v>
      </c>
      <c r="M123" s="75">
        <f>M$4-L123</f>
        <v>167</v>
      </c>
      <c r="N123" s="77">
        <f>$F123-M123</f>
        <v>506</v>
      </c>
      <c r="O123" s="75">
        <f>MOD($O$4,$F123)</f>
        <v>167</v>
      </c>
      <c r="P123" s="77">
        <f>F123-O123</f>
        <v>506</v>
      </c>
      <c r="Q123" s="75">
        <f>MOD(Q$4,$F123)</f>
        <v>334</v>
      </c>
      <c r="R123" s="77">
        <f>$F123-Q123</f>
        <v>339</v>
      </c>
    </row>
    <row r="124" spans="5:18" ht="12.75">
      <c r="E124" s="44" t="s">
        <v>2461</v>
      </c>
      <c r="F124" s="710">
        <v>677</v>
      </c>
      <c r="G124" s="23" t="s">
        <v>2327</v>
      </c>
      <c r="H124" s="511" t="s">
        <v>2050</v>
      </c>
      <c r="I124" t="str">
        <f>MID(H124,1,1)</f>
        <v>d</v>
      </c>
      <c r="J124" s="77">
        <f>FIND(I124,G124,1)-1</f>
        <v>67</v>
      </c>
      <c r="K124" s="68">
        <v>1</v>
      </c>
      <c r="L124" s="23">
        <f>K124*F124</f>
        <v>677</v>
      </c>
      <c r="M124" s="75">
        <f>M$4-L124</f>
        <v>163</v>
      </c>
      <c r="N124" s="77">
        <f>$F124-M124</f>
        <v>514</v>
      </c>
      <c r="O124" s="75">
        <f>MOD($O$4,$F124)</f>
        <v>163</v>
      </c>
      <c r="P124" s="77">
        <f>F124-O124</f>
        <v>514</v>
      </c>
      <c r="Q124" s="75">
        <f>MOD(Q$4,$F124)</f>
        <v>326</v>
      </c>
      <c r="R124" s="77">
        <f>$F124-Q124</f>
        <v>351</v>
      </c>
    </row>
    <row r="125" spans="5:18" ht="12.75">
      <c r="E125" s="44" t="s">
        <v>2462</v>
      </c>
      <c r="F125" s="710">
        <v>683</v>
      </c>
      <c r="G125" s="23" t="s">
        <v>2329</v>
      </c>
      <c r="H125" s="511" t="s">
        <v>2045</v>
      </c>
      <c r="I125" t="str">
        <f>MID(H125,1,1)</f>
        <v>b</v>
      </c>
      <c r="J125" s="77">
        <f>FIND(I125,G125,1)-1</f>
        <v>68</v>
      </c>
      <c r="K125" s="68">
        <v>1</v>
      </c>
      <c r="L125" s="23">
        <f>K125*F125</f>
        <v>683</v>
      </c>
      <c r="M125" s="75">
        <f>M$4-L125</f>
        <v>157</v>
      </c>
      <c r="N125" s="77">
        <f>$F125-M125</f>
        <v>526</v>
      </c>
      <c r="O125" s="75">
        <f>MOD($O$4,$F125)</f>
        <v>157</v>
      </c>
      <c r="P125" s="77">
        <f>F125-O125</f>
        <v>526</v>
      </c>
      <c r="Q125" s="75">
        <f>MOD(Q$4,$F125)</f>
        <v>314</v>
      </c>
      <c r="R125" s="77">
        <f>$F125-Q125</f>
        <v>369</v>
      </c>
    </row>
    <row r="126" spans="5:18" ht="12.75">
      <c r="E126" s="44" t="s">
        <v>2464</v>
      </c>
      <c r="F126" s="710">
        <v>691</v>
      </c>
      <c r="G126" s="23" t="s">
        <v>2331</v>
      </c>
      <c r="H126" s="511" t="s">
        <v>26</v>
      </c>
      <c r="I126" t="str">
        <f>MID(H126,1,1)</f>
        <v>7</v>
      </c>
      <c r="J126" s="77">
        <f>FIND(I126,G126,1)-1</f>
        <v>69</v>
      </c>
      <c r="K126" s="68">
        <v>1</v>
      </c>
      <c r="L126" s="23">
        <f>K126*F126</f>
        <v>691</v>
      </c>
      <c r="M126" s="75">
        <f>M$4-L126</f>
        <v>149</v>
      </c>
      <c r="N126" s="77">
        <f>$F126-M126</f>
        <v>542</v>
      </c>
      <c r="O126" s="75">
        <f>MOD($O$4,$F126)</f>
        <v>149</v>
      </c>
      <c r="P126" s="77">
        <f>F126-O126</f>
        <v>542</v>
      </c>
      <c r="Q126" s="75">
        <f>MOD(Q$4,$F126)</f>
        <v>298</v>
      </c>
      <c r="R126" s="77">
        <f>$F126-Q126</f>
        <v>393</v>
      </c>
    </row>
    <row r="127" spans="5:18" ht="12.75">
      <c r="E127" s="44" t="s">
        <v>2465</v>
      </c>
      <c r="F127" s="710">
        <v>701</v>
      </c>
      <c r="G127" s="23" t="s">
        <v>2333</v>
      </c>
      <c r="H127" s="511" t="s">
        <v>26</v>
      </c>
      <c r="I127" t="str">
        <f>MID(H127,1,1)</f>
        <v>7</v>
      </c>
      <c r="J127" s="77">
        <f>FIND(I127,G127,1)-1</f>
        <v>70</v>
      </c>
      <c r="K127" s="68">
        <v>1</v>
      </c>
      <c r="L127" s="23">
        <f>K127*F127</f>
        <v>701</v>
      </c>
      <c r="M127" s="75">
        <f>M$4-L127</f>
        <v>139</v>
      </c>
      <c r="N127" s="77">
        <f>$F127-M127</f>
        <v>562</v>
      </c>
      <c r="O127" s="75">
        <f>MOD($O$4,$F127)</f>
        <v>139</v>
      </c>
      <c r="P127" s="77">
        <f>F127-O127</f>
        <v>562</v>
      </c>
      <c r="Q127" s="75">
        <f>MOD(Q$4,$F127)</f>
        <v>278</v>
      </c>
      <c r="R127" s="77">
        <f>$F127-Q127</f>
        <v>423</v>
      </c>
    </row>
    <row r="128" spans="5:18" ht="12.75">
      <c r="E128" s="44" t="s">
        <v>2466</v>
      </c>
      <c r="F128" s="710">
        <v>709</v>
      </c>
      <c r="G128" s="23" t="s">
        <v>2335</v>
      </c>
      <c r="H128" s="511" t="s">
        <v>2058</v>
      </c>
      <c r="I128" t="str">
        <f>MID(H128,1,1)</f>
        <v>e</v>
      </c>
      <c r="J128" s="77">
        <f>FIND(I128,G128,1)-1</f>
        <v>70</v>
      </c>
      <c r="K128" s="68">
        <v>1</v>
      </c>
      <c r="L128" s="23">
        <f>K128*F128</f>
        <v>709</v>
      </c>
      <c r="M128" s="75">
        <f>M$4-L128</f>
        <v>131</v>
      </c>
      <c r="N128" s="77">
        <f>$F128-M128</f>
        <v>578</v>
      </c>
      <c r="O128" s="75">
        <f>MOD($O$4,$F128)</f>
        <v>131</v>
      </c>
      <c r="P128" s="77">
        <f>F128-O128</f>
        <v>578</v>
      </c>
      <c r="Q128" s="75">
        <f>MOD(Q$4,$F128)</f>
        <v>262</v>
      </c>
      <c r="R128" s="77">
        <f>$F128-Q128</f>
        <v>447</v>
      </c>
    </row>
    <row r="129" spans="5:18" ht="12.75">
      <c r="E129" s="44" t="s">
        <v>2467</v>
      </c>
      <c r="F129" s="710">
        <v>719</v>
      </c>
      <c r="G129" s="23" t="s">
        <v>2338</v>
      </c>
      <c r="H129" s="511" t="s">
        <v>2058</v>
      </c>
      <c r="I129" t="str">
        <f>MID(H129,1,1)</f>
        <v>e</v>
      </c>
      <c r="J129" s="77">
        <f>FIND(I129,G129,1)-1</f>
        <v>71</v>
      </c>
      <c r="K129" s="68">
        <v>1</v>
      </c>
      <c r="L129" s="23">
        <f>K129*F129</f>
        <v>719</v>
      </c>
      <c r="M129" s="75">
        <f>M$4-L129</f>
        <v>121</v>
      </c>
      <c r="N129" s="77">
        <f>$F129-M129</f>
        <v>598</v>
      </c>
      <c r="O129" s="75">
        <f>MOD($O$4,$F129)</f>
        <v>121</v>
      </c>
      <c r="P129" s="77">
        <f>F129-O129</f>
        <v>598</v>
      </c>
      <c r="Q129" s="75">
        <f>MOD(Q$4,$F129)</f>
        <v>242</v>
      </c>
      <c r="R129" s="77">
        <f>$F129-Q129</f>
        <v>477</v>
      </c>
    </row>
    <row r="130" spans="5:18" ht="12.75">
      <c r="E130" s="44" t="s">
        <v>2468</v>
      </c>
      <c r="F130" s="710">
        <v>727</v>
      </c>
      <c r="G130" s="23" t="s">
        <v>2342</v>
      </c>
      <c r="H130" s="511" t="s">
        <v>2050</v>
      </c>
      <c r="I130" t="str">
        <f>MID(H130,1,1)</f>
        <v>d</v>
      </c>
      <c r="J130" s="77">
        <f>FIND(I130,G130,1)-1</f>
        <v>72</v>
      </c>
      <c r="K130" s="68">
        <v>1</v>
      </c>
      <c r="L130" s="23">
        <f>K130*F130</f>
        <v>727</v>
      </c>
      <c r="M130" s="75">
        <f>M$4-L130</f>
        <v>113</v>
      </c>
      <c r="N130" s="77">
        <f>$F130-M130</f>
        <v>614</v>
      </c>
      <c r="O130" s="75">
        <f>MOD($O$4,$F130)</f>
        <v>113</v>
      </c>
      <c r="P130" s="77">
        <f>F130-O130</f>
        <v>614</v>
      </c>
      <c r="Q130" s="75">
        <f>MOD(Q$4,$F130)</f>
        <v>226</v>
      </c>
      <c r="R130" s="77">
        <f>$F130-Q130</f>
        <v>501</v>
      </c>
    </row>
    <row r="131" spans="5:18" ht="12.75">
      <c r="E131" s="44" t="s">
        <v>2469</v>
      </c>
      <c r="F131" s="710">
        <v>733</v>
      </c>
      <c r="G131" s="23" t="s">
        <v>2344</v>
      </c>
      <c r="H131" s="511" t="s">
        <v>2045</v>
      </c>
      <c r="I131" t="str">
        <f>MID(H131,1,1)</f>
        <v>b</v>
      </c>
      <c r="J131" s="77">
        <f>FIND(I131,G131,1)-1</f>
        <v>73</v>
      </c>
      <c r="K131" s="68">
        <v>1</v>
      </c>
      <c r="L131" s="23">
        <f>K131*F131</f>
        <v>733</v>
      </c>
      <c r="M131" s="75">
        <f>M$4-L131</f>
        <v>107</v>
      </c>
      <c r="N131" s="77">
        <f>$F131-M131</f>
        <v>626</v>
      </c>
      <c r="O131" s="75">
        <f>MOD($O$4,$F131)</f>
        <v>107</v>
      </c>
      <c r="P131" s="77">
        <f>F131-O131</f>
        <v>626</v>
      </c>
      <c r="Q131" s="75">
        <f>MOD(Q$4,$F131)</f>
        <v>214</v>
      </c>
      <c r="R131" s="77">
        <f>$F131-Q131</f>
        <v>519</v>
      </c>
    </row>
    <row r="132" spans="5:18" ht="12.75">
      <c r="E132" s="44" t="s">
        <v>2470</v>
      </c>
      <c r="F132" s="710">
        <v>739</v>
      </c>
      <c r="G132" s="23" t="s">
        <v>2345</v>
      </c>
      <c r="H132" s="511" t="s">
        <v>2058</v>
      </c>
      <c r="I132" t="str">
        <f>MID(H132,1,1)</f>
        <v>e</v>
      </c>
      <c r="J132" s="77">
        <f>FIND(I132,G132,1)-1</f>
        <v>73</v>
      </c>
      <c r="K132" s="68">
        <v>1</v>
      </c>
      <c r="L132" s="23">
        <f>K132*F132</f>
        <v>739</v>
      </c>
      <c r="M132" s="75">
        <f>M$4-L132</f>
        <v>101</v>
      </c>
      <c r="N132" s="77">
        <f>$F132-M132</f>
        <v>638</v>
      </c>
      <c r="O132" s="75">
        <f>MOD($O$4,$F132)</f>
        <v>101</v>
      </c>
      <c r="P132" s="77">
        <f>F132-O132</f>
        <v>638</v>
      </c>
      <c r="Q132" s="75">
        <f>MOD(Q$4,$F132)</f>
        <v>202</v>
      </c>
      <c r="R132" s="77">
        <f>$F132-Q132</f>
        <v>537</v>
      </c>
    </row>
    <row r="133" spans="5:18" ht="12.75">
      <c r="E133" s="44" t="s">
        <v>2471</v>
      </c>
      <c r="F133" s="710">
        <v>743</v>
      </c>
      <c r="G133" s="23" t="s">
        <v>2346</v>
      </c>
      <c r="H133" s="511" t="s">
        <v>2045</v>
      </c>
      <c r="I133" t="str">
        <f>MID(H133,1,1)</f>
        <v>b</v>
      </c>
      <c r="J133" s="77">
        <f>FIND(I133,G133,1)-1</f>
        <v>74</v>
      </c>
      <c r="K133" s="68">
        <v>1</v>
      </c>
      <c r="L133" s="23">
        <f>K133*F133</f>
        <v>743</v>
      </c>
      <c r="M133" s="75">
        <f>M$4-L133</f>
        <v>97</v>
      </c>
      <c r="N133" s="77">
        <f>$F133-M133</f>
        <v>646</v>
      </c>
      <c r="O133" s="75">
        <f>MOD($O$4,$F133)</f>
        <v>97</v>
      </c>
      <c r="P133" s="77">
        <f>F133-O133</f>
        <v>646</v>
      </c>
      <c r="Q133" s="75">
        <f>MOD(Q$4,$F133)</f>
        <v>194</v>
      </c>
      <c r="R133" s="77">
        <f>$F133-Q133</f>
        <v>549</v>
      </c>
    </row>
    <row r="134" spans="5:18" ht="12.75">
      <c r="E134" s="44" t="s">
        <v>2473</v>
      </c>
      <c r="F134" s="710">
        <v>751</v>
      </c>
      <c r="G134" s="23" t="s">
        <v>2348</v>
      </c>
      <c r="H134" s="511" t="s">
        <v>26</v>
      </c>
      <c r="I134" t="str">
        <f>MID(H134,1,1)</f>
        <v>7</v>
      </c>
      <c r="J134" s="77">
        <f>FIND(I134,G134,1)-1</f>
        <v>75</v>
      </c>
      <c r="K134" s="68">
        <v>1</v>
      </c>
      <c r="L134" s="23">
        <f>K134*F134</f>
        <v>751</v>
      </c>
      <c r="M134" s="75">
        <f>M$4-L134</f>
        <v>89</v>
      </c>
      <c r="N134" s="77">
        <f>$F134-M134</f>
        <v>662</v>
      </c>
      <c r="O134" s="75">
        <f>MOD($O$4,$F134)</f>
        <v>89</v>
      </c>
      <c r="P134" s="77">
        <f>F134-O134</f>
        <v>662</v>
      </c>
      <c r="Q134" s="75">
        <f>MOD(Q$4,$F134)</f>
        <v>178</v>
      </c>
      <c r="R134" s="77">
        <f>$F134-Q134</f>
        <v>573</v>
      </c>
    </row>
    <row r="135" spans="5:18" ht="12.75">
      <c r="E135" s="44" t="s">
        <v>2474</v>
      </c>
      <c r="F135" s="710">
        <v>757</v>
      </c>
      <c r="G135" s="23" t="s">
        <v>2350</v>
      </c>
      <c r="H135" s="511" t="s">
        <v>2050</v>
      </c>
      <c r="I135" t="str">
        <f>MID(H135,1,1)</f>
        <v>d</v>
      </c>
      <c r="J135" s="77">
        <f>FIND(I135,G135,1)-1</f>
        <v>75</v>
      </c>
      <c r="K135" s="68">
        <v>1</v>
      </c>
      <c r="L135" s="23">
        <f>K135*F135</f>
        <v>757</v>
      </c>
      <c r="M135" s="75">
        <f>M$4-L135</f>
        <v>83</v>
      </c>
      <c r="N135" s="77">
        <f>$F135-M135</f>
        <v>674</v>
      </c>
      <c r="O135" s="75">
        <f>MOD($O$4,$F135)</f>
        <v>83</v>
      </c>
      <c r="P135" s="77">
        <f>F135-O135</f>
        <v>674</v>
      </c>
      <c r="Q135" s="75">
        <f>MOD(Q$4,$F135)</f>
        <v>166</v>
      </c>
      <c r="R135" s="77">
        <f>$F135-Q135</f>
        <v>591</v>
      </c>
    </row>
    <row r="136" spans="5:18" ht="12.75">
      <c r="E136" s="44" t="s">
        <v>2475</v>
      </c>
      <c r="F136" s="710">
        <v>761</v>
      </c>
      <c r="G136" s="23" t="s">
        <v>2351</v>
      </c>
      <c r="H136" s="511" t="s">
        <v>26</v>
      </c>
      <c r="I136" t="str">
        <f>MID(H136,1,1)</f>
        <v>7</v>
      </c>
      <c r="J136" s="77">
        <f>FIND(I136,G136,1)-1</f>
        <v>76</v>
      </c>
      <c r="K136" s="68">
        <v>1</v>
      </c>
      <c r="L136" s="23">
        <f>K136*F136</f>
        <v>761</v>
      </c>
      <c r="M136" s="75">
        <f>M$4-L136</f>
        <v>79</v>
      </c>
      <c r="N136" s="77">
        <f>$F136-M136</f>
        <v>682</v>
      </c>
      <c r="O136" s="75">
        <f>MOD($O$4,$F136)</f>
        <v>79</v>
      </c>
      <c r="P136" s="77">
        <f>F136-O136</f>
        <v>682</v>
      </c>
      <c r="Q136" s="75">
        <f>MOD(Q$4,$F136)</f>
        <v>158</v>
      </c>
      <c r="R136" s="77">
        <f>$F136-Q136</f>
        <v>603</v>
      </c>
    </row>
    <row r="137" spans="5:18" ht="12.75">
      <c r="E137" s="44" t="s">
        <v>2476</v>
      </c>
      <c r="F137" s="710">
        <v>769</v>
      </c>
      <c r="G137" s="23" t="s">
        <v>2352</v>
      </c>
      <c r="H137" s="511" t="s">
        <v>2058</v>
      </c>
      <c r="I137" t="str">
        <f>MID(H137,1,1)</f>
        <v>e</v>
      </c>
      <c r="J137" s="77">
        <f>FIND(I137,G137,1)-1</f>
        <v>76</v>
      </c>
      <c r="K137" s="68">
        <v>1</v>
      </c>
      <c r="L137" s="23">
        <f>K137*F137</f>
        <v>769</v>
      </c>
      <c r="M137" s="75">
        <f>M$4-L137</f>
        <v>71</v>
      </c>
      <c r="N137" s="77">
        <f>$F137-M137</f>
        <v>698</v>
      </c>
      <c r="O137" s="75">
        <f>MOD($O$4,$F137)</f>
        <v>71</v>
      </c>
      <c r="P137" s="77">
        <f>F137-O137</f>
        <v>698</v>
      </c>
      <c r="Q137" s="75">
        <f>MOD(Q$4,$F137)</f>
        <v>142</v>
      </c>
      <c r="R137" s="77">
        <f>$F137-Q137</f>
        <v>627</v>
      </c>
    </row>
    <row r="138" spans="5:18" ht="12.75">
      <c r="E138" s="44" t="s">
        <v>2477</v>
      </c>
      <c r="F138" s="710">
        <v>773</v>
      </c>
      <c r="G138" s="23" t="s">
        <v>2354</v>
      </c>
      <c r="H138" s="511" t="s">
        <v>2045</v>
      </c>
      <c r="I138" t="str">
        <f>MID(H138,1,1)</f>
        <v>b</v>
      </c>
      <c r="J138" s="77">
        <f>FIND(I138,G138,1)-1</f>
        <v>77</v>
      </c>
      <c r="K138" s="68">
        <v>1</v>
      </c>
      <c r="L138" s="23">
        <f>K138*F138</f>
        <v>773</v>
      </c>
      <c r="M138" s="75">
        <f>M$4-L138</f>
        <v>67</v>
      </c>
      <c r="N138" s="77">
        <f>$F138-M138</f>
        <v>706</v>
      </c>
      <c r="O138" s="75">
        <f>MOD($O$4,$F138)</f>
        <v>67</v>
      </c>
      <c r="P138" s="77">
        <f>F138-O138</f>
        <v>706</v>
      </c>
      <c r="Q138" s="75">
        <f>MOD(Q$4,$F138)</f>
        <v>134</v>
      </c>
      <c r="R138" s="77">
        <f>$F138-Q138</f>
        <v>639</v>
      </c>
    </row>
    <row r="139" spans="5:18" ht="12.75">
      <c r="E139" s="44" t="s">
        <v>2478</v>
      </c>
      <c r="F139" s="710">
        <v>787</v>
      </c>
      <c r="G139" s="23" t="s">
        <v>2357</v>
      </c>
      <c r="H139" s="511" t="s">
        <v>2050</v>
      </c>
      <c r="I139" t="str">
        <f>MID(H139,1,1)</f>
        <v>d</v>
      </c>
      <c r="J139" s="77">
        <f>FIND(I139,G139,1)-1</f>
        <v>78</v>
      </c>
      <c r="K139" s="68">
        <v>1</v>
      </c>
      <c r="L139" s="23">
        <f>K139*F139</f>
        <v>787</v>
      </c>
      <c r="M139" s="75">
        <f>M$4-L139</f>
        <v>53</v>
      </c>
      <c r="N139" s="77">
        <f>$F139-M139</f>
        <v>734</v>
      </c>
      <c r="O139" s="75">
        <f>MOD($O$4,$F139)</f>
        <v>53</v>
      </c>
      <c r="P139" s="77">
        <f>F139-O139</f>
        <v>734</v>
      </c>
      <c r="Q139" s="75">
        <f>MOD(Q$4,$F139)</f>
        <v>106</v>
      </c>
      <c r="R139" s="77">
        <f>$F139-Q139</f>
        <v>681</v>
      </c>
    </row>
    <row r="140" spans="5:18" ht="12.75">
      <c r="E140" s="44" t="s">
        <v>2479</v>
      </c>
      <c r="F140" s="710">
        <v>797</v>
      </c>
      <c r="G140" s="23" t="s">
        <v>2361</v>
      </c>
      <c r="H140" s="511" t="s">
        <v>2050</v>
      </c>
      <c r="I140" t="str">
        <f>MID(H140,1,1)</f>
        <v>d</v>
      </c>
      <c r="J140" s="77">
        <f>FIND(I140,G140,1)-1</f>
        <v>79</v>
      </c>
      <c r="K140" s="68">
        <v>1</v>
      </c>
      <c r="L140" s="23">
        <f>K140*F140</f>
        <v>797</v>
      </c>
      <c r="M140" s="75">
        <f>M$4-L140</f>
        <v>43</v>
      </c>
      <c r="N140" s="77">
        <f>$F140-M140</f>
        <v>754</v>
      </c>
      <c r="O140" s="75">
        <f>MOD($O$4,$F140)</f>
        <v>43</v>
      </c>
      <c r="P140" s="77">
        <f>F140-O140</f>
        <v>754</v>
      </c>
      <c r="Q140" s="75">
        <f>MOD(Q$4,$F140)</f>
        <v>86</v>
      </c>
      <c r="R140" s="77">
        <f>$F140-Q140</f>
        <v>711</v>
      </c>
    </row>
    <row r="141" spans="5:18" ht="12.75">
      <c r="E141" s="44" t="s">
        <v>2480</v>
      </c>
      <c r="F141" s="710">
        <v>809</v>
      </c>
      <c r="G141" s="23" t="s">
        <v>2364</v>
      </c>
      <c r="H141" s="511" t="s">
        <v>2058</v>
      </c>
      <c r="I141" t="str">
        <f>MID(H141,1,1)</f>
        <v>e</v>
      </c>
      <c r="J141" s="77">
        <f>FIND(I141,G141,1)-1</f>
        <v>80</v>
      </c>
      <c r="K141" s="68">
        <v>1</v>
      </c>
      <c r="L141" s="23">
        <f>K141*F141</f>
        <v>809</v>
      </c>
      <c r="M141" s="75">
        <f>M$4-L141</f>
        <v>31</v>
      </c>
      <c r="N141" s="77">
        <f>$F141-M141</f>
        <v>778</v>
      </c>
      <c r="O141" s="75">
        <f>MOD($O$4,$F141)</f>
        <v>31</v>
      </c>
      <c r="P141" s="77">
        <f>F141-O141</f>
        <v>778</v>
      </c>
      <c r="Q141" s="75">
        <f>MOD(Q$4,$F141)</f>
        <v>62</v>
      </c>
      <c r="R141" s="77">
        <f>$F141-Q141</f>
        <v>747</v>
      </c>
    </row>
    <row r="142" spans="5:18" ht="12.75">
      <c r="E142" s="44" t="s">
        <v>2481</v>
      </c>
      <c r="F142" s="710">
        <v>811</v>
      </c>
      <c r="G142" s="23" t="s">
        <v>2365</v>
      </c>
      <c r="H142" s="511" t="s">
        <v>26</v>
      </c>
      <c r="I142" t="str">
        <f>MID(H142,1,1)</f>
        <v>7</v>
      </c>
      <c r="J142" s="77">
        <f>FIND(I142,G142,1)-1</f>
        <v>81</v>
      </c>
      <c r="K142" s="68">
        <v>1</v>
      </c>
      <c r="L142" s="23">
        <f>K142*F142</f>
        <v>811</v>
      </c>
      <c r="M142" s="75">
        <f>M$4-L142</f>
        <v>29</v>
      </c>
      <c r="N142" s="77">
        <f>$F142-M142</f>
        <v>782</v>
      </c>
      <c r="O142" s="75">
        <f>MOD($O$4,$F142)</f>
        <v>29</v>
      </c>
      <c r="P142" s="77">
        <f>F142-O142</f>
        <v>782</v>
      </c>
      <c r="Q142" s="75">
        <f>MOD(Q$4,$F142)</f>
        <v>58</v>
      </c>
      <c r="R142" s="77">
        <f>$F142-Q142</f>
        <v>753</v>
      </c>
    </row>
    <row r="143" spans="5:18" ht="12.75">
      <c r="E143" s="44" t="s">
        <v>2482</v>
      </c>
      <c r="F143" s="710">
        <v>821</v>
      </c>
      <c r="G143" s="23" t="s">
        <v>2368</v>
      </c>
      <c r="H143" s="511" t="s">
        <v>26</v>
      </c>
      <c r="I143" t="str">
        <f>MID(H143,1,1)</f>
        <v>7</v>
      </c>
      <c r="J143" s="77">
        <f>FIND(I143,G143,1)-1</f>
        <v>82</v>
      </c>
      <c r="K143" s="68">
        <v>1</v>
      </c>
      <c r="L143" s="23">
        <f>K143*F143</f>
        <v>821</v>
      </c>
      <c r="M143" s="75">
        <f>M$4-L143</f>
        <v>19</v>
      </c>
      <c r="N143" s="77">
        <f>$F143-M143</f>
        <v>802</v>
      </c>
      <c r="O143" s="75">
        <f>MOD($O$4,$F143)</f>
        <v>19</v>
      </c>
      <c r="P143" s="77">
        <f>F143-O143</f>
        <v>802</v>
      </c>
      <c r="Q143" s="75">
        <f>MOD(Q$4,$F143)</f>
        <v>38</v>
      </c>
      <c r="R143" s="77">
        <f>$F143-Q143</f>
        <v>783</v>
      </c>
    </row>
    <row r="144" spans="5:18" ht="12.75">
      <c r="E144" s="44" t="s">
        <v>2483</v>
      </c>
      <c r="F144" s="710">
        <v>823</v>
      </c>
      <c r="G144" s="23" t="s">
        <v>2369</v>
      </c>
      <c r="H144" s="511" t="s">
        <v>2045</v>
      </c>
      <c r="I144" t="str">
        <f>MID(H144,1,1)</f>
        <v>b</v>
      </c>
      <c r="J144" s="77">
        <f>FIND(I144,G144,1)-1</f>
        <v>82</v>
      </c>
      <c r="K144" s="68">
        <v>1</v>
      </c>
      <c r="L144" s="23">
        <f>K144*F144</f>
        <v>823</v>
      </c>
      <c r="M144" s="75">
        <f>M$4-L144</f>
        <v>17</v>
      </c>
      <c r="N144" s="77">
        <f>$F144-M144</f>
        <v>806</v>
      </c>
      <c r="O144" s="75">
        <f>MOD($O$4,$F144)</f>
        <v>17</v>
      </c>
      <c r="P144" s="77">
        <f>F144-O144</f>
        <v>806</v>
      </c>
      <c r="Q144" s="75">
        <f>MOD(Q$4,$F144)</f>
        <v>34</v>
      </c>
      <c r="R144" s="77">
        <f>$F144-Q144</f>
        <v>789</v>
      </c>
    </row>
    <row r="145" spans="5:18" ht="12.75">
      <c r="E145" s="44" t="s">
        <v>2484</v>
      </c>
      <c r="F145" s="710">
        <v>827</v>
      </c>
      <c r="G145" s="23" t="s">
        <v>2370</v>
      </c>
      <c r="H145" s="511" t="s">
        <v>2050</v>
      </c>
      <c r="I145" t="str">
        <f>MID(H145,1,1)</f>
        <v>d</v>
      </c>
      <c r="J145" s="77">
        <f>FIND(I145,G145,1)-1</f>
        <v>82</v>
      </c>
      <c r="K145" s="68">
        <v>1</v>
      </c>
      <c r="L145" s="23">
        <f>K145*F145</f>
        <v>827</v>
      </c>
      <c r="M145" s="75">
        <f>M$4-L145</f>
        <v>13</v>
      </c>
      <c r="N145" s="77">
        <f>$F145-M145</f>
        <v>814</v>
      </c>
      <c r="O145" s="75">
        <f>MOD($O$4,$F145)</f>
        <v>13</v>
      </c>
      <c r="P145" s="77">
        <f>F145-O145</f>
        <v>814</v>
      </c>
      <c r="Q145" s="75">
        <f>MOD(Q$4,$F145)</f>
        <v>26</v>
      </c>
      <c r="R145" s="77">
        <f>$F145-Q145</f>
        <v>801</v>
      </c>
    </row>
    <row r="146" spans="5:18" ht="12.75">
      <c r="E146" s="44" t="s">
        <v>2485</v>
      </c>
      <c r="F146" s="710">
        <v>829</v>
      </c>
      <c r="G146" s="23" t="s">
        <v>2371</v>
      </c>
      <c r="H146" s="511" t="s">
        <v>2058</v>
      </c>
      <c r="I146" t="str">
        <f>MID(H146,1,1)</f>
        <v>e</v>
      </c>
      <c r="J146" s="77">
        <f>FIND(I146,G146,1)-1</f>
        <v>82</v>
      </c>
      <c r="K146" s="68">
        <v>1</v>
      </c>
      <c r="L146" s="23">
        <f>K146*F146</f>
        <v>829</v>
      </c>
      <c r="M146" s="75">
        <f>M$4-L146</f>
        <v>11</v>
      </c>
      <c r="N146" s="77">
        <f>$F146-M146</f>
        <v>818</v>
      </c>
      <c r="O146" s="75">
        <f>MOD($O$4,$F146)</f>
        <v>11</v>
      </c>
      <c r="P146" s="77">
        <f>F146-O146</f>
        <v>818</v>
      </c>
      <c r="Q146" s="75">
        <f>MOD(Q$4,$F146)</f>
        <v>22</v>
      </c>
      <c r="R146" s="77">
        <f>$F146-Q146</f>
        <v>807</v>
      </c>
    </row>
    <row r="147" spans="5:19" ht="12.75">
      <c r="E147" s="44" t="s">
        <v>2487</v>
      </c>
      <c r="F147" s="710">
        <v>839</v>
      </c>
      <c r="G147" s="23" t="s">
        <v>2374</v>
      </c>
      <c r="H147" s="511" t="s">
        <v>2058</v>
      </c>
      <c r="I147" t="str">
        <f>MID(H147,1,1)</f>
        <v>e</v>
      </c>
      <c r="J147" s="77">
        <f>FIND(I147,G147,1)-1</f>
        <v>83</v>
      </c>
      <c r="K147" s="68">
        <v>1</v>
      </c>
      <c r="L147" s="23">
        <f>K147*F147</f>
        <v>839</v>
      </c>
      <c r="M147" s="75">
        <f>M$4-L147</f>
        <v>1</v>
      </c>
      <c r="N147" s="77">
        <f>$F147-M147</f>
        <v>838</v>
      </c>
      <c r="O147" s="75">
        <f>MOD($O$4,$F147)</f>
        <v>1</v>
      </c>
      <c r="P147" s="77">
        <f>F147-O147</f>
        <v>838</v>
      </c>
      <c r="Q147" s="75">
        <f>MOD(Q$4,$F147)</f>
        <v>2</v>
      </c>
      <c r="R147" s="77">
        <f>$F147-Q147</f>
        <v>837</v>
      </c>
      <c r="S147">
        <v>1</v>
      </c>
    </row>
  </sheetData>
  <sheetProtection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